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/>
  <xr:revisionPtr revIDLastSave="0" documentId="13_ncr:1_{58C328B2-1153-4ED2-BC51-CF3B4BA37CF8}" xr6:coauthVersionLast="47" xr6:coauthVersionMax="47" xr10:uidLastSave="{00000000-0000-0000-0000-000000000000}"/>
  <bookViews>
    <workbookView xWindow="-108" yWindow="-108" windowWidth="23256" windowHeight="12456" tabRatio="499" firstSheet="1" activeTab="1" xr2:uid="{00000000-000D-0000-FFFF-FFFF00000000}"/>
  </bookViews>
  <sheets>
    <sheet name="Project Summary" sheetId="15" r:id="rId1"/>
    <sheet name="BOQ MASTER" sheetId="13" r:id="rId2"/>
    <sheet name="Sheet1" sheetId="16" r:id="rId3"/>
  </sheets>
  <externalReferences>
    <externalReference r:id="rId4"/>
  </externalReferences>
  <definedNames>
    <definedName name="_xlnm._FilterDatabase" localSheetId="1" hidden="1">'BOQ MASTER'!$A$2:$BI$735</definedName>
    <definedName name="_xlnm.Print_Area" localSheetId="1">'BOQ MASTER'!$A$1:$BI$744</definedName>
    <definedName name="_xlnm.Print_Area" localSheetId="0">'Project Summary'!$B$2:$D$15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614" i="13" l="1"/>
  <c r="AX614" i="13"/>
  <c r="F614" i="13"/>
  <c r="K614" i="13" s="1"/>
  <c r="E614" i="13"/>
  <c r="AY699" i="13"/>
  <c r="AX699" i="13"/>
  <c r="F699" i="13"/>
  <c r="K699" i="13" s="1"/>
  <c r="E699" i="13"/>
  <c r="AY702" i="13" l="1"/>
  <c r="AX702" i="13"/>
  <c r="F702" i="13"/>
  <c r="K702" i="13" s="1"/>
  <c r="E702" i="13"/>
  <c r="AY515" i="13"/>
  <c r="AX515" i="13"/>
  <c r="F515" i="13"/>
  <c r="K515" i="13" s="1"/>
  <c r="E515" i="13"/>
  <c r="AY513" i="13"/>
  <c r="AX513" i="13"/>
  <c r="F513" i="13"/>
  <c r="K513" i="13" s="1"/>
  <c r="E513" i="13"/>
  <c r="AY526" i="13" l="1"/>
  <c r="AX735" i="13"/>
  <c r="H735" i="13"/>
  <c r="E735" i="13"/>
  <c r="F735" i="13"/>
  <c r="K735" i="13" s="1"/>
  <c r="AX734" i="13"/>
  <c r="H734" i="13"/>
  <c r="E734" i="13"/>
  <c r="F734" i="13"/>
  <c r="K734" i="13" s="1"/>
  <c r="AY649" i="13"/>
  <c r="AY717" i="13"/>
  <c r="AY712" i="13"/>
  <c r="AY716" i="13"/>
  <c r="AY723" i="13"/>
  <c r="AY713" i="13"/>
  <c r="AX733" i="13"/>
  <c r="AX732" i="13"/>
  <c r="AX731" i="13"/>
  <c r="H731" i="13"/>
  <c r="H732" i="13"/>
  <c r="H733" i="13"/>
  <c r="E733" i="13"/>
  <c r="F733" i="13"/>
  <c r="K733" i="13" s="1"/>
  <c r="E732" i="13"/>
  <c r="F732" i="13"/>
  <c r="K732" i="13" s="1"/>
  <c r="E731" i="13"/>
  <c r="F731" i="13"/>
  <c r="K731" i="13" s="1"/>
  <c r="AX600" i="13"/>
  <c r="F600" i="13"/>
  <c r="K600" i="13" s="1"/>
  <c r="E600" i="13"/>
  <c r="AY514" i="13"/>
  <c r="AX730" i="13"/>
  <c r="H730" i="13"/>
  <c r="F730" i="13"/>
  <c r="K730" i="13" s="1"/>
  <c r="E730" i="13"/>
  <c r="AX729" i="13"/>
  <c r="H729" i="13"/>
  <c r="E729" i="13"/>
  <c r="F729" i="13"/>
  <c r="K729" i="13" s="1"/>
  <c r="AX728" i="13"/>
  <c r="H728" i="13"/>
  <c r="E728" i="13"/>
  <c r="F728" i="13"/>
  <c r="K728" i="13" s="1"/>
  <c r="AX727" i="13"/>
  <c r="H727" i="13"/>
  <c r="E727" i="13"/>
  <c r="F727" i="13"/>
  <c r="K727" i="13" s="1"/>
  <c r="AX726" i="13"/>
  <c r="H726" i="13"/>
  <c r="E726" i="13"/>
  <c r="F726" i="13"/>
  <c r="K726" i="13" s="1"/>
  <c r="AY701" i="13"/>
  <c r="AX698" i="13"/>
  <c r="AY698" i="13"/>
  <c r="AY623" i="13"/>
  <c r="AY613" i="13"/>
  <c r="AX580" i="13"/>
  <c r="AY580" i="13"/>
  <c r="AX725" i="13"/>
  <c r="H725" i="13"/>
  <c r="E725" i="13"/>
  <c r="F725" i="13"/>
  <c r="K725" i="13" s="1"/>
  <c r="AX724" i="13"/>
  <c r="H724" i="13"/>
  <c r="E724" i="13"/>
  <c r="F724" i="13"/>
  <c r="K724" i="13" s="1"/>
  <c r="C11" i="15"/>
  <c r="C13" i="15"/>
  <c r="AX723" i="13" l="1"/>
  <c r="AX722" i="13"/>
  <c r="H722" i="13"/>
  <c r="E723" i="13"/>
  <c r="F723" i="13"/>
  <c r="K723" i="13" s="1"/>
  <c r="E722" i="13"/>
  <c r="F722" i="13"/>
  <c r="K722" i="13" s="1"/>
  <c r="AY512" i="13"/>
  <c r="AY687" i="13"/>
  <c r="E442" i="13"/>
  <c r="F442" i="13"/>
  <c r="K442" i="13" s="1"/>
  <c r="H442" i="13"/>
  <c r="AX442" i="13"/>
  <c r="AY442" i="13"/>
  <c r="E512" i="13"/>
  <c r="F512" i="13"/>
  <c r="K512" i="13" s="1"/>
  <c r="AX512" i="13"/>
  <c r="AY492" i="13"/>
  <c r="AX721" i="13" l="1"/>
  <c r="H721" i="13"/>
  <c r="E721" i="13"/>
  <c r="F721" i="13"/>
  <c r="K721" i="13" s="1"/>
  <c r="AX720" i="13"/>
  <c r="H720" i="13"/>
  <c r="E720" i="13"/>
  <c r="F720" i="13"/>
  <c r="K720" i="13" s="1"/>
  <c r="AX719" i="13"/>
  <c r="H719" i="13"/>
  <c r="E719" i="13"/>
  <c r="F719" i="13"/>
  <c r="K719" i="13" s="1"/>
  <c r="AX718" i="13"/>
  <c r="H718" i="13"/>
  <c r="E718" i="13"/>
  <c r="F718" i="13"/>
  <c r="K718" i="13" s="1"/>
  <c r="AX717" i="13"/>
  <c r="E717" i="13"/>
  <c r="F717" i="13"/>
  <c r="K717" i="13" s="1"/>
  <c r="AY622" i="13"/>
  <c r="AX701" i="13"/>
  <c r="AY599" i="13" l="1"/>
  <c r="AY523" i="13"/>
  <c r="AY605" i="13"/>
  <c r="AY522" i="13"/>
  <c r="AY584" i="13"/>
  <c r="AX716" i="13"/>
  <c r="AX715" i="13"/>
  <c r="AX714" i="13"/>
  <c r="H715" i="13"/>
  <c r="H714" i="13"/>
  <c r="F716" i="13"/>
  <c r="K716" i="13" s="1"/>
  <c r="E716" i="13"/>
  <c r="E715" i="13"/>
  <c r="F715" i="13"/>
  <c r="K715" i="13" s="1"/>
  <c r="E714" i="13"/>
  <c r="F714" i="13"/>
  <c r="K714" i="13" s="1"/>
  <c r="AY654" i="13" l="1"/>
  <c r="AY700" i="13" l="1"/>
  <c r="AX713" i="13"/>
  <c r="E713" i="13"/>
  <c r="F713" i="13"/>
  <c r="K713" i="13" s="1"/>
  <c r="AX712" i="13"/>
  <c r="E712" i="13"/>
  <c r="F712" i="13"/>
  <c r="K712" i="13" s="1"/>
  <c r="AY667" i="13"/>
  <c r="AX711" i="13"/>
  <c r="H711" i="13"/>
  <c r="E711" i="13"/>
  <c r="F711" i="13"/>
  <c r="K711" i="13" s="1"/>
  <c r="AX710" i="13"/>
  <c r="H710" i="13"/>
  <c r="E710" i="13"/>
  <c r="F710" i="13"/>
  <c r="K710" i="13" s="1"/>
  <c r="AY706" i="13"/>
  <c r="AY679" i="13"/>
  <c r="AY633" i="13"/>
  <c r="AX709" i="13"/>
  <c r="AX708" i="13"/>
  <c r="H709" i="13"/>
  <c r="H708" i="13"/>
  <c r="E709" i="13"/>
  <c r="F709" i="13"/>
  <c r="K709" i="13" s="1"/>
  <c r="E708" i="13"/>
  <c r="F708" i="13"/>
  <c r="K708" i="13" s="1"/>
  <c r="AY668" i="13"/>
  <c r="E700" i="13"/>
  <c r="F700" i="13"/>
  <c r="K700" i="13" s="1"/>
  <c r="AX700" i="13"/>
  <c r="AX707" i="13" l="1"/>
  <c r="H707" i="13"/>
  <c r="E707" i="13"/>
  <c r="F707" i="13"/>
  <c r="K707" i="13" s="1"/>
  <c r="AY507" i="13"/>
  <c r="AX706" i="13"/>
  <c r="E706" i="13"/>
  <c r="F706" i="13"/>
  <c r="K706" i="13" s="1"/>
  <c r="AX705" i="13"/>
  <c r="H705" i="13"/>
  <c r="E705" i="13"/>
  <c r="F705" i="13"/>
  <c r="K705" i="13" s="1"/>
  <c r="AY674" i="13"/>
  <c r="AX704" i="13"/>
  <c r="H704" i="13"/>
  <c r="E704" i="13"/>
  <c r="F704" i="13"/>
  <c r="K704" i="13" s="1"/>
  <c r="AX703" i="13"/>
  <c r="H703" i="13"/>
  <c r="E703" i="13"/>
  <c r="F703" i="13"/>
  <c r="K703" i="13" s="1"/>
  <c r="E701" i="13"/>
  <c r="F701" i="13"/>
  <c r="K701" i="13" s="1"/>
  <c r="AY681" i="13"/>
  <c r="AY460" i="13"/>
  <c r="E698" i="13" l="1"/>
  <c r="F698" i="13"/>
  <c r="K698" i="13" s="1"/>
  <c r="AY597" i="13"/>
  <c r="AX196" i="13"/>
  <c r="AY453" i="13" l="1"/>
  <c r="AX697" i="13" l="1"/>
  <c r="H697" i="13"/>
  <c r="E697" i="13"/>
  <c r="F697" i="13"/>
  <c r="K697" i="13" s="1"/>
  <c r="AX696" i="13"/>
  <c r="H696" i="13"/>
  <c r="E696" i="13"/>
  <c r="F696" i="13"/>
  <c r="K696" i="13" s="1"/>
  <c r="AX695" i="13"/>
  <c r="N634" i="13"/>
  <c r="P634" i="13"/>
  <c r="Q634" i="13"/>
  <c r="Q596" i="13"/>
  <c r="H695" i="13" l="1"/>
  <c r="E695" i="13"/>
  <c r="F695" i="13"/>
  <c r="K695" i="13" s="1"/>
  <c r="AX694" i="13"/>
  <c r="H694" i="13"/>
  <c r="F694" i="13"/>
  <c r="K694" i="13" s="1"/>
  <c r="E694" i="13"/>
  <c r="AX693" i="13"/>
  <c r="H693" i="13"/>
  <c r="E693" i="13"/>
  <c r="F693" i="13"/>
  <c r="K693" i="13" s="1"/>
  <c r="AY634" i="13"/>
  <c r="AX692" i="13"/>
  <c r="H692" i="13"/>
  <c r="E692" i="13"/>
  <c r="F692" i="13"/>
  <c r="K692" i="13" s="1"/>
  <c r="AX691" i="13"/>
  <c r="H691" i="13"/>
  <c r="F691" i="13"/>
  <c r="K691" i="13" s="1"/>
  <c r="E691" i="13"/>
  <c r="AX690" i="13"/>
  <c r="H690" i="13"/>
  <c r="F690" i="13"/>
  <c r="K690" i="13" s="1"/>
  <c r="E690" i="13"/>
  <c r="AX689" i="13"/>
  <c r="H689" i="13"/>
  <c r="F689" i="13"/>
  <c r="K689" i="13" s="1"/>
  <c r="E689" i="13"/>
  <c r="AX688" i="13"/>
  <c r="H688" i="13"/>
  <c r="E688" i="13"/>
  <c r="F688" i="13"/>
  <c r="K688" i="13" s="1"/>
  <c r="AX687" i="13"/>
  <c r="H676" i="13"/>
  <c r="H677" i="13"/>
  <c r="H678" i="13"/>
  <c r="H680" i="13"/>
  <c r="H682" i="13"/>
  <c r="H683" i="13"/>
  <c r="H684" i="13"/>
  <c r="H685" i="13"/>
  <c r="H686" i="13"/>
  <c r="E687" i="13"/>
  <c r="F687" i="13"/>
  <c r="K687" i="13" s="1"/>
  <c r="AY596" i="13"/>
  <c r="AX686" i="13"/>
  <c r="E686" i="13"/>
  <c r="F686" i="13"/>
  <c r="K686" i="13" s="1"/>
  <c r="AX685" i="13"/>
  <c r="E685" i="13"/>
  <c r="F685" i="13"/>
  <c r="K685" i="13" s="1"/>
  <c r="AX684" i="13"/>
  <c r="E684" i="13"/>
  <c r="F684" i="13"/>
  <c r="K684" i="13" s="1"/>
  <c r="AX683" i="13"/>
  <c r="E683" i="13"/>
  <c r="F683" i="13"/>
  <c r="K683" i="13" s="1"/>
  <c r="AX682" i="13"/>
  <c r="E682" i="13"/>
  <c r="F682" i="13"/>
  <c r="K682" i="13" s="1"/>
  <c r="AX681" i="13"/>
  <c r="E681" i="13"/>
  <c r="F681" i="13"/>
  <c r="K681" i="13" s="1"/>
  <c r="AY532" i="13"/>
  <c r="AX680" i="13"/>
  <c r="E680" i="13"/>
  <c r="F680" i="13"/>
  <c r="K680" i="13" s="1"/>
  <c r="AX679" i="13"/>
  <c r="E679" i="13"/>
  <c r="F679" i="13"/>
  <c r="K679" i="13" s="1"/>
  <c r="AY609" i="13"/>
  <c r="AX678" i="13"/>
  <c r="F678" i="13"/>
  <c r="K678" i="13" s="1"/>
  <c r="E678" i="13"/>
  <c r="AX677" i="13"/>
  <c r="E677" i="13"/>
  <c r="F677" i="13"/>
  <c r="K677" i="13" s="1"/>
  <c r="AX676" i="13"/>
  <c r="E676" i="13"/>
  <c r="F676" i="13"/>
  <c r="K676" i="13" s="1"/>
  <c r="AX675" i="13"/>
  <c r="AX674" i="13"/>
  <c r="AX673" i="13"/>
  <c r="H675" i="13"/>
  <c r="H673" i="13"/>
  <c r="F675" i="13"/>
  <c r="K675" i="13" s="1"/>
  <c r="F674" i="13"/>
  <c r="K674" i="13" s="1"/>
  <c r="F673" i="13"/>
  <c r="K673" i="13" s="1"/>
  <c r="E675" i="13"/>
  <c r="E674" i="13"/>
  <c r="E673" i="13"/>
  <c r="AX672" i="13"/>
  <c r="H672" i="13"/>
  <c r="F672" i="13"/>
  <c r="K672" i="13" s="1"/>
  <c r="E672" i="13"/>
  <c r="AX671" i="13"/>
  <c r="H671" i="13"/>
  <c r="E671" i="13"/>
  <c r="F671" i="13"/>
  <c r="K671" i="13" s="1"/>
  <c r="AH746" i="13"/>
  <c r="AI746" i="13"/>
  <c r="AX670" i="13"/>
  <c r="H670" i="13"/>
  <c r="F670" i="13"/>
  <c r="K670" i="13" s="1"/>
  <c r="E670" i="13"/>
  <c r="AX669" i="13"/>
  <c r="H669" i="13"/>
  <c r="F669" i="13"/>
  <c r="K669" i="13" s="1"/>
  <c r="E669" i="13"/>
  <c r="AX668" i="13"/>
  <c r="E668" i="13"/>
  <c r="F668" i="13"/>
  <c r="K668" i="13" s="1"/>
  <c r="AY612" i="13"/>
  <c r="AY606" i="13"/>
  <c r="AX667" i="13"/>
  <c r="F667" i="13"/>
  <c r="K667" i="13" s="1"/>
  <c r="E667" i="13"/>
  <c r="AX665" i="13" l="1"/>
  <c r="AX666" i="13"/>
  <c r="AX664" i="13"/>
  <c r="H666" i="13"/>
  <c r="H665" i="13"/>
  <c r="H664" i="13"/>
  <c r="E666" i="13"/>
  <c r="F666" i="13"/>
  <c r="K666" i="13" s="1"/>
  <c r="E665" i="13"/>
  <c r="F665" i="13"/>
  <c r="K665" i="13" s="1"/>
  <c r="E664" i="13"/>
  <c r="F664" i="13"/>
  <c r="K664" i="13" s="1"/>
  <c r="AX663" i="13"/>
  <c r="H663" i="13"/>
  <c r="F663" i="13"/>
  <c r="K663" i="13" s="1"/>
  <c r="E663" i="13"/>
  <c r="AX662" i="13"/>
  <c r="H662" i="13"/>
  <c r="F662" i="13"/>
  <c r="K662" i="13" s="1"/>
  <c r="E662" i="13"/>
  <c r="AX661" i="13"/>
  <c r="H661" i="13"/>
  <c r="F661" i="13"/>
  <c r="K661" i="13" s="1"/>
  <c r="E661" i="13"/>
  <c r="AX660" i="13"/>
  <c r="H660" i="13"/>
  <c r="E660" i="13"/>
  <c r="F660" i="13"/>
  <c r="K660" i="13" s="1"/>
  <c r="AX659" i="13"/>
  <c r="H659" i="13"/>
  <c r="E659" i="13"/>
  <c r="F659" i="13"/>
  <c r="K659" i="13" s="1"/>
  <c r="AX658" i="13"/>
  <c r="H658" i="13"/>
  <c r="E658" i="13"/>
  <c r="F658" i="13"/>
  <c r="K658" i="13" s="1"/>
  <c r="AX657" i="13"/>
  <c r="H657" i="13"/>
  <c r="E657" i="13"/>
  <c r="F657" i="13"/>
  <c r="K657" i="13" s="1"/>
  <c r="AX656" i="13"/>
  <c r="H656" i="13"/>
  <c r="E656" i="13"/>
  <c r="F656" i="13"/>
  <c r="K656" i="13" s="1"/>
  <c r="AX655" i="13"/>
  <c r="H655" i="13"/>
  <c r="E655" i="13"/>
  <c r="F655" i="13"/>
  <c r="K655" i="13" s="1"/>
  <c r="AY577" i="13"/>
  <c r="AY591" i="13"/>
  <c r="AX654" i="13"/>
  <c r="E654" i="13"/>
  <c r="F654" i="13"/>
  <c r="K654" i="13" s="1"/>
  <c r="AX653" i="13"/>
  <c r="H653" i="13"/>
  <c r="E653" i="13"/>
  <c r="F653" i="13"/>
  <c r="K653" i="13" s="1"/>
  <c r="AX652" i="13"/>
  <c r="H652" i="13"/>
  <c r="E652" i="13"/>
  <c r="F652" i="13"/>
  <c r="K652" i="13" s="1"/>
  <c r="AX651" i="13"/>
  <c r="H651" i="13"/>
  <c r="E651" i="13"/>
  <c r="F651" i="13"/>
  <c r="K651" i="13" s="1"/>
  <c r="AX650" i="13"/>
  <c r="H650" i="13"/>
  <c r="E650" i="13"/>
  <c r="F650" i="13"/>
  <c r="K650" i="13" s="1"/>
  <c r="AX649" i="13"/>
  <c r="H649" i="13"/>
  <c r="E649" i="13"/>
  <c r="F649" i="13"/>
  <c r="K649" i="13" s="1"/>
  <c r="AX648" i="13"/>
  <c r="H648" i="13"/>
  <c r="E648" i="13"/>
  <c r="F648" i="13"/>
  <c r="K648" i="13" s="1"/>
  <c r="AX647" i="13"/>
  <c r="AX646" i="13"/>
  <c r="AX645" i="13"/>
  <c r="AX644" i="13"/>
  <c r="AX643" i="13"/>
  <c r="AX642" i="13"/>
  <c r="H647" i="13"/>
  <c r="H646" i="13"/>
  <c r="H645" i="13"/>
  <c r="H644" i="13"/>
  <c r="H643" i="13"/>
  <c r="H642" i="13"/>
  <c r="F647" i="13"/>
  <c r="K647" i="13" s="1"/>
  <c r="F646" i="13"/>
  <c r="K646" i="13" s="1"/>
  <c r="F645" i="13"/>
  <c r="K645" i="13" s="1"/>
  <c r="F644" i="13"/>
  <c r="K644" i="13" s="1"/>
  <c r="F643" i="13"/>
  <c r="K643" i="13" s="1"/>
  <c r="F642" i="13"/>
  <c r="K642" i="13" s="1"/>
  <c r="E647" i="13"/>
  <c r="E646" i="13"/>
  <c r="E645" i="13"/>
  <c r="E644" i="13"/>
  <c r="E643" i="13"/>
  <c r="E642" i="13"/>
  <c r="AV746" i="13" l="1"/>
  <c r="AW746" i="13"/>
  <c r="AU746" i="13"/>
  <c r="AT746" i="13"/>
  <c r="AY560" i="13" l="1"/>
  <c r="AX560" i="13"/>
  <c r="AX641" i="13"/>
  <c r="H641" i="13"/>
  <c r="F641" i="13"/>
  <c r="K641" i="13" s="1"/>
  <c r="E641" i="13"/>
  <c r="AX640" i="13"/>
  <c r="H640" i="13"/>
  <c r="F640" i="13"/>
  <c r="K640" i="13" s="1"/>
  <c r="E640" i="13"/>
  <c r="AX639" i="13"/>
  <c r="H639" i="13"/>
  <c r="F639" i="13"/>
  <c r="K639" i="13" s="1"/>
  <c r="E639" i="13"/>
  <c r="AX638" i="13"/>
  <c r="H638" i="13"/>
  <c r="F638" i="13"/>
  <c r="K638" i="13" s="1"/>
  <c r="E638" i="13"/>
  <c r="AX637" i="13"/>
  <c r="H637" i="13"/>
  <c r="F637" i="13"/>
  <c r="K637" i="13" s="1"/>
  <c r="E637" i="13"/>
  <c r="AX636" i="13"/>
  <c r="H636" i="13"/>
  <c r="E636" i="13"/>
  <c r="F636" i="13"/>
  <c r="K636" i="13" s="1"/>
  <c r="AX635" i="13"/>
  <c r="H635" i="13"/>
  <c r="F635" i="13"/>
  <c r="K635" i="13" s="1"/>
  <c r="E635" i="13"/>
  <c r="AX634" i="13"/>
  <c r="E634" i="13"/>
  <c r="F634" i="13"/>
  <c r="K634" i="13" s="1"/>
  <c r="AX633" i="13"/>
  <c r="E633" i="13"/>
  <c r="F633" i="13"/>
  <c r="K633" i="13" s="1"/>
  <c r="AY576" i="13"/>
  <c r="AY559" i="13"/>
  <c r="AX632" i="13"/>
  <c r="AX631" i="13"/>
  <c r="AX630" i="13"/>
  <c r="AX629" i="13"/>
  <c r="AX628" i="13"/>
  <c r="AX627" i="13"/>
  <c r="H627" i="13"/>
  <c r="H628" i="13"/>
  <c r="H629" i="13"/>
  <c r="H630" i="13"/>
  <c r="H631" i="13"/>
  <c r="H632" i="13"/>
  <c r="F627" i="13"/>
  <c r="K627" i="13" s="1"/>
  <c r="F628" i="13"/>
  <c r="K628" i="13" s="1"/>
  <c r="F629" i="13"/>
  <c r="K629" i="13" s="1"/>
  <c r="F630" i="13"/>
  <c r="K630" i="13" s="1"/>
  <c r="F631" i="13"/>
  <c r="K631" i="13" s="1"/>
  <c r="F632" i="13"/>
  <c r="K632" i="13" s="1"/>
  <c r="E627" i="13"/>
  <c r="E628" i="13"/>
  <c r="E629" i="13"/>
  <c r="E630" i="13"/>
  <c r="E631" i="13"/>
  <c r="E632" i="13"/>
  <c r="AX626" i="13"/>
  <c r="H626" i="13"/>
  <c r="E626" i="13"/>
  <c r="F626" i="13"/>
  <c r="K626" i="13" s="1"/>
  <c r="AX625" i="13"/>
  <c r="H625" i="13"/>
  <c r="E625" i="13"/>
  <c r="F625" i="13"/>
  <c r="K625" i="13" s="1"/>
  <c r="AX624" i="13"/>
  <c r="H624" i="13"/>
  <c r="E624" i="13"/>
  <c r="F624" i="13"/>
  <c r="K624" i="13" s="1"/>
  <c r="AX623" i="13"/>
  <c r="E623" i="13"/>
  <c r="F623" i="13"/>
  <c r="K623" i="13" s="1"/>
  <c r="AY574" i="13" l="1"/>
  <c r="AX622" i="13"/>
  <c r="E622" i="13"/>
  <c r="F622" i="13"/>
  <c r="K622" i="13" s="1"/>
  <c r="AY334" i="13"/>
  <c r="AX621" i="13" l="1"/>
  <c r="AX620" i="13"/>
  <c r="H621" i="13"/>
  <c r="H620" i="13"/>
  <c r="E621" i="13"/>
  <c r="F621" i="13"/>
  <c r="K621" i="13" s="1"/>
  <c r="E620" i="13"/>
  <c r="F620" i="13"/>
  <c r="K620" i="13" s="1"/>
  <c r="AX619" i="13"/>
  <c r="AX618" i="13"/>
  <c r="H619" i="13"/>
  <c r="H618" i="13"/>
  <c r="E619" i="13"/>
  <c r="F619" i="13"/>
  <c r="K619" i="13" s="1"/>
  <c r="E618" i="13"/>
  <c r="F618" i="13"/>
  <c r="K618" i="13" s="1"/>
  <c r="AY566" i="13"/>
  <c r="AX617" i="13"/>
  <c r="AX616" i="13"/>
  <c r="AX615" i="13"/>
  <c r="H615" i="13"/>
  <c r="H616" i="13"/>
  <c r="H617" i="13"/>
  <c r="E617" i="13"/>
  <c r="F617" i="13"/>
  <c r="K617" i="13" s="1"/>
  <c r="E616" i="13"/>
  <c r="F616" i="13"/>
  <c r="K616" i="13" s="1"/>
  <c r="E615" i="13"/>
  <c r="F615" i="13"/>
  <c r="K615" i="13" s="1"/>
  <c r="AX613" i="13"/>
  <c r="E613" i="13"/>
  <c r="F613" i="13"/>
  <c r="K613" i="13" s="1"/>
  <c r="AX612" i="13"/>
  <c r="E612" i="13"/>
  <c r="F612" i="13"/>
  <c r="K612" i="13" s="1"/>
  <c r="AX611" i="13" l="1"/>
  <c r="AX610" i="13"/>
  <c r="H610" i="13"/>
  <c r="H611" i="13"/>
  <c r="E611" i="13"/>
  <c r="F611" i="13"/>
  <c r="K611" i="13" s="1"/>
  <c r="E610" i="13"/>
  <c r="F610" i="13"/>
  <c r="K610" i="13" s="1"/>
  <c r="AY511" i="13"/>
  <c r="AX609" i="13" l="1"/>
  <c r="E609" i="13"/>
  <c r="F609" i="13"/>
  <c r="K609" i="13" s="1"/>
  <c r="AY571" i="13"/>
  <c r="AX608" i="13"/>
  <c r="H608" i="13"/>
  <c r="F608" i="13"/>
  <c r="K608" i="13" s="1"/>
  <c r="E608" i="13"/>
  <c r="AX607" i="13"/>
  <c r="H607" i="13"/>
  <c r="F607" i="13"/>
  <c r="K607" i="13" s="1"/>
  <c r="E607" i="13"/>
  <c r="AX606" i="13"/>
  <c r="F606" i="13"/>
  <c r="K606" i="13" s="1"/>
  <c r="E606" i="13"/>
  <c r="AX605" i="13"/>
  <c r="F605" i="13"/>
  <c r="K605" i="13" s="1"/>
  <c r="E605" i="13"/>
  <c r="AX604" i="13"/>
  <c r="H604" i="13"/>
  <c r="F604" i="13"/>
  <c r="K604" i="13" s="1"/>
  <c r="E604" i="13"/>
  <c r="AX603" i="13"/>
  <c r="H603" i="13"/>
  <c r="F603" i="13"/>
  <c r="K603" i="13" s="1"/>
  <c r="E603" i="13"/>
  <c r="AX602" i="13"/>
  <c r="H602" i="13"/>
  <c r="E602" i="13"/>
  <c r="F602" i="13"/>
  <c r="K602" i="13" s="1"/>
  <c r="AX601" i="13"/>
  <c r="H601" i="13"/>
  <c r="E601" i="13"/>
  <c r="F601" i="13"/>
  <c r="K601" i="13" s="1"/>
  <c r="AX599" i="13"/>
  <c r="E599" i="13"/>
  <c r="F599" i="13"/>
  <c r="K599" i="13" s="1"/>
  <c r="AX598" i="13"/>
  <c r="H598" i="13"/>
  <c r="E598" i="13"/>
  <c r="F598" i="13"/>
  <c r="K598" i="13" s="1"/>
  <c r="AY573" i="13"/>
  <c r="AY555" i="13"/>
  <c r="AX597" i="13"/>
  <c r="E597" i="13"/>
  <c r="F597" i="13"/>
  <c r="K597" i="13" s="1"/>
  <c r="AX596" i="13"/>
  <c r="E596" i="13"/>
  <c r="F596" i="13"/>
  <c r="K596" i="13" s="1"/>
  <c r="AX595" i="13"/>
  <c r="AX594" i="13"/>
  <c r="AX593" i="13"/>
  <c r="AX592" i="13"/>
  <c r="H592" i="13"/>
  <c r="H593" i="13"/>
  <c r="H594" i="13"/>
  <c r="H595" i="13"/>
  <c r="E595" i="13"/>
  <c r="F595" i="13"/>
  <c r="K595" i="13" s="1"/>
  <c r="E594" i="13"/>
  <c r="F594" i="13"/>
  <c r="K594" i="13" s="1"/>
  <c r="E593" i="13"/>
  <c r="F593" i="13"/>
  <c r="K593" i="13" s="1"/>
  <c r="E592" i="13"/>
  <c r="F592" i="13"/>
  <c r="K592" i="13" s="1"/>
  <c r="AX591" i="13"/>
  <c r="F591" i="13"/>
  <c r="K591" i="13" s="1"/>
  <c r="E591" i="13"/>
  <c r="AX590" i="13"/>
  <c r="AX589" i="13"/>
  <c r="AX588" i="13"/>
  <c r="AX587" i="13"/>
  <c r="AX586" i="13"/>
  <c r="AX585" i="13"/>
  <c r="H585" i="13"/>
  <c r="H586" i="13"/>
  <c r="H587" i="13"/>
  <c r="H588" i="13"/>
  <c r="H589" i="13"/>
  <c r="H590" i="13"/>
  <c r="F586" i="13"/>
  <c r="K586" i="13" s="1"/>
  <c r="F587" i="13"/>
  <c r="K587" i="13" s="1"/>
  <c r="F588" i="13"/>
  <c r="K588" i="13" s="1"/>
  <c r="F589" i="13"/>
  <c r="K589" i="13" s="1"/>
  <c r="F590" i="13"/>
  <c r="K590" i="13" s="1"/>
  <c r="E586" i="13"/>
  <c r="E587" i="13"/>
  <c r="E588" i="13"/>
  <c r="E589" i="13"/>
  <c r="E590" i="13"/>
  <c r="E585" i="13"/>
  <c r="F585" i="13"/>
  <c r="K585" i="13" s="1"/>
  <c r="AX518" i="13"/>
  <c r="AX584" i="13" l="1"/>
  <c r="AX583" i="13"/>
  <c r="AX582" i="13"/>
  <c r="AX581" i="13"/>
  <c r="AX579" i="13"/>
  <c r="AX578" i="13"/>
  <c r="H578" i="13"/>
  <c r="H579" i="13"/>
  <c r="H580" i="13"/>
  <c r="H581" i="13"/>
  <c r="H582" i="13"/>
  <c r="H583" i="13"/>
  <c r="F579" i="13"/>
  <c r="K579" i="13" s="1"/>
  <c r="F580" i="13"/>
  <c r="K580" i="13" s="1"/>
  <c r="F581" i="13"/>
  <c r="K581" i="13" s="1"/>
  <c r="F582" i="13"/>
  <c r="K582" i="13" s="1"/>
  <c r="F583" i="13"/>
  <c r="K583" i="13" s="1"/>
  <c r="F584" i="13"/>
  <c r="K584" i="13" s="1"/>
  <c r="E579" i="13"/>
  <c r="E580" i="13"/>
  <c r="E581" i="13"/>
  <c r="E582" i="13"/>
  <c r="E583" i="13"/>
  <c r="E584" i="13"/>
  <c r="E578" i="13"/>
  <c r="F578" i="13"/>
  <c r="K578" i="13" s="1"/>
  <c r="AX577" i="13"/>
  <c r="E577" i="13"/>
  <c r="F577" i="13"/>
  <c r="K577" i="13" s="1"/>
  <c r="AY569" i="13"/>
  <c r="AX576" i="13"/>
  <c r="E576" i="13"/>
  <c r="F576" i="13"/>
  <c r="K576" i="13" s="1"/>
  <c r="AS746" i="13"/>
  <c r="AR746" i="13"/>
  <c r="AQ746" i="13"/>
  <c r="AP746" i="13"/>
  <c r="AO746" i="13"/>
  <c r="AN746" i="13"/>
  <c r="AM746" i="13"/>
  <c r="AL746" i="13"/>
  <c r="AK746" i="13"/>
  <c r="AJ746" i="13"/>
  <c r="AG746" i="13"/>
  <c r="AF746" i="13"/>
  <c r="AE746" i="13"/>
  <c r="AD746" i="13"/>
  <c r="AC746" i="13"/>
  <c r="AB746" i="13"/>
  <c r="AA746" i="13"/>
  <c r="Z746" i="13"/>
  <c r="Y746" i="13"/>
  <c r="X746" i="13"/>
  <c r="W746" i="13"/>
  <c r="V746" i="13"/>
  <c r="AX575" i="13"/>
  <c r="H575" i="13"/>
  <c r="E575" i="13"/>
  <c r="F575" i="13"/>
  <c r="K575" i="13" s="1"/>
  <c r="AX574" i="13"/>
  <c r="F574" i="13"/>
  <c r="K574" i="13" s="1"/>
  <c r="E574" i="13"/>
  <c r="AY567" i="13" l="1"/>
  <c r="AY570" i="13" l="1"/>
  <c r="AX573" i="13"/>
  <c r="E573" i="13"/>
  <c r="F573" i="13"/>
  <c r="K573" i="13" s="1"/>
  <c r="AY572" i="13"/>
  <c r="AY568" i="13"/>
  <c r="AY504" i="13"/>
  <c r="AX572" i="13"/>
  <c r="E572" i="13"/>
  <c r="F572" i="13"/>
  <c r="K572" i="13" s="1"/>
  <c r="AY551" i="13"/>
  <c r="AX471" i="13"/>
  <c r="AY471" i="13"/>
  <c r="AY552" i="13" l="1"/>
  <c r="AY525" i="13"/>
  <c r="AY558" i="13"/>
  <c r="AX571" i="13"/>
  <c r="E571" i="13"/>
  <c r="F571" i="13"/>
  <c r="K571" i="13" s="1"/>
  <c r="AX570" i="13"/>
  <c r="E570" i="13"/>
  <c r="F570" i="13"/>
  <c r="K570" i="13" s="1"/>
  <c r="AY538" i="13"/>
  <c r="AY536" i="13"/>
  <c r="AY535" i="13"/>
  <c r="AX268" i="13"/>
  <c r="AY268" i="13"/>
  <c r="AX269" i="13"/>
  <c r="AY269" i="13"/>
  <c r="AX569" i="13" l="1"/>
  <c r="E569" i="13"/>
  <c r="F569" i="13"/>
  <c r="K569" i="13" s="1"/>
  <c r="AX568" i="13"/>
  <c r="E568" i="13"/>
  <c r="F568" i="13"/>
  <c r="K568" i="13" s="1"/>
  <c r="AY553" i="13"/>
  <c r="AX567" i="13"/>
  <c r="E567" i="13"/>
  <c r="F567" i="13"/>
  <c r="K567" i="13" s="1"/>
  <c r="AX566" i="13"/>
  <c r="E566" i="13"/>
  <c r="F566" i="13"/>
  <c r="K566" i="13" s="1"/>
  <c r="AY519" i="13"/>
  <c r="AY518" i="13"/>
  <c r="AX565" i="13" l="1"/>
  <c r="H565" i="13"/>
  <c r="E565" i="13"/>
  <c r="F565" i="13"/>
  <c r="K565" i="13" s="1"/>
  <c r="AX564" i="13"/>
  <c r="H564" i="13"/>
  <c r="E564" i="13"/>
  <c r="F564" i="13"/>
  <c r="K564" i="13" s="1"/>
  <c r="AX563" i="13"/>
  <c r="H563" i="13"/>
  <c r="E563" i="13"/>
  <c r="F563" i="13"/>
  <c r="K563" i="13" s="1"/>
  <c r="AX562" i="13"/>
  <c r="H562" i="13"/>
  <c r="E562" i="13"/>
  <c r="F562" i="13"/>
  <c r="K562" i="13" s="1"/>
  <c r="AX561" i="13"/>
  <c r="H561" i="13"/>
  <c r="F561" i="13"/>
  <c r="K561" i="13" s="1"/>
  <c r="E561" i="13"/>
  <c r="AX559" i="13"/>
  <c r="E559" i="13"/>
  <c r="F559" i="13"/>
  <c r="K559" i="13" s="1"/>
  <c r="AY187" i="13"/>
  <c r="AX187" i="13"/>
  <c r="AX169" i="13"/>
  <c r="AY169" i="13"/>
  <c r="AX558" i="13"/>
  <c r="E558" i="13"/>
  <c r="F558" i="13"/>
  <c r="K558" i="13" s="1"/>
  <c r="AX557" i="13"/>
  <c r="H557" i="13"/>
  <c r="F557" i="13"/>
  <c r="K557" i="13" s="1"/>
  <c r="E557" i="13"/>
  <c r="AX556" i="13"/>
  <c r="H556" i="13"/>
  <c r="E556" i="13"/>
  <c r="F556" i="13"/>
  <c r="K556" i="13" s="1"/>
  <c r="AX555" i="13"/>
  <c r="E555" i="13"/>
  <c r="F555" i="13"/>
  <c r="K555" i="13" s="1"/>
  <c r="AX554" i="13"/>
  <c r="H554" i="13"/>
  <c r="E554" i="13"/>
  <c r="F554" i="13"/>
  <c r="K554" i="13" s="1"/>
  <c r="AX553" i="13"/>
  <c r="E553" i="13"/>
  <c r="F553" i="13"/>
  <c r="K553" i="13" s="1"/>
  <c r="AX552" i="13"/>
  <c r="E552" i="13"/>
  <c r="F552" i="13"/>
  <c r="K552" i="13" s="1"/>
  <c r="AX551" i="13"/>
  <c r="E551" i="13"/>
  <c r="F551" i="13"/>
  <c r="K551" i="13" s="1"/>
  <c r="AX550" i="13"/>
  <c r="H550" i="13"/>
  <c r="E550" i="13"/>
  <c r="F550" i="13"/>
  <c r="K550" i="13" s="1"/>
  <c r="AX549" i="13"/>
  <c r="H549" i="13"/>
  <c r="E549" i="13"/>
  <c r="F549" i="13"/>
  <c r="K549" i="13" s="1"/>
  <c r="AX548" i="13"/>
  <c r="H548" i="13"/>
  <c r="E548" i="13"/>
  <c r="F548" i="13"/>
  <c r="K548" i="13" s="1"/>
  <c r="AX547" i="13"/>
  <c r="H547" i="13"/>
  <c r="E547" i="13"/>
  <c r="F547" i="13"/>
  <c r="K547" i="13" s="1"/>
  <c r="AX546" i="13"/>
  <c r="H546" i="13"/>
  <c r="E546" i="13"/>
  <c r="F546" i="13"/>
  <c r="K546" i="13" s="1"/>
  <c r="AX545" i="13"/>
  <c r="H545" i="13"/>
  <c r="E545" i="13"/>
  <c r="F545" i="13"/>
  <c r="K545" i="13" s="1"/>
  <c r="AX544" i="13"/>
  <c r="H544" i="13"/>
  <c r="E544" i="13"/>
  <c r="F544" i="13"/>
  <c r="K544" i="13" s="1"/>
  <c r="AX543" i="13"/>
  <c r="H543" i="13" l="1"/>
  <c r="E543" i="13"/>
  <c r="F543" i="13"/>
  <c r="K543" i="13" s="1"/>
  <c r="AX542" i="13"/>
  <c r="H542" i="13"/>
  <c r="E542" i="13"/>
  <c r="F542" i="13"/>
  <c r="K542" i="13" s="1"/>
  <c r="AX541" i="13"/>
  <c r="H541" i="13"/>
  <c r="E541" i="13"/>
  <c r="F541" i="13"/>
  <c r="K541" i="13" s="1"/>
  <c r="AX540" i="13"/>
  <c r="H540" i="13"/>
  <c r="E540" i="13"/>
  <c r="F540" i="13"/>
  <c r="K540" i="13" s="1"/>
  <c r="AX539" i="13"/>
  <c r="H539" i="13"/>
  <c r="E539" i="13"/>
  <c r="F539" i="13"/>
  <c r="K539" i="13" s="1"/>
  <c r="AX538" i="13"/>
  <c r="E538" i="13"/>
  <c r="F538" i="13"/>
  <c r="K538" i="13" s="1"/>
  <c r="AX537" i="13" l="1"/>
  <c r="H537" i="13"/>
  <c r="E537" i="13"/>
  <c r="F537" i="13"/>
  <c r="K537" i="13" s="1"/>
  <c r="AX536" i="13"/>
  <c r="E536" i="13"/>
  <c r="F536" i="13"/>
  <c r="K536" i="13" s="1"/>
  <c r="AX535" i="13"/>
  <c r="E535" i="13"/>
  <c r="F535" i="13"/>
  <c r="K535" i="13" s="1"/>
  <c r="AX534" i="13"/>
  <c r="H534" i="13"/>
  <c r="E534" i="13"/>
  <c r="F534" i="13"/>
  <c r="K534" i="13" s="1"/>
  <c r="AX533" i="13"/>
  <c r="H533" i="13"/>
  <c r="E533" i="13"/>
  <c r="F533" i="13"/>
  <c r="K533" i="13" s="1"/>
  <c r="AX532" i="13"/>
  <c r="E532" i="13"/>
  <c r="F532" i="13"/>
  <c r="K532" i="13" s="1"/>
  <c r="AX531" i="13"/>
  <c r="H531" i="13"/>
  <c r="E531" i="13"/>
  <c r="F531" i="13"/>
  <c r="K531" i="13" s="1"/>
  <c r="AX530" i="13"/>
  <c r="H530" i="13"/>
  <c r="E530" i="13"/>
  <c r="F530" i="13"/>
  <c r="K530" i="13" s="1"/>
  <c r="AX529" i="13"/>
  <c r="H529" i="13"/>
  <c r="E529" i="13"/>
  <c r="F529" i="13"/>
  <c r="K529" i="13" s="1"/>
  <c r="AX528" i="13"/>
  <c r="H528" i="13"/>
  <c r="F528" i="13"/>
  <c r="K528" i="13" s="1"/>
  <c r="E528" i="13"/>
  <c r="AY510" i="13"/>
  <c r="AY509" i="13"/>
  <c r="AY508" i="13"/>
  <c r="AX90" i="13" l="1"/>
  <c r="AY90" i="13"/>
  <c r="AX80" i="13"/>
  <c r="AX527" i="13"/>
  <c r="H527" i="13"/>
  <c r="E527" i="13"/>
  <c r="F527" i="13"/>
  <c r="K527" i="13" s="1"/>
  <c r="AX526" i="13"/>
  <c r="H526" i="13"/>
  <c r="E526" i="13"/>
  <c r="F526" i="13"/>
  <c r="K526" i="13" s="1"/>
  <c r="AX525" i="13" l="1"/>
  <c r="E525" i="13"/>
  <c r="F525" i="13"/>
  <c r="K525" i="13" s="1"/>
  <c r="AX524" i="13"/>
  <c r="H524" i="13"/>
  <c r="E524" i="13"/>
  <c r="F524" i="13"/>
  <c r="K524" i="13" s="1"/>
  <c r="AY520" i="13"/>
  <c r="AX523" i="13"/>
  <c r="E523" i="13"/>
  <c r="F523" i="13"/>
  <c r="K523" i="13" s="1"/>
  <c r="AX522" i="13"/>
  <c r="H522" i="13"/>
  <c r="E522" i="13"/>
  <c r="F522" i="13"/>
  <c r="K522" i="13" s="1"/>
  <c r="AX521" i="13"/>
  <c r="H521" i="13"/>
  <c r="E521" i="13"/>
  <c r="F521" i="13"/>
  <c r="K521" i="13" s="1"/>
  <c r="AX520" i="13"/>
  <c r="E520" i="13"/>
  <c r="F520" i="13"/>
  <c r="K520" i="13" s="1"/>
  <c r="AX519" i="13" l="1"/>
  <c r="E519" i="13"/>
  <c r="F519" i="13"/>
  <c r="K519" i="13" s="1"/>
  <c r="E518" i="13"/>
  <c r="F518" i="13"/>
  <c r="K518" i="13" s="1"/>
  <c r="AX517" i="13"/>
  <c r="H517" i="13"/>
  <c r="E517" i="13"/>
  <c r="F517" i="13"/>
  <c r="K517" i="13" s="1"/>
  <c r="AX516" i="13"/>
  <c r="H516" i="13"/>
  <c r="E516" i="13"/>
  <c r="F516" i="13"/>
  <c r="K516" i="13" s="1"/>
  <c r="AX514" i="13"/>
  <c r="E514" i="13"/>
  <c r="F514" i="13"/>
  <c r="K514" i="13" s="1"/>
  <c r="AX511" i="13"/>
  <c r="E511" i="13"/>
  <c r="F511" i="13"/>
  <c r="K511" i="13" s="1"/>
  <c r="AX510" i="13"/>
  <c r="E510" i="13"/>
  <c r="F510" i="13"/>
  <c r="K510" i="13" s="1"/>
  <c r="AX509" i="13"/>
  <c r="E509" i="13"/>
  <c r="F509" i="13"/>
  <c r="K509" i="13" s="1"/>
  <c r="AX508" i="13"/>
  <c r="E508" i="13"/>
  <c r="F508" i="13"/>
  <c r="K508" i="13" s="1"/>
  <c r="AX507" i="13"/>
  <c r="E507" i="13"/>
  <c r="F507" i="13"/>
  <c r="K507" i="13" s="1"/>
  <c r="AX506" i="13"/>
  <c r="H506" i="13"/>
  <c r="E506" i="13"/>
  <c r="F506" i="13"/>
  <c r="K506" i="13" s="1"/>
  <c r="AX505" i="13"/>
  <c r="H505" i="13"/>
  <c r="E505" i="13"/>
  <c r="F505" i="13"/>
  <c r="K505" i="13" s="1"/>
  <c r="AY185" i="13"/>
  <c r="E504" i="13" l="1"/>
  <c r="F504" i="13"/>
  <c r="K504" i="13" s="1"/>
  <c r="W744" i="13"/>
  <c r="X744" i="13"/>
  <c r="Y744" i="13"/>
  <c r="Z744" i="13"/>
  <c r="AA744" i="13"/>
  <c r="AB744" i="13"/>
  <c r="AC744" i="13"/>
  <c r="AD744" i="13"/>
  <c r="AE744" i="13"/>
  <c r="AF744" i="13"/>
  <c r="AG744" i="13"/>
  <c r="AH744" i="13"/>
  <c r="AI744" i="13"/>
  <c r="AJ744" i="13"/>
  <c r="AK744" i="13"/>
  <c r="AL744" i="13"/>
  <c r="AM744" i="13"/>
  <c r="AN744" i="13"/>
  <c r="AO744" i="13"/>
  <c r="AP744" i="13"/>
  <c r="AQ744" i="13"/>
  <c r="AR744" i="13"/>
  <c r="AS744" i="13"/>
  <c r="AT744" i="13"/>
  <c r="AU744" i="13"/>
  <c r="AV744" i="13"/>
  <c r="AW744" i="13"/>
  <c r="V744" i="13"/>
  <c r="AY6" i="13"/>
  <c r="AY7" i="13"/>
  <c r="AY8" i="13"/>
  <c r="AY9" i="13"/>
  <c r="AY10" i="13"/>
  <c r="AY11" i="13"/>
  <c r="AY12" i="13"/>
  <c r="AY13" i="13"/>
  <c r="AY14" i="13"/>
  <c r="AY15" i="13"/>
  <c r="AY16" i="13"/>
  <c r="AY17" i="13"/>
  <c r="AY18" i="13"/>
  <c r="AY19" i="13"/>
  <c r="AY20" i="13"/>
  <c r="AY21" i="13"/>
  <c r="AY22" i="13"/>
  <c r="AY23" i="13"/>
  <c r="AY24" i="13"/>
  <c r="AY25" i="13"/>
  <c r="AY26" i="13"/>
  <c r="AY27" i="13"/>
  <c r="AY28" i="13"/>
  <c r="AY29" i="13"/>
  <c r="AY30" i="13"/>
  <c r="AY31" i="13"/>
  <c r="AY32" i="13"/>
  <c r="AY33" i="13"/>
  <c r="AY34" i="13"/>
  <c r="AY35" i="13"/>
  <c r="AY36" i="13"/>
  <c r="AY37" i="13"/>
  <c r="AY38" i="13"/>
  <c r="AY39" i="13"/>
  <c r="AY40" i="13"/>
  <c r="AY41" i="13"/>
  <c r="AY42" i="13"/>
  <c r="AY43" i="13"/>
  <c r="AY44" i="13"/>
  <c r="AY45" i="13"/>
  <c r="AY46" i="13"/>
  <c r="AY47" i="13"/>
  <c r="AY48" i="13"/>
  <c r="AY49" i="13"/>
  <c r="AY50" i="13"/>
  <c r="AY51" i="13"/>
  <c r="AY52" i="13"/>
  <c r="AY53" i="13"/>
  <c r="AY54" i="13"/>
  <c r="AY55" i="13"/>
  <c r="AY56" i="13"/>
  <c r="AY57" i="13"/>
  <c r="AY58" i="13"/>
  <c r="AY59" i="13"/>
  <c r="AY60" i="13"/>
  <c r="AY61" i="13"/>
  <c r="AY62" i="13"/>
  <c r="AY63" i="13"/>
  <c r="AY64" i="13"/>
  <c r="AY65" i="13"/>
  <c r="AY66" i="13"/>
  <c r="AY67" i="13"/>
  <c r="AY68" i="13"/>
  <c r="AY69" i="13"/>
  <c r="AY70" i="13"/>
  <c r="AY71" i="13"/>
  <c r="AY72" i="13"/>
  <c r="AY73" i="13"/>
  <c r="AY74" i="13"/>
  <c r="AY75" i="13"/>
  <c r="AY76" i="13"/>
  <c r="AY77" i="13"/>
  <c r="AY78" i="13"/>
  <c r="AY79" i="13"/>
  <c r="AY80" i="13"/>
  <c r="AY81" i="13"/>
  <c r="AY82" i="13"/>
  <c r="AY83" i="13"/>
  <c r="AY84" i="13"/>
  <c r="AY85" i="13"/>
  <c r="AY86" i="13"/>
  <c r="AY87" i="13"/>
  <c r="AY88" i="13"/>
  <c r="AY89" i="13"/>
  <c r="AY91" i="13"/>
  <c r="AY92" i="13"/>
  <c r="AY93" i="13"/>
  <c r="AY94" i="13"/>
  <c r="AY95" i="13"/>
  <c r="AY96" i="13"/>
  <c r="AY97" i="13"/>
  <c r="AY98" i="13"/>
  <c r="AY99" i="13"/>
  <c r="AY100" i="13"/>
  <c r="AY101" i="13"/>
  <c r="AY102" i="13"/>
  <c r="AY103" i="13"/>
  <c r="AY104" i="13"/>
  <c r="AY105" i="13"/>
  <c r="AY106" i="13"/>
  <c r="AY107" i="13"/>
  <c r="AY108" i="13"/>
  <c r="AY109" i="13"/>
  <c r="AY110" i="13"/>
  <c r="AY111" i="13"/>
  <c r="AY112" i="13"/>
  <c r="AY113" i="13"/>
  <c r="AY114" i="13"/>
  <c r="AY115" i="13"/>
  <c r="AY116" i="13"/>
  <c r="AY117" i="13"/>
  <c r="AY118" i="13"/>
  <c r="AY119" i="13"/>
  <c r="AY120" i="13"/>
  <c r="AY121" i="13"/>
  <c r="AY122" i="13"/>
  <c r="AY123" i="13"/>
  <c r="AY124" i="13"/>
  <c r="AY125" i="13"/>
  <c r="AY126" i="13"/>
  <c r="AY127" i="13"/>
  <c r="AY128" i="13"/>
  <c r="AY129" i="13"/>
  <c r="AY130" i="13"/>
  <c r="AY131" i="13"/>
  <c r="AY132" i="13"/>
  <c r="AY133" i="13"/>
  <c r="AY134" i="13"/>
  <c r="AY135" i="13"/>
  <c r="AY136" i="13"/>
  <c r="AY137" i="13"/>
  <c r="AY138" i="13"/>
  <c r="AY139" i="13"/>
  <c r="AY140" i="13"/>
  <c r="AY141" i="13"/>
  <c r="AY142" i="13"/>
  <c r="AY143" i="13"/>
  <c r="AY144" i="13"/>
  <c r="AY145" i="13"/>
  <c r="AY146" i="13"/>
  <c r="AY147" i="13"/>
  <c r="AY148" i="13"/>
  <c r="AY149" i="13"/>
  <c r="AY150" i="13"/>
  <c r="AY151" i="13"/>
  <c r="AY152" i="13"/>
  <c r="AY153" i="13"/>
  <c r="AY154" i="13"/>
  <c r="AY155" i="13"/>
  <c r="AY156" i="13"/>
  <c r="AY157" i="13"/>
  <c r="AY158" i="13"/>
  <c r="AY159" i="13"/>
  <c r="AY160" i="13"/>
  <c r="AY161" i="13"/>
  <c r="AY162" i="13"/>
  <c r="AY163" i="13"/>
  <c r="AY164" i="13"/>
  <c r="AY165" i="13"/>
  <c r="AY166" i="13"/>
  <c r="AY167" i="13"/>
  <c r="AY168" i="13"/>
  <c r="AY170" i="13"/>
  <c r="AY171" i="13"/>
  <c r="AY172" i="13"/>
  <c r="AY173" i="13"/>
  <c r="AY174" i="13"/>
  <c r="AY175" i="13"/>
  <c r="AY176" i="13"/>
  <c r="AY177" i="13"/>
  <c r="AY178" i="13"/>
  <c r="AY179" i="13"/>
  <c r="AY180" i="13"/>
  <c r="AY181" i="13"/>
  <c r="AY182" i="13"/>
  <c r="AY183" i="13"/>
  <c r="AY184" i="13"/>
  <c r="AY186" i="13"/>
  <c r="AY188" i="13"/>
  <c r="AY189" i="13"/>
  <c r="AY190" i="13"/>
  <c r="AY191" i="13"/>
  <c r="AY192" i="13"/>
  <c r="AY193" i="13"/>
  <c r="AY194" i="13"/>
  <c r="AY195" i="13"/>
  <c r="AY196" i="13"/>
  <c r="AY197" i="13"/>
  <c r="AY198" i="13"/>
  <c r="AY199" i="13"/>
  <c r="AY200" i="13"/>
  <c r="AY201" i="13"/>
  <c r="AY202" i="13"/>
  <c r="AY203" i="13"/>
  <c r="AY204" i="13"/>
  <c r="AY205" i="13"/>
  <c r="AY206" i="13"/>
  <c r="AY207" i="13"/>
  <c r="AY208" i="13"/>
  <c r="AY209" i="13"/>
  <c r="AY210" i="13"/>
  <c r="AY211" i="13"/>
  <c r="AY212" i="13"/>
  <c r="AY213" i="13"/>
  <c r="AY214" i="13"/>
  <c r="AY215" i="13"/>
  <c r="AY216" i="13"/>
  <c r="AY217" i="13"/>
  <c r="AY218" i="13"/>
  <c r="AY219" i="13"/>
  <c r="AY220" i="13"/>
  <c r="AY221" i="13"/>
  <c r="AY222" i="13"/>
  <c r="AY223" i="13"/>
  <c r="AY224" i="13"/>
  <c r="AY225" i="13"/>
  <c r="AY226" i="13"/>
  <c r="AY227" i="13"/>
  <c r="AY228" i="13"/>
  <c r="AY229" i="13"/>
  <c r="AY230" i="13"/>
  <c r="AY231" i="13"/>
  <c r="AY232" i="13"/>
  <c r="AY233" i="13"/>
  <c r="AY234" i="13"/>
  <c r="AY235" i="13"/>
  <c r="AY236" i="13"/>
  <c r="AY237" i="13"/>
  <c r="AY238" i="13"/>
  <c r="AY239" i="13"/>
  <c r="AY240" i="13"/>
  <c r="AY241" i="13"/>
  <c r="AY242" i="13"/>
  <c r="AY243" i="13"/>
  <c r="AY244" i="13"/>
  <c r="AY245" i="13"/>
  <c r="AY246" i="13"/>
  <c r="AY247" i="13"/>
  <c r="AY248" i="13"/>
  <c r="AY249" i="13"/>
  <c r="AY250" i="13"/>
  <c r="AY251" i="13"/>
  <c r="AY252" i="13"/>
  <c r="AY253" i="13"/>
  <c r="AY254" i="13"/>
  <c r="AY255" i="13"/>
  <c r="AY256" i="13"/>
  <c r="AY257" i="13"/>
  <c r="AY258" i="13"/>
  <c r="AY259" i="13"/>
  <c r="AY260" i="13"/>
  <c r="AY261" i="13"/>
  <c r="AY262" i="13"/>
  <c r="AY263" i="13"/>
  <c r="AY264" i="13"/>
  <c r="AY265" i="13"/>
  <c r="AY266" i="13"/>
  <c r="AY267" i="13"/>
  <c r="AY270" i="13"/>
  <c r="AY271" i="13"/>
  <c r="AY272" i="13"/>
  <c r="AY273" i="13"/>
  <c r="AY274" i="13"/>
  <c r="AY275" i="13"/>
  <c r="AY276" i="13"/>
  <c r="AY277" i="13"/>
  <c r="AY278" i="13"/>
  <c r="AY279" i="13"/>
  <c r="AY280" i="13"/>
  <c r="AY281" i="13"/>
  <c r="AY282" i="13"/>
  <c r="AY283" i="13"/>
  <c r="AY284" i="13"/>
  <c r="AY285" i="13"/>
  <c r="AY286" i="13"/>
  <c r="AY287" i="13"/>
  <c r="AY288" i="13"/>
  <c r="AY289" i="13"/>
  <c r="AY290" i="13"/>
  <c r="AY291" i="13"/>
  <c r="AY292" i="13"/>
  <c r="AY293" i="13"/>
  <c r="AY294" i="13"/>
  <c r="AY295" i="13"/>
  <c r="AY296" i="13"/>
  <c r="AY297" i="13"/>
  <c r="AY298" i="13"/>
  <c r="AY299" i="13"/>
  <c r="AY300" i="13"/>
  <c r="AY301" i="13"/>
  <c r="AY302" i="13"/>
  <c r="AY303" i="13"/>
  <c r="AY304" i="13"/>
  <c r="AY305" i="13"/>
  <c r="AY306" i="13"/>
  <c r="AY307" i="13"/>
  <c r="AY308" i="13"/>
  <c r="AY309" i="13"/>
  <c r="AY310" i="13"/>
  <c r="AY311" i="13"/>
  <c r="AY312" i="13"/>
  <c r="AY313" i="13"/>
  <c r="AY314" i="13"/>
  <c r="AY315" i="13"/>
  <c r="AY316" i="13"/>
  <c r="AY317" i="13"/>
  <c r="AY318" i="13"/>
  <c r="AY319" i="13"/>
  <c r="AY320" i="13"/>
  <c r="AY321" i="13"/>
  <c r="AY322" i="13"/>
  <c r="AY323" i="13"/>
  <c r="AY324" i="13"/>
  <c r="AY325" i="13"/>
  <c r="AY326" i="13"/>
  <c r="AY327" i="13"/>
  <c r="AY328" i="13"/>
  <c r="AY329" i="13"/>
  <c r="AY330" i="13"/>
  <c r="AY331" i="13"/>
  <c r="AY332" i="13"/>
  <c r="AY333" i="13"/>
  <c r="AY335" i="13"/>
  <c r="AY336" i="13"/>
  <c r="AY337" i="13"/>
  <c r="AY338" i="13"/>
  <c r="AY339" i="13"/>
  <c r="AY340" i="13"/>
  <c r="AY341" i="13"/>
  <c r="AY342" i="13"/>
  <c r="AY343" i="13"/>
  <c r="AY344" i="13"/>
  <c r="AY345" i="13"/>
  <c r="AY346" i="13"/>
  <c r="AY347" i="13"/>
  <c r="AY348" i="13"/>
  <c r="AY349" i="13"/>
  <c r="AY350" i="13"/>
  <c r="AY351" i="13"/>
  <c r="AY352" i="13"/>
  <c r="AY353" i="13"/>
  <c r="AY354" i="13"/>
  <c r="AY355" i="13"/>
  <c r="AY356" i="13"/>
  <c r="AY357" i="13"/>
  <c r="AY358" i="13"/>
  <c r="AY359" i="13"/>
  <c r="AY360" i="13"/>
  <c r="AY361" i="13"/>
  <c r="AY362" i="13"/>
  <c r="AY363" i="13"/>
  <c r="AY364" i="13"/>
  <c r="AY365" i="13"/>
  <c r="AY366" i="13"/>
  <c r="AY367" i="13"/>
  <c r="AY368" i="13"/>
  <c r="AY369" i="13"/>
  <c r="AY370" i="13"/>
  <c r="AY371" i="13"/>
  <c r="AY372" i="13"/>
  <c r="AY373" i="13"/>
  <c r="AY374" i="13"/>
  <c r="AY375" i="13"/>
  <c r="AY376" i="13"/>
  <c r="AY377" i="13"/>
  <c r="AY378" i="13"/>
  <c r="AY379" i="13"/>
  <c r="AY380" i="13"/>
  <c r="AY381" i="13"/>
  <c r="AY382" i="13"/>
  <c r="AY383" i="13"/>
  <c r="AY384" i="13"/>
  <c r="AY385" i="13"/>
  <c r="AY386" i="13"/>
  <c r="AY387" i="13"/>
  <c r="AY388" i="13"/>
  <c r="AY389" i="13"/>
  <c r="AY390" i="13"/>
  <c r="AY391" i="13"/>
  <c r="AY392" i="13"/>
  <c r="AY393" i="13"/>
  <c r="AY394" i="13"/>
  <c r="AY395" i="13"/>
  <c r="AY396" i="13"/>
  <c r="AY397" i="13"/>
  <c r="AY398" i="13"/>
  <c r="AY399" i="13"/>
  <c r="AY400" i="13"/>
  <c r="AY401" i="13"/>
  <c r="AY402" i="13"/>
  <c r="AY403" i="13"/>
  <c r="AY404" i="13"/>
  <c r="AY405" i="13"/>
  <c r="AY406" i="13"/>
  <c r="AY407" i="13"/>
  <c r="AY408" i="13"/>
  <c r="AY409" i="13"/>
  <c r="AY410" i="13"/>
  <c r="AY411" i="13"/>
  <c r="AY412" i="13"/>
  <c r="AY413" i="13"/>
  <c r="AY414" i="13"/>
  <c r="AY415" i="13"/>
  <c r="AY416" i="13"/>
  <c r="AY417" i="13"/>
  <c r="AY418" i="13"/>
  <c r="AY419" i="13"/>
  <c r="AY420" i="13"/>
  <c r="AY422" i="13"/>
  <c r="AY423" i="13"/>
  <c r="AY424" i="13"/>
  <c r="AY425" i="13"/>
  <c r="AY426" i="13"/>
  <c r="AY427" i="13"/>
  <c r="AY428" i="13"/>
  <c r="AY429" i="13"/>
  <c r="AY430" i="13"/>
  <c r="AY431" i="13"/>
  <c r="AY432" i="13"/>
  <c r="AY433" i="13"/>
  <c r="AY434" i="13"/>
  <c r="AY435" i="13"/>
  <c r="AY436" i="13"/>
  <c r="AY437" i="13"/>
  <c r="AY438" i="13"/>
  <c r="AY439" i="13"/>
  <c r="AY440" i="13"/>
  <c r="AY441" i="13"/>
  <c r="AY443" i="13"/>
  <c r="AY444" i="13"/>
  <c r="AY445" i="13"/>
  <c r="AY446" i="13"/>
  <c r="AY447" i="13"/>
  <c r="AY448" i="13"/>
  <c r="AY449" i="13"/>
  <c r="AY450" i="13"/>
  <c r="AY451" i="13"/>
  <c r="AY452" i="13"/>
  <c r="AY454" i="13"/>
  <c r="AY455" i="13"/>
  <c r="AY456" i="13"/>
  <c r="AY457" i="13"/>
  <c r="AY458" i="13"/>
  <c r="AY459" i="13"/>
  <c r="AY461" i="13"/>
  <c r="AY462" i="13"/>
  <c r="AY463" i="13"/>
  <c r="AY464" i="13"/>
  <c r="AY465" i="13"/>
  <c r="AY466" i="13"/>
  <c r="AY467" i="13"/>
  <c r="AY468" i="13"/>
  <c r="AY469" i="13"/>
  <c r="AY470" i="13"/>
  <c r="AY472" i="13"/>
  <c r="AY473" i="13"/>
  <c r="AY474" i="13"/>
  <c r="AY475" i="13"/>
  <c r="AY476" i="13"/>
  <c r="AY477" i="13"/>
  <c r="AY478" i="13"/>
  <c r="AY479" i="13"/>
  <c r="AY480" i="13"/>
  <c r="AY481" i="13"/>
  <c r="AY482" i="13"/>
  <c r="AY483" i="13"/>
  <c r="AY484" i="13"/>
  <c r="AY485" i="13"/>
  <c r="AY486" i="13"/>
  <c r="AY487" i="13"/>
  <c r="AY488" i="13"/>
  <c r="AY489" i="13"/>
  <c r="AY490" i="13"/>
  <c r="AY491" i="13"/>
  <c r="AY493" i="13"/>
  <c r="AY494" i="13"/>
  <c r="AY495" i="13"/>
  <c r="AY496" i="13"/>
  <c r="AY497" i="13"/>
  <c r="AY498" i="13"/>
  <c r="AY499" i="13"/>
  <c r="AY500" i="13"/>
  <c r="AY501" i="13"/>
  <c r="AY502" i="13"/>
  <c r="AY503" i="13"/>
  <c r="AY505" i="13"/>
  <c r="AX6" i="13"/>
  <c r="AX7" i="13"/>
  <c r="AX8" i="13"/>
  <c r="AX9" i="13"/>
  <c r="AX10" i="13"/>
  <c r="AX11" i="13"/>
  <c r="AX12" i="13"/>
  <c r="AX13" i="13"/>
  <c r="AX14" i="13"/>
  <c r="AX15" i="13"/>
  <c r="AX16" i="13"/>
  <c r="AX17" i="13"/>
  <c r="AX18" i="13"/>
  <c r="AX19" i="13"/>
  <c r="AX20" i="13"/>
  <c r="AX21" i="13"/>
  <c r="AX22" i="13"/>
  <c r="AX23" i="13"/>
  <c r="AX24" i="13"/>
  <c r="AX25" i="13"/>
  <c r="AX26" i="13"/>
  <c r="AX27" i="13"/>
  <c r="AX28" i="13"/>
  <c r="AX29" i="13"/>
  <c r="AX30" i="13"/>
  <c r="AX31" i="13"/>
  <c r="AX32" i="13"/>
  <c r="AX33" i="13"/>
  <c r="AX34" i="13"/>
  <c r="AX35" i="13"/>
  <c r="AX36" i="13"/>
  <c r="AX37" i="13"/>
  <c r="AX38" i="13"/>
  <c r="AX39" i="13"/>
  <c r="AX40" i="13"/>
  <c r="AX41" i="13"/>
  <c r="AX42" i="13"/>
  <c r="AX43" i="13"/>
  <c r="AX44" i="13"/>
  <c r="AX45" i="13"/>
  <c r="AX46" i="13"/>
  <c r="AX47" i="13"/>
  <c r="AX48" i="13"/>
  <c r="AX49" i="13"/>
  <c r="AX50" i="13"/>
  <c r="AX51" i="13"/>
  <c r="AX52" i="13"/>
  <c r="AX53" i="13"/>
  <c r="AX54" i="13"/>
  <c r="AX55" i="13"/>
  <c r="AX56" i="13"/>
  <c r="AX57" i="13"/>
  <c r="AX58" i="13"/>
  <c r="AX59" i="13"/>
  <c r="AX60" i="13"/>
  <c r="AX61" i="13"/>
  <c r="AX62" i="13"/>
  <c r="AX63" i="13"/>
  <c r="AX64" i="13"/>
  <c r="AX65" i="13"/>
  <c r="AX66" i="13"/>
  <c r="AX67" i="13"/>
  <c r="AX68" i="13"/>
  <c r="AX69" i="13"/>
  <c r="AX70" i="13"/>
  <c r="AX71" i="13"/>
  <c r="AX72" i="13"/>
  <c r="AX73" i="13"/>
  <c r="AX74" i="13"/>
  <c r="AX75" i="13"/>
  <c r="AX76" i="13"/>
  <c r="AX77" i="13"/>
  <c r="AX78" i="13"/>
  <c r="AX79" i="13"/>
  <c r="AX81" i="13"/>
  <c r="AX82" i="13"/>
  <c r="AX83" i="13"/>
  <c r="AX84" i="13"/>
  <c r="AX85" i="13"/>
  <c r="AX86" i="13"/>
  <c r="AX87" i="13"/>
  <c r="AX88" i="13"/>
  <c r="AX89" i="13"/>
  <c r="AX91" i="13"/>
  <c r="AX92" i="13"/>
  <c r="AX93" i="13"/>
  <c r="AX94" i="13"/>
  <c r="AX95" i="13"/>
  <c r="AX96" i="13"/>
  <c r="AX97" i="13"/>
  <c r="AX98" i="13"/>
  <c r="AX99" i="13"/>
  <c r="AX100" i="13"/>
  <c r="AX101" i="13"/>
  <c r="AX102" i="13"/>
  <c r="AX103" i="13"/>
  <c r="AX104" i="13"/>
  <c r="AX105" i="13"/>
  <c r="AX106" i="13"/>
  <c r="AX107" i="13"/>
  <c r="AX108" i="13"/>
  <c r="AX109" i="13"/>
  <c r="AX110" i="13"/>
  <c r="AX111" i="13"/>
  <c r="AX112" i="13"/>
  <c r="AX113" i="13"/>
  <c r="AX114" i="13"/>
  <c r="AX115" i="13"/>
  <c r="AX116" i="13"/>
  <c r="AX118" i="13"/>
  <c r="AX119" i="13"/>
  <c r="AX120" i="13"/>
  <c r="AX121" i="13"/>
  <c r="AX122" i="13"/>
  <c r="AX123" i="13"/>
  <c r="AX124" i="13"/>
  <c r="AX125" i="13"/>
  <c r="AX126" i="13"/>
  <c r="AX127" i="13"/>
  <c r="AX128" i="13"/>
  <c r="AX129" i="13"/>
  <c r="AX130" i="13"/>
  <c r="AX131" i="13"/>
  <c r="AX132" i="13"/>
  <c r="AX133" i="13"/>
  <c r="AX134" i="13"/>
  <c r="AX135" i="13"/>
  <c r="AX136" i="13"/>
  <c r="AX137" i="13"/>
  <c r="AX138" i="13"/>
  <c r="AX139" i="13"/>
  <c r="AX140" i="13"/>
  <c r="AX141" i="13"/>
  <c r="AX142" i="13"/>
  <c r="AX143" i="13"/>
  <c r="AX144" i="13"/>
  <c r="AX145" i="13"/>
  <c r="AX146" i="13"/>
  <c r="AX147" i="13"/>
  <c r="AX148" i="13"/>
  <c r="AX149" i="13"/>
  <c r="AX150" i="13"/>
  <c r="AX151" i="13"/>
  <c r="AX152" i="13"/>
  <c r="AX153" i="13"/>
  <c r="AX154" i="13"/>
  <c r="AX155" i="13"/>
  <c r="AX156" i="13"/>
  <c r="AX157" i="13"/>
  <c r="AX158" i="13"/>
  <c r="AX159" i="13"/>
  <c r="AX160" i="13"/>
  <c r="AX161" i="13"/>
  <c r="AX162" i="13"/>
  <c r="AX163" i="13"/>
  <c r="AX164" i="13"/>
  <c r="AX165" i="13"/>
  <c r="AX166" i="13"/>
  <c r="AX167" i="13"/>
  <c r="AX168" i="13"/>
  <c r="AX170" i="13"/>
  <c r="AX171" i="13"/>
  <c r="AX172" i="13"/>
  <c r="AX173" i="13"/>
  <c r="AX174" i="13"/>
  <c r="AX175" i="13"/>
  <c r="AX176" i="13"/>
  <c r="AX177" i="13"/>
  <c r="AX178" i="13"/>
  <c r="AX179" i="13"/>
  <c r="AX180" i="13"/>
  <c r="AX181" i="13"/>
  <c r="AX182" i="13"/>
  <c r="AX183" i="13"/>
  <c r="AX184" i="13"/>
  <c r="AX185" i="13"/>
  <c r="AX186" i="13"/>
  <c r="AX188" i="13"/>
  <c r="AX189" i="13"/>
  <c r="AX190" i="13"/>
  <c r="AX191" i="13"/>
  <c r="AX192" i="13"/>
  <c r="AX193" i="13"/>
  <c r="AX194" i="13"/>
  <c r="AX195" i="13"/>
  <c r="AX197" i="13"/>
  <c r="AX198" i="13"/>
  <c r="AX199" i="13"/>
  <c r="AX200" i="13"/>
  <c r="AX201" i="13"/>
  <c r="AX202" i="13"/>
  <c r="AX203" i="13"/>
  <c r="AX204" i="13"/>
  <c r="AX205" i="13"/>
  <c r="AX206" i="13"/>
  <c r="AX207" i="13"/>
  <c r="AX208" i="13"/>
  <c r="AX209" i="13"/>
  <c r="AX210" i="13"/>
  <c r="AX211" i="13"/>
  <c r="AX212" i="13"/>
  <c r="AX213" i="13"/>
  <c r="AX214" i="13"/>
  <c r="AX215" i="13"/>
  <c r="AX216" i="13"/>
  <c r="AX217" i="13"/>
  <c r="AX218" i="13"/>
  <c r="AX219" i="13"/>
  <c r="AX220" i="13"/>
  <c r="AX221" i="13"/>
  <c r="AX222" i="13"/>
  <c r="AX223" i="13"/>
  <c r="AX224" i="13"/>
  <c r="AX225" i="13"/>
  <c r="AX226" i="13"/>
  <c r="AX227" i="13"/>
  <c r="AX228" i="13"/>
  <c r="AX229" i="13"/>
  <c r="AX230" i="13"/>
  <c r="AX231" i="13"/>
  <c r="AX232" i="13"/>
  <c r="AX233" i="13"/>
  <c r="AX234" i="13"/>
  <c r="AX235" i="13"/>
  <c r="AX236" i="13"/>
  <c r="AX237" i="13"/>
  <c r="AX238" i="13"/>
  <c r="AX239" i="13"/>
  <c r="AX240" i="13"/>
  <c r="AX241" i="13"/>
  <c r="AX242" i="13"/>
  <c r="AX243" i="13"/>
  <c r="AX244" i="13"/>
  <c r="AX245" i="13"/>
  <c r="AX246" i="13"/>
  <c r="AX247" i="13"/>
  <c r="AX248" i="13"/>
  <c r="AX249" i="13"/>
  <c r="AX250" i="13"/>
  <c r="AX251" i="13"/>
  <c r="AX252" i="13"/>
  <c r="AX253" i="13"/>
  <c r="AX254" i="13"/>
  <c r="AX255" i="13"/>
  <c r="AX256" i="13"/>
  <c r="AX257" i="13"/>
  <c r="AX258" i="13"/>
  <c r="AX260" i="13"/>
  <c r="AX261" i="13"/>
  <c r="AX262" i="13"/>
  <c r="AX263" i="13"/>
  <c r="AX264" i="13"/>
  <c r="AX265" i="13"/>
  <c r="AX266" i="13"/>
  <c r="AX267" i="13"/>
  <c r="AX270" i="13"/>
  <c r="AX271" i="13"/>
  <c r="AX272" i="13"/>
  <c r="AX273" i="13"/>
  <c r="AX274" i="13"/>
  <c r="AX275" i="13"/>
  <c r="AX276" i="13"/>
  <c r="AX277" i="13"/>
  <c r="AX278" i="13"/>
  <c r="AX279" i="13"/>
  <c r="AX280" i="13"/>
  <c r="AX281" i="13"/>
  <c r="AX282" i="13"/>
  <c r="AX283" i="13"/>
  <c r="AX284" i="13"/>
  <c r="AX285" i="13"/>
  <c r="AX286" i="13"/>
  <c r="AX287" i="13"/>
  <c r="AX288" i="13"/>
  <c r="AX289" i="13"/>
  <c r="AX290" i="13"/>
  <c r="AX291" i="13"/>
  <c r="AX292" i="13"/>
  <c r="AX293" i="13"/>
  <c r="AX294" i="13"/>
  <c r="AX295" i="13"/>
  <c r="AX296" i="13"/>
  <c r="AX297" i="13"/>
  <c r="AX298" i="13"/>
  <c r="AX299" i="13"/>
  <c r="AX300" i="13"/>
  <c r="AX301" i="13"/>
  <c r="AX302" i="13"/>
  <c r="AX303" i="13"/>
  <c r="AX304" i="13"/>
  <c r="AX306" i="13"/>
  <c r="AX307" i="13"/>
  <c r="AX308" i="13"/>
  <c r="AX309" i="13"/>
  <c r="AX310" i="13"/>
  <c r="AX311" i="13"/>
  <c r="AX312" i="13"/>
  <c r="AX313" i="13"/>
  <c r="AX314" i="13"/>
  <c r="AX315" i="13"/>
  <c r="AX316" i="13"/>
  <c r="AX317" i="13"/>
  <c r="AX318" i="13"/>
  <c r="AX319" i="13"/>
  <c r="AX320" i="13"/>
  <c r="AX321" i="13"/>
  <c r="AX322" i="13"/>
  <c r="AX323" i="13"/>
  <c r="AX324" i="13"/>
  <c r="AX325" i="13"/>
  <c r="AX326" i="13"/>
  <c r="AX327" i="13"/>
  <c r="AX328" i="13"/>
  <c r="AX329" i="13"/>
  <c r="AX330" i="13"/>
  <c r="AX331" i="13"/>
  <c r="AX332" i="13"/>
  <c r="AX333" i="13"/>
  <c r="AX334" i="13"/>
  <c r="AX335" i="13"/>
  <c r="AX336" i="13"/>
  <c r="AX337" i="13"/>
  <c r="AX338" i="13"/>
  <c r="AX339" i="13"/>
  <c r="AX340" i="13"/>
  <c r="AX341" i="13"/>
  <c r="AX342" i="13"/>
  <c r="AX343" i="13"/>
  <c r="AX344" i="13"/>
  <c r="AX345" i="13"/>
  <c r="AX346" i="13"/>
  <c r="AX347" i="13"/>
  <c r="AX348" i="13"/>
  <c r="AX349" i="13"/>
  <c r="AX350" i="13"/>
  <c r="AX351" i="13"/>
  <c r="AX352" i="13"/>
  <c r="AX353" i="13"/>
  <c r="AX354" i="13"/>
  <c r="AX355" i="13"/>
  <c r="AX356" i="13"/>
  <c r="AX357" i="13"/>
  <c r="AX358" i="13"/>
  <c r="AX359" i="13"/>
  <c r="AX360" i="13"/>
  <c r="AX361" i="13"/>
  <c r="AX362" i="13"/>
  <c r="AX363" i="13"/>
  <c r="AX364" i="13"/>
  <c r="AX365" i="13"/>
  <c r="AX366" i="13"/>
  <c r="AX367" i="13"/>
  <c r="AX368" i="13"/>
  <c r="AX369" i="13"/>
  <c r="AX370" i="13"/>
  <c r="AX371" i="13"/>
  <c r="AX372" i="13"/>
  <c r="AX373" i="13"/>
  <c r="AX374" i="13"/>
  <c r="AX375" i="13"/>
  <c r="AX376" i="13"/>
  <c r="AX377" i="13"/>
  <c r="AX378" i="13"/>
  <c r="AX379" i="13"/>
  <c r="AX380" i="13"/>
  <c r="AX381" i="13"/>
  <c r="AX382" i="13"/>
  <c r="AX383" i="13"/>
  <c r="AX384" i="13"/>
  <c r="AX385" i="13"/>
  <c r="AX386" i="13"/>
  <c r="AX387" i="13"/>
  <c r="AX388" i="13"/>
  <c r="AX389" i="13"/>
  <c r="AX390" i="13"/>
  <c r="AX391" i="13"/>
  <c r="AX392" i="13"/>
  <c r="AX393" i="13"/>
  <c r="AX394" i="13"/>
  <c r="AX395" i="13"/>
  <c r="AX396" i="13"/>
  <c r="AX397" i="13"/>
  <c r="AX398" i="13"/>
  <c r="AX399" i="13"/>
  <c r="AX400" i="13"/>
  <c r="AX401" i="13"/>
  <c r="AX402" i="13"/>
  <c r="AX403" i="13"/>
  <c r="AX404" i="13"/>
  <c r="AX405" i="13"/>
  <c r="AX406" i="13"/>
  <c r="AX407" i="13"/>
  <c r="AX408" i="13"/>
  <c r="AX409" i="13"/>
  <c r="AX410" i="13"/>
  <c r="AX411" i="13"/>
  <c r="AX412" i="13"/>
  <c r="AX413" i="13"/>
  <c r="AX414" i="13"/>
  <c r="AX415" i="13"/>
  <c r="AX416" i="13"/>
  <c r="AX417" i="13"/>
  <c r="AX418" i="13"/>
  <c r="AX419" i="13"/>
  <c r="AX420" i="13"/>
  <c r="AX421" i="13"/>
  <c r="AX422" i="13"/>
  <c r="AX423" i="13"/>
  <c r="AX424" i="13"/>
  <c r="AX425" i="13"/>
  <c r="AX426" i="13"/>
  <c r="AX427" i="13"/>
  <c r="AX428" i="13"/>
  <c r="AX429" i="13"/>
  <c r="AX430" i="13"/>
  <c r="AX431" i="13"/>
  <c r="AX432" i="13"/>
  <c r="AX433" i="13"/>
  <c r="AX434" i="13"/>
  <c r="AX435" i="13"/>
  <c r="AX436" i="13"/>
  <c r="AX437" i="13"/>
  <c r="AX438" i="13"/>
  <c r="AX439" i="13"/>
  <c r="AX440" i="13"/>
  <c r="AX441" i="13"/>
  <c r="AX443" i="13"/>
  <c r="AX444" i="13"/>
  <c r="AX445" i="13"/>
  <c r="AX446" i="13"/>
  <c r="AX447" i="13"/>
  <c r="AX448" i="13"/>
  <c r="AX449" i="13"/>
  <c r="AX450" i="13"/>
  <c r="AX451" i="13"/>
  <c r="AX452" i="13"/>
  <c r="AX453" i="13"/>
  <c r="AX454" i="13"/>
  <c r="AX455" i="13"/>
  <c r="AX456" i="13"/>
  <c r="AX457" i="13"/>
  <c r="AX458" i="13"/>
  <c r="AX459" i="13"/>
  <c r="AX460" i="13"/>
  <c r="AX461" i="13"/>
  <c r="AX462" i="13"/>
  <c r="AX463" i="13"/>
  <c r="AX464" i="13"/>
  <c r="AX465" i="13"/>
  <c r="AX466" i="13"/>
  <c r="AX467" i="13"/>
  <c r="AX468" i="13"/>
  <c r="AX469" i="13"/>
  <c r="AX470" i="13"/>
  <c r="AX472" i="13"/>
  <c r="AX473" i="13"/>
  <c r="AX474" i="13"/>
  <c r="AX475" i="13"/>
  <c r="AX476" i="13"/>
  <c r="AX477" i="13"/>
  <c r="AX478" i="13"/>
  <c r="AX479" i="13"/>
  <c r="AX480" i="13"/>
  <c r="AX481" i="13"/>
  <c r="AX482" i="13"/>
  <c r="AX483" i="13"/>
  <c r="AX484" i="13"/>
  <c r="AX485" i="13"/>
  <c r="AX486" i="13"/>
  <c r="AX487" i="13"/>
  <c r="AX488" i="13"/>
  <c r="AX489" i="13"/>
  <c r="AX490" i="13"/>
  <c r="AX491" i="13"/>
  <c r="AX492" i="13"/>
  <c r="AX493" i="13"/>
  <c r="AX494" i="13"/>
  <c r="AX495" i="13"/>
  <c r="AX496" i="13"/>
  <c r="AX497" i="13"/>
  <c r="AX498" i="13"/>
  <c r="AX499" i="13"/>
  <c r="AX500" i="13"/>
  <c r="AX501" i="13"/>
  <c r="AX502" i="13"/>
  <c r="AX503" i="13"/>
  <c r="AX504" i="13"/>
  <c r="E498" i="13"/>
  <c r="E501" i="13"/>
  <c r="E503" i="13" l="1"/>
  <c r="F503" i="13"/>
  <c r="K503" i="13" s="1"/>
  <c r="H502" i="13"/>
  <c r="E502" i="13"/>
  <c r="F502" i="13"/>
  <c r="K502" i="13" s="1"/>
  <c r="H501" i="13"/>
  <c r="F501" i="13"/>
  <c r="K501" i="13" s="1"/>
  <c r="H500" i="13"/>
  <c r="E500" i="13"/>
  <c r="F500" i="13"/>
  <c r="K500" i="13" s="1"/>
  <c r="H499" i="13"/>
  <c r="E499" i="13"/>
  <c r="F499" i="13"/>
  <c r="K499" i="13" s="1"/>
  <c r="H498" i="13"/>
  <c r="F498" i="13"/>
  <c r="K498" i="13" s="1"/>
  <c r="H493" i="13"/>
  <c r="H488" i="13"/>
  <c r="H487" i="13"/>
  <c r="H485" i="13"/>
  <c r="E497" i="13" l="1"/>
  <c r="F497" i="13"/>
  <c r="K497" i="13" s="1"/>
  <c r="E496" i="13"/>
  <c r="F496" i="13"/>
  <c r="K496" i="13" s="1"/>
  <c r="E495" i="13"/>
  <c r="F495" i="13"/>
  <c r="K495" i="13" s="1"/>
  <c r="E494" i="13"/>
  <c r="F494" i="13"/>
  <c r="K494" i="13" s="1"/>
  <c r="E493" i="13"/>
  <c r="F493" i="13"/>
  <c r="K493" i="13" s="1"/>
  <c r="E492" i="13"/>
  <c r="F492" i="13"/>
  <c r="K492" i="13" s="1"/>
  <c r="E491" i="13"/>
  <c r="F491" i="13"/>
  <c r="K491" i="13" s="1"/>
  <c r="E490" i="13"/>
  <c r="F490" i="13"/>
  <c r="K490" i="13" s="1"/>
  <c r="E489" i="13"/>
  <c r="F489" i="13"/>
  <c r="K489" i="13" s="1"/>
  <c r="E488" i="13"/>
  <c r="F488" i="13"/>
  <c r="K488" i="13" s="1"/>
  <c r="E487" i="13"/>
  <c r="F487" i="13"/>
  <c r="K487" i="13" s="1"/>
  <c r="E486" i="13"/>
  <c r="F486" i="13"/>
  <c r="K486" i="13" s="1"/>
  <c r="E485" i="13"/>
  <c r="F485" i="13"/>
  <c r="K485" i="13" s="1"/>
  <c r="H484" i="13"/>
  <c r="E484" i="13"/>
  <c r="F484" i="13"/>
  <c r="K484" i="13" s="1"/>
  <c r="H483" i="13"/>
  <c r="E483" i="13"/>
  <c r="F483" i="13"/>
  <c r="K483" i="13" s="1"/>
  <c r="E482" i="13"/>
  <c r="F482" i="13"/>
  <c r="K482" i="13" s="1"/>
  <c r="E481" i="13"/>
  <c r="F481" i="13"/>
  <c r="K481" i="13" s="1"/>
  <c r="H480" i="13"/>
  <c r="E480" i="13"/>
  <c r="F480" i="13"/>
  <c r="K480" i="13" s="1"/>
  <c r="E479" i="13"/>
  <c r="F479" i="13"/>
  <c r="K479" i="13" s="1"/>
  <c r="H478" i="13"/>
  <c r="E478" i="13"/>
  <c r="F478" i="13"/>
  <c r="K478" i="13" s="1"/>
  <c r="E477" i="13"/>
  <c r="F477" i="13"/>
  <c r="K477" i="13" s="1"/>
  <c r="F476" i="13"/>
  <c r="K476" i="13" s="1"/>
  <c r="E476" i="13"/>
  <c r="E475" i="13"/>
  <c r="F475" i="13"/>
  <c r="K475" i="13" s="1"/>
  <c r="E474" i="13"/>
  <c r="F474" i="13"/>
  <c r="K474" i="13" s="1"/>
  <c r="E473" i="13"/>
  <c r="F473" i="13"/>
  <c r="K473" i="13" s="1"/>
  <c r="E472" i="13"/>
  <c r="F472" i="13"/>
  <c r="K472" i="13" s="1"/>
  <c r="H467" i="13"/>
  <c r="H466" i="13"/>
  <c r="H464" i="13"/>
  <c r="F471" i="13"/>
  <c r="K471" i="13" s="1"/>
  <c r="F470" i="13"/>
  <c r="K470" i="13" s="1"/>
  <c r="F469" i="13"/>
  <c r="K469" i="13" s="1"/>
  <c r="F468" i="13"/>
  <c r="K468" i="13" s="1"/>
  <c r="F467" i="13"/>
  <c r="K467" i="13" s="1"/>
  <c r="F466" i="13"/>
  <c r="K466" i="13" s="1"/>
  <c r="F465" i="13"/>
  <c r="K465" i="13" s="1"/>
  <c r="F464" i="13"/>
  <c r="K464" i="13" s="1"/>
  <c r="F463" i="13"/>
  <c r="K463" i="13" s="1"/>
  <c r="E471" i="13"/>
  <c r="E470" i="13"/>
  <c r="E469" i="13"/>
  <c r="E468" i="13"/>
  <c r="E467" i="13"/>
  <c r="E466" i="13"/>
  <c r="E465" i="13"/>
  <c r="E464" i="13"/>
  <c r="E463" i="13"/>
  <c r="E462" i="13"/>
  <c r="F462" i="13"/>
  <c r="K462" i="13" s="1"/>
  <c r="AY742" i="13"/>
  <c r="E461" i="13"/>
  <c r="F461" i="13"/>
  <c r="K461" i="13" s="1"/>
  <c r="E460" i="13"/>
  <c r="F460" i="13"/>
  <c r="K460" i="13" s="1"/>
  <c r="H459" i="13"/>
  <c r="E459" i="13"/>
  <c r="F459" i="13"/>
  <c r="K459" i="13" s="1"/>
  <c r="E458" i="13"/>
  <c r="F458" i="13"/>
  <c r="K458" i="13" s="1"/>
  <c r="E457" i="13"/>
  <c r="F457" i="13"/>
  <c r="K457" i="13" s="1"/>
  <c r="H456" i="13"/>
  <c r="E456" i="13"/>
  <c r="F456" i="13"/>
  <c r="K456" i="13" s="1"/>
  <c r="E455" i="13"/>
  <c r="F455" i="13"/>
  <c r="K455" i="13" s="1"/>
  <c r="E454" i="13" l="1"/>
  <c r="F454" i="13"/>
  <c r="K454" i="13" s="1"/>
  <c r="E453" i="13"/>
  <c r="F453" i="13"/>
  <c r="K453" i="13" s="1"/>
  <c r="E452" i="13"/>
  <c r="F452" i="13"/>
  <c r="K452" i="13" s="1"/>
  <c r="F451" i="13"/>
  <c r="K451" i="13" s="1"/>
  <c r="E451" i="13"/>
  <c r="H450" i="13"/>
  <c r="E450" i="13"/>
  <c r="F450" i="13"/>
  <c r="K450" i="13" s="1"/>
  <c r="H449" i="13"/>
  <c r="E449" i="13"/>
  <c r="F449" i="13"/>
  <c r="K449" i="13" s="1"/>
  <c r="H448" i="13"/>
  <c r="E448" i="13"/>
  <c r="F448" i="13"/>
  <c r="K448" i="13" s="1"/>
  <c r="H447" i="13"/>
  <c r="E447" i="13"/>
  <c r="F447" i="13"/>
  <c r="K447" i="13" s="1"/>
  <c r="H446" i="13"/>
  <c r="E446" i="13"/>
  <c r="F446" i="13"/>
  <c r="K446" i="13" s="1"/>
  <c r="E445" i="13"/>
  <c r="F445" i="13"/>
  <c r="K445" i="13" s="1"/>
  <c r="H444" i="13"/>
  <c r="E444" i="13"/>
  <c r="F444" i="13"/>
  <c r="K444" i="13" s="1"/>
  <c r="E443" i="13"/>
  <c r="F443" i="13"/>
  <c r="K443" i="13" s="1"/>
  <c r="H441" i="13"/>
  <c r="E441" i="13"/>
  <c r="F441" i="13"/>
  <c r="K441" i="13" s="1"/>
  <c r="H440" i="13"/>
  <c r="E440" i="13"/>
  <c r="F440" i="13"/>
  <c r="K440" i="13" s="1"/>
  <c r="E439" i="13"/>
  <c r="F439" i="13"/>
  <c r="K439" i="13" s="1"/>
  <c r="H238" i="13"/>
  <c r="E438" i="13" l="1"/>
  <c r="F438" i="13"/>
  <c r="K438" i="13" s="1"/>
  <c r="H437" i="13"/>
  <c r="E437" i="13"/>
  <c r="F437" i="13"/>
  <c r="K437" i="13" s="1"/>
  <c r="E436" i="13"/>
  <c r="F436" i="13"/>
  <c r="K436" i="13" s="1"/>
  <c r="E435" i="13"/>
  <c r="F435" i="13"/>
  <c r="K435" i="13" s="1"/>
  <c r="E434" i="13"/>
  <c r="F434" i="13"/>
  <c r="K434" i="13" s="1"/>
  <c r="E433" i="13"/>
  <c r="F433" i="13"/>
  <c r="K433" i="13" s="1"/>
  <c r="E432" i="13"/>
  <c r="F432" i="13"/>
  <c r="K432" i="13" s="1"/>
  <c r="E431" i="13"/>
  <c r="F431" i="13"/>
  <c r="K431" i="13" s="1"/>
  <c r="E430" i="13" l="1"/>
  <c r="F430" i="13"/>
  <c r="K430" i="13" s="1"/>
  <c r="E429" i="13"/>
  <c r="F429" i="13"/>
  <c r="K429" i="13" s="1"/>
  <c r="E428" i="13"/>
  <c r="F428" i="13"/>
  <c r="K428" i="13" s="1"/>
  <c r="E427" i="13"/>
  <c r="F427" i="13"/>
  <c r="K427" i="13" s="1"/>
  <c r="E426" i="13"/>
  <c r="F426" i="13"/>
  <c r="K426" i="13" s="1"/>
  <c r="E425" i="13"/>
  <c r="F425" i="13"/>
  <c r="K425" i="13" s="1"/>
  <c r="H424" i="13"/>
  <c r="E424" i="13"/>
  <c r="F424" i="13"/>
  <c r="K424" i="13" s="1"/>
  <c r="F423" i="13"/>
  <c r="K423" i="13" s="1"/>
  <c r="E423" i="13"/>
  <c r="F422" i="13"/>
  <c r="K422" i="13" s="1"/>
  <c r="E422" i="13"/>
  <c r="H421" i="13"/>
  <c r="F421" i="13"/>
  <c r="K421" i="13" s="1"/>
  <c r="E421" i="13"/>
  <c r="H420" i="13"/>
  <c r="F420" i="13"/>
  <c r="K420" i="13" s="1"/>
  <c r="E420" i="13"/>
  <c r="H419" i="13"/>
  <c r="E419" i="13"/>
  <c r="F419" i="13"/>
  <c r="K419" i="13" s="1"/>
  <c r="H418" i="13"/>
  <c r="E418" i="13"/>
  <c r="F418" i="13"/>
  <c r="K418" i="13" s="1"/>
  <c r="H417" i="13"/>
  <c r="E417" i="13"/>
  <c r="F417" i="13"/>
  <c r="K417" i="13" s="1"/>
  <c r="H416" i="13"/>
  <c r="E416" i="13"/>
  <c r="F416" i="13"/>
  <c r="K416" i="13" s="1"/>
  <c r="H415" i="13"/>
  <c r="F415" i="13"/>
  <c r="K415" i="13" s="1"/>
  <c r="E415" i="13"/>
  <c r="E414" i="13"/>
  <c r="H414" i="13"/>
  <c r="F414" i="13"/>
  <c r="K414" i="13" s="1"/>
  <c r="H413" i="13"/>
  <c r="E413" i="13"/>
  <c r="F413" i="13"/>
  <c r="K413" i="13" s="1"/>
  <c r="H412" i="13"/>
  <c r="E412" i="13"/>
  <c r="F412" i="13"/>
  <c r="K412" i="13" s="1"/>
  <c r="H411" i="13"/>
  <c r="E411" i="13"/>
  <c r="F411" i="13"/>
  <c r="K411" i="13" s="1"/>
  <c r="H410" i="13"/>
  <c r="E410" i="13"/>
  <c r="F410" i="13"/>
  <c r="K410" i="13" s="1"/>
  <c r="E409" i="13"/>
  <c r="F409" i="13"/>
  <c r="K409" i="13" s="1"/>
  <c r="E408" i="13"/>
  <c r="F408" i="13"/>
  <c r="K408" i="13" s="1"/>
  <c r="H407" i="13"/>
  <c r="E407" i="13"/>
  <c r="F407" i="13"/>
  <c r="K407" i="13" s="1"/>
  <c r="H406" i="13"/>
  <c r="E406" i="13"/>
  <c r="F406" i="13"/>
  <c r="K406" i="13" s="1"/>
  <c r="E405" i="13"/>
  <c r="F405" i="13"/>
  <c r="K405" i="13" s="1"/>
  <c r="E404" i="13"/>
  <c r="F404" i="13"/>
  <c r="K404" i="13" s="1"/>
  <c r="E403" i="13"/>
  <c r="F403" i="13"/>
  <c r="K403" i="13" s="1"/>
  <c r="H402" i="13"/>
  <c r="E402" i="13"/>
  <c r="F402" i="13"/>
  <c r="K402" i="13" s="1"/>
  <c r="E401" i="13"/>
  <c r="F401" i="13"/>
  <c r="K401" i="13" s="1"/>
  <c r="H396" i="13"/>
  <c r="H395" i="13"/>
  <c r="H394" i="13"/>
  <c r="H393" i="13"/>
  <c r="H392" i="13"/>
  <c r="H387" i="13"/>
  <c r="H386" i="13"/>
  <c r="H385" i="13"/>
  <c r="H384" i="13"/>
  <c r="H382" i="13"/>
  <c r="H381" i="13"/>
  <c r="H380" i="13"/>
  <c r="H378" i="13"/>
  <c r="H376" i="13"/>
  <c r="H375" i="13"/>
  <c r="H374" i="13"/>
  <c r="H373" i="13"/>
  <c r="H371" i="13"/>
  <c r="H368" i="13"/>
  <c r="H367" i="13"/>
  <c r="H364" i="13"/>
  <c r="H360" i="13"/>
  <c r="H359" i="13"/>
  <c r="H358" i="13"/>
  <c r="H357" i="13"/>
  <c r="H356" i="13"/>
  <c r="H352" i="13"/>
  <c r="E400" i="13"/>
  <c r="F400" i="13"/>
  <c r="K400" i="13" s="1"/>
  <c r="E399" i="13" l="1"/>
  <c r="F399" i="13"/>
  <c r="K399" i="13" s="1"/>
  <c r="E398" i="13"/>
  <c r="F398" i="13"/>
  <c r="K398" i="13" s="1"/>
  <c r="E397" i="13"/>
  <c r="F397" i="13"/>
  <c r="K397" i="13" s="1"/>
  <c r="E396" i="13"/>
  <c r="F396" i="13"/>
  <c r="K396" i="13" s="1"/>
  <c r="F395" i="13"/>
  <c r="K395" i="13" s="1"/>
  <c r="E395" i="13"/>
  <c r="E394" i="13"/>
  <c r="F394" i="13"/>
  <c r="K394" i="13" s="1"/>
  <c r="E393" i="13"/>
  <c r="F393" i="13"/>
  <c r="K393" i="13" s="1"/>
  <c r="E392" i="13"/>
  <c r="F392" i="13"/>
  <c r="K392" i="13" s="1"/>
  <c r="E391" i="13"/>
  <c r="F391" i="13"/>
  <c r="K391" i="13" s="1"/>
  <c r="F237" i="13"/>
  <c r="F236" i="13"/>
  <c r="E390" i="13"/>
  <c r="F390" i="13"/>
  <c r="K390" i="13" s="1"/>
  <c r="E389" i="13"/>
  <c r="F389" i="13"/>
  <c r="K389" i="13" s="1"/>
  <c r="E388" i="13"/>
  <c r="F388" i="13"/>
  <c r="K388" i="13" s="1"/>
  <c r="E387" i="13"/>
  <c r="F387" i="13"/>
  <c r="K387" i="13" s="1"/>
  <c r="E386" i="13"/>
  <c r="F386" i="13"/>
  <c r="K386" i="13" s="1"/>
  <c r="E385" i="13"/>
  <c r="F385" i="13"/>
  <c r="K385" i="13" s="1"/>
  <c r="E384" i="13"/>
  <c r="F384" i="13"/>
  <c r="K384" i="13" s="1"/>
  <c r="F383" i="13"/>
  <c r="K383" i="13" s="1"/>
  <c r="E383" i="13"/>
  <c r="E382" i="13"/>
  <c r="F382" i="13"/>
  <c r="K382" i="13" s="1"/>
  <c r="F381" i="13"/>
  <c r="K381" i="13" s="1"/>
  <c r="E381" i="13"/>
  <c r="F380" i="13"/>
  <c r="K380" i="13" s="1"/>
  <c r="E380" i="13"/>
  <c r="E379" i="13"/>
  <c r="F379" i="13"/>
  <c r="K379" i="13" s="1"/>
  <c r="E378" i="13"/>
  <c r="F378" i="13"/>
  <c r="K378" i="13" s="1"/>
  <c r="E377" i="13"/>
  <c r="F377" i="13"/>
  <c r="K377" i="13" s="1"/>
  <c r="E376" i="13"/>
  <c r="F376" i="13"/>
  <c r="K376" i="13" s="1"/>
  <c r="E375" i="13"/>
  <c r="F375" i="13"/>
  <c r="K375" i="13" s="1"/>
  <c r="E374" i="13"/>
  <c r="F374" i="13"/>
  <c r="K374" i="13" s="1"/>
  <c r="E373" i="13"/>
  <c r="F373" i="13"/>
  <c r="K373" i="13" s="1"/>
  <c r="E372" i="13"/>
  <c r="F372" i="13"/>
  <c r="K372" i="13" s="1"/>
  <c r="E371" i="13"/>
  <c r="F371" i="13"/>
  <c r="K371" i="13" s="1"/>
  <c r="E370" i="13"/>
  <c r="F370" i="13"/>
  <c r="K370" i="13" s="1"/>
  <c r="E369" i="13"/>
  <c r="F369" i="13"/>
  <c r="K369" i="13" s="1"/>
  <c r="E368" i="13"/>
  <c r="F368" i="13"/>
  <c r="K368" i="13" s="1"/>
  <c r="F367" i="13"/>
  <c r="K367" i="13" s="1"/>
  <c r="E367" i="13"/>
  <c r="E366" i="13"/>
  <c r="F366" i="13"/>
  <c r="K366" i="13" s="1"/>
  <c r="E365" i="13"/>
  <c r="F365" i="13"/>
  <c r="K365" i="13" s="1"/>
  <c r="E364" i="13"/>
  <c r="F364" i="13"/>
  <c r="K364" i="13" s="1"/>
  <c r="E363" i="13"/>
  <c r="F363" i="13"/>
  <c r="K363" i="13" s="1"/>
  <c r="E362" i="13"/>
  <c r="F362" i="13"/>
  <c r="K362" i="13" s="1"/>
  <c r="E361" i="13"/>
  <c r="F361" i="13"/>
  <c r="K361" i="13" s="1"/>
  <c r="E360" i="13"/>
  <c r="F360" i="13"/>
  <c r="K360" i="13" s="1"/>
  <c r="F359" i="13"/>
  <c r="K359" i="13" s="1"/>
  <c r="E359" i="13"/>
  <c r="F358" i="13"/>
  <c r="K358" i="13" s="1"/>
  <c r="E358" i="13"/>
  <c r="F357" i="13"/>
  <c r="K357" i="13" s="1"/>
  <c r="E357" i="13"/>
  <c r="F356" i="13"/>
  <c r="K356" i="13" s="1"/>
  <c r="E356" i="13"/>
  <c r="E355" i="13"/>
  <c r="F355" i="13"/>
  <c r="K355" i="13" s="1"/>
  <c r="E352" i="13"/>
  <c r="F352" i="13"/>
  <c r="K352" i="13" s="1"/>
  <c r="E353" i="13"/>
  <c r="F353" i="13"/>
  <c r="K353" i="13" s="1"/>
  <c r="E354" i="13"/>
  <c r="F354" i="13"/>
  <c r="K354" i="13" s="1"/>
  <c r="H351" i="13"/>
  <c r="F351" i="13"/>
  <c r="K351" i="13" s="1"/>
  <c r="E351" i="13"/>
  <c r="H350" i="13"/>
  <c r="F350" i="13"/>
  <c r="K350" i="13" s="1"/>
  <c r="E350" i="13"/>
  <c r="H349" i="13"/>
  <c r="F349" i="13"/>
  <c r="K349" i="13" s="1"/>
  <c r="E349" i="13"/>
  <c r="H348" i="13"/>
  <c r="E348" i="13"/>
  <c r="F348" i="13"/>
  <c r="K348" i="13" s="1"/>
  <c r="H347" i="13"/>
  <c r="F347" i="13"/>
  <c r="K347" i="13" s="1"/>
  <c r="E347" i="13"/>
  <c r="H346" i="13"/>
  <c r="F346" i="13"/>
  <c r="K346" i="13" s="1"/>
  <c r="E346" i="13"/>
  <c r="H345" i="13"/>
  <c r="E345" i="13"/>
  <c r="F345" i="13"/>
  <c r="K345" i="13" s="1"/>
  <c r="H344" i="13"/>
  <c r="E340" i="13"/>
  <c r="F340" i="13"/>
  <c r="K340" i="13" s="1"/>
  <c r="E341" i="13"/>
  <c r="F341" i="13"/>
  <c r="K341" i="13" s="1"/>
  <c r="E342" i="13"/>
  <c r="F342" i="13"/>
  <c r="K342" i="13" s="1"/>
  <c r="E343" i="13"/>
  <c r="F343" i="13"/>
  <c r="K343" i="13" s="1"/>
  <c r="E344" i="13"/>
  <c r="F344" i="13"/>
  <c r="K344" i="13" s="1"/>
  <c r="F339" i="13"/>
  <c r="K339" i="13" s="1"/>
  <c r="E339" i="13"/>
  <c r="E338" i="13"/>
  <c r="F338" i="13"/>
  <c r="K338" i="13" s="1"/>
  <c r="H335" i="13"/>
  <c r="H336" i="13"/>
  <c r="H337" i="13"/>
  <c r="E337" i="13"/>
  <c r="F337" i="13"/>
  <c r="K337" i="13" s="1"/>
  <c r="E334" i="13"/>
  <c r="F334" i="13"/>
  <c r="K334" i="13" s="1"/>
  <c r="E335" i="13"/>
  <c r="F335" i="13"/>
  <c r="K335" i="13" s="1"/>
  <c r="E336" i="13"/>
  <c r="F336" i="13"/>
  <c r="K336" i="13" s="1"/>
  <c r="E331" i="13"/>
  <c r="F331" i="13"/>
  <c r="K331" i="13" s="1"/>
  <c r="E332" i="13"/>
  <c r="F332" i="13"/>
  <c r="K332" i="13" s="1"/>
  <c r="E333" i="13"/>
  <c r="F333" i="13"/>
  <c r="K333" i="13" s="1"/>
  <c r="H329" i="13"/>
  <c r="H330" i="13"/>
  <c r="E328" i="13"/>
  <c r="F328" i="13"/>
  <c r="K328" i="13" s="1"/>
  <c r="E329" i="13"/>
  <c r="F329" i="13"/>
  <c r="K329" i="13" s="1"/>
  <c r="E330" i="13"/>
  <c r="F330" i="13"/>
  <c r="K330" i="13" s="1"/>
  <c r="H327" i="13"/>
  <c r="E327" i="13"/>
  <c r="F327" i="13"/>
  <c r="K327" i="13" s="1"/>
  <c r="H325" i="13"/>
  <c r="H324" i="13"/>
  <c r="E324" i="13"/>
  <c r="F324" i="13"/>
  <c r="K324" i="13" s="1"/>
  <c r="E325" i="13"/>
  <c r="F325" i="13"/>
  <c r="K325" i="13" s="1"/>
  <c r="E326" i="13"/>
  <c r="F326" i="13"/>
  <c r="K326" i="13" s="1"/>
  <c r="H320" i="13" l="1"/>
  <c r="E320" i="13"/>
  <c r="F320" i="13"/>
  <c r="K320" i="13" s="1"/>
  <c r="E321" i="13"/>
  <c r="F321" i="13"/>
  <c r="K321" i="13" s="1"/>
  <c r="E322" i="13"/>
  <c r="F322" i="13"/>
  <c r="K322" i="13" s="1"/>
  <c r="F323" i="13"/>
  <c r="K323" i="13" s="1"/>
  <c r="E323" i="13"/>
  <c r="F319" i="13"/>
  <c r="K319" i="13" s="1"/>
  <c r="E319" i="13"/>
  <c r="F318" i="13"/>
  <c r="K318" i="13" s="1"/>
  <c r="E318" i="13"/>
  <c r="H317" i="13"/>
  <c r="E317" i="13"/>
  <c r="F317" i="13"/>
  <c r="K317" i="13" s="1"/>
  <c r="F316" i="13"/>
  <c r="K316" i="13" s="1"/>
  <c r="E316" i="13"/>
  <c r="E315" i="13"/>
  <c r="F315" i="13"/>
  <c r="K315" i="13" s="1"/>
  <c r="H310" i="13"/>
  <c r="H313" i="13"/>
  <c r="H314" i="13"/>
  <c r="E309" i="13"/>
  <c r="F309" i="13"/>
  <c r="K309" i="13" s="1"/>
  <c r="E310" i="13"/>
  <c r="F310" i="13"/>
  <c r="K310" i="13" s="1"/>
  <c r="E311" i="13"/>
  <c r="F311" i="13"/>
  <c r="K311" i="13" s="1"/>
  <c r="E312" i="13"/>
  <c r="F312" i="13"/>
  <c r="K312" i="13" s="1"/>
  <c r="E313" i="13"/>
  <c r="F313" i="13"/>
  <c r="K313" i="13" s="1"/>
  <c r="E314" i="13"/>
  <c r="F314" i="13"/>
  <c r="K314" i="13" s="1"/>
  <c r="F308" i="13"/>
  <c r="K308" i="13" s="1"/>
  <c r="E308" i="13"/>
  <c r="F307" i="13"/>
  <c r="K307" i="13" s="1"/>
  <c r="E307" i="13"/>
  <c r="F306" i="13"/>
  <c r="K306" i="13" s="1"/>
  <c r="E306" i="13"/>
  <c r="E305" i="13"/>
  <c r="F305" i="13"/>
  <c r="K305" i="13" s="1"/>
  <c r="F304" i="13"/>
  <c r="K304" i="13" s="1"/>
  <c r="E304" i="13"/>
  <c r="H303" i="13"/>
  <c r="E303" i="13"/>
  <c r="F303" i="13"/>
  <c r="K303" i="13" s="1"/>
  <c r="F302" i="13"/>
  <c r="K302" i="13" s="1"/>
  <c r="E302" i="13"/>
  <c r="H301" i="13"/>
  <c r="F301" i="13"/>
  <c r="K301" i="13" s="1"/>
  <c r="E301" i="13"/>
  <c r="E300" i="13"/>
  <c r="F300" i="13"/>
  <c r="K300" i="13" s="1"/>
  <c r="E299" i="13"/>
  <c r="F299" i="13"/>
  <c r="K299" i="13" s="1"/>
  <c r="H298" i="13"/>
  <c r="E298" i="13"/>
  <c r="F298" i="13"/>
  <c r="K298" i="13" s="1"/>
  <c r="E296" i="13"/>
  <c r="H293" i="13"/>
  <c r="H294" i="13"/>
  <c r="H295" i="13"/>
  <c r="E292" i="13"/>
  <c r="F292" i="13"/>
  <c r="K292" i="13" s="1"/>
  <c r="E293" i="13"/>
  <c r="F293" i="13"/>
  <c r="K293" i="13" s="1"/>
  <c r="E294" i="13"/>
  <c r="F294" i="13"/>
  <c r="K294" i="13" s="1"/>
  <c r="E295" i="13"/>
  <c r="F295" i="13"/>
  <c r="K295" i="13" s="1"/>
  <c r="F296" i="13"/>
  <c r="K296" i="13" s="1"/>
  <c r="E297" i="13"/>
  <c r="F297" i="13"/>
  <c r="K297" i="13" s="1"/>
  <c r="H291" i="13"/>
  <c r="E291" i="13"/>
  <c r="F291" i="13"/>
  <c r="K291" i="13" s="1"/>
  <c r="F290" i="13"/>
  <c r="K290" i="13" s="1"/>
  <c r="E290" i="13"/>
  <c r="F289" i="13"/>
  <c r="K289" i="13" s="1"/>
  <c r="E289" i="13"/>
  <c r="F288" i="13"/>
  <c r="K288" i="13" s="1"/>
  <c r="E288" i="13"/>
  <c r="H287" i="13"/>
  <c r="F287" i="13"/>
  <c r="K287" i="13" s="1"/>
  <c r="E287" i="13"/>
  <c r="E285" i="13"/>
  <c r="F285" i="13"/>
  <c r="K285" i="13" s="1"/>
  <c r="E286" i="13"/>
  <c r="F286" i="13"/>
  <c r="K286" i="13" s="1"/>
  <c r="H282" i="13"/>
  <c r="E282" i="13"/>
  <c r="F282" i="13"/>
  <c r="K282" i="13" s="1"/>
  <c r="E283" i="13"/>
  <c r="F283" i="13"/>
  <c r="K283" i="13" s="1"/>
  <c r="E284" i="13"/>
  <c r="F284" i="13"/>
  <c r="K284" i="13" s="1"/>
  <c r="F281" i="13"/>
  <c r="K281" i="13" s="1"/>
  <c r="E281" i="13"/>
  <c r="F280" i="13"/>
  <c r="E280" i="13"/>
  <c r="H279" i="13"/>
  <c r="F279" i="13"/>
  <c r="E279" i="13"/>
  <c r="H278" i="13"/>
  <c r="E278" i="13"/>
  <c r="F278" i="13"/>
  <c r="E275" i="13"/>
  <c r="F275" i="13"/>
  <c r="E276" i="13"/>
  <c r="F276" i="13"/>
  <c r="E277" i="13"/>
  <c r="F277" i="13"/>
  <c r="F274" i="13"/>
  <c r="E274" i="13"/>
  <c r="F273" i="13"/>
  <c r="K273" i="13" s="1"/>
  <c r="E273" i="13"/>
  <c r="H272" i="13"/>
  <c r="F272" i="13"/>
  <c r="E272" i="13"/>
  <c r="H271" i="13"/>
  <c r="F271" i="13"/>
  <c r="E271" i="13"/>
  <c r="F270" i="13"/>
  <c r="H269" i="13"/>
  <c r="E269" i="13"/>
  <c r="F269" i="13"/>
  <c r="E270" i="13"/>
  <c r="F268" i="13"/>
  <c r="E268" i="13"/>
  <c r="E263" i="13"/>
  <c r="H261" i="13"/>
  <c r="H262" i="13"/>
  <c r="H264" i="13"/>
  <c r="H265" i="13"/>
  <c r="H267" i="13"/>
  <c r="E261" i="13"/>
  <c r="F261" i="13"/>
  <c r="E262" i="13"/>
  <c r="F262" i="13"/>
  <c r="F263" i="13"/>
  <c r="E264" i="13"/>
  <c r="F264" i="13"/>
  <c r="E265" i="13"/>
  <c r="F265" i="13"/>
  <c r="E266" i="13"/>
  <c r="F266" i="13"/>
  <c r="E267" i="13"/>
  <c r="F267" i="13"/>
  <c r="K279" i="13" l="1"/>
  <c r="K280" i="13"/>
  <c r="K276" i="13"/>
  <c r="K277" i="13"/>
  <c r="K278" i="13"/>
  <c r="K275" i="13"/>
  <c r="K274" i="13"/>
  <c r="K272" i="13"/>
  <c r="K270" i="13"/>
  <c r="K271" i="13"/>
  <c r="K268" i="13"/>
  <c r="K265" i="13"/>
  <c r="K269" i="13"/>
  <c r="K261" i="13"/>
  <c r="K267" i="13"/>
  <c r="K266" i="13"/>
  <c r="K264" i="13"/>
  <c r="K263" i="13"/>
  <c r="K262" i="13"/>
  <c r="F260" i="13"/>
  <c r="E260" i="13"/>
  <c r="H260" i="13" l="1"/>
  <c r="K260" i="13" s="1"/>
  <c r="F259" i="13"/>
  <c r="E259" i="13"/>
  <c r="K259" i="13" l="1"/>
  <c r="H258" i="13"/>
  <c r="E255" i="13"/>
  <c r="F255" i="13"/>
  <c r="E256" i="13"/>
  <c r="F256" i="13"/>
  <c r="E257" i="13"/>
  <c r="F257" i="13"/>
  <c r="E258" i="13"/>
  <c r="F258" i="13"/>
  <c r="H254" i="13"/>
  <c r="F254" i="13"/>
  <c r="E254" i="13"/>
  <c r="H251" i="13"/>
  <c r="H252" i="13"/>
  <c r="H253" i="13"/>
  <c r="E251" i="13"/>
  <c r="F251" i="13"/>
  <c r="E252" i="13"/>
  <c r="F252" i="13"/>
  <c r="E253" i="13"/>
  <c r="F253" i="13"/>
  <c r="H245" i="13"/>
  <c r="H246" i="13"/>
  <c r="H247" i="13"/>
  <c r="H248" i="13"/>
  <c r="H250" i="13"/>
  <c r="E245" i="13"/>
  <c r="F245" i="13"/>
  <c r="E246" i="13"/>
  <c r="F246" i="13"/>
  <c r="E247" i="13"/>
  <c r="F247" i="13"/>
  <c r="E248" i="13"/>
  <c r="F248" i="13"/>
  <c r="E249" i="13"/>
  <c r="F249" i="13"/>
  <c r="E250" i="13"/>
  <c r="F250" i="13"/>
  <c r="H232" i="13"/>
  <c r="H244" i="13"/>
  <c r="E232" i="13"/>
  <c r="F232" i="13"/>
  <c r="E233" i="13"/>
  <c r="F233" i="13"/>
  <c r="E234" i="13"/>
  <c r="F234" i="13"/>
  <c r="K234" i="13" s="1"/>
  <c r="E235" i="13"/>
  <c r="F235" i="13"/>
  <c r="E236" i="13"/>
  <c r="E238" i="13"/>
  <c r="F238" i="13"/>
  <c r="E239" i="13"/>
  <c r="F239" i="13"/>
  <c r="E240" i="13"/>
  <c r="F240" i="13"/>
  <c r="E241" i="13"/>
  <c r="F241" i="13"/>
  <c r="E242" i="13"/>
  <c r="F242" i="13"/>
  <c r="E243" i="13"/>
  <c r="F243" i="13"/>
  <c r="E244" i="13"/>
  <c r="F244" i="13"/>
  <c r="H229" i="13"/>
  <c r="H230" i="13"/>
  <c r="H231" i="13"/>
  <c r="E229" i="13"/>
  <c r="F229" i="13"/>
  <c r="E230" i="13"/>
  <c r="F230" i="13"/>
  <c r="E231" i="13"/>
  <c r="F231" i="13"/>
  <c r="E227" i="13"/>
  <c r="F227" i="13"/>
  <c r="E228" i="13"/>
  <c r="F228" i="13"/>
  <c r="F226" i="13"/>
  <c r="E226" i="13"/>
  <c r="H218" i="13"/>
  <c r="H220" i="13"/>
  <c r="E223" i="13"/>
  <c r="F223" i="13"/>
  <c r="E224" i="13"/>
  <c r="F224" i="13"/>
  <c r="E225" i="13"/>
  <c r="F225" i="13"/>
  <c r="E218" i="13"/>
  <c r="F218" i="13"/>
  <c r="E219" i="13"/>
  <c r="F219" i="13"/>
  <c r="E220" i="13"/>
  <c r="F220" i="13"/>
  <c r="E221" i="13"/>
  <c r="F221" i="13"/>
  <c r="E222" i="13"/>
  <c r="F222" i="13"/>
  <c r="E216" i="13"/>
  <c r="F216" i="13"/>
  <c r="E217" i="13"/>
  <c r="F217" i="13"/>
  <c r="H217" i="13"/>
  <c r="E215" i="13"/>
  <c r="F215" i="13"/>
  <c r="E214" i="13"/>
  <c r="F214" i="13"/>
  <c r="E213" i="13"/>
  <c r="F213" i="13"/>
  <c r="K255" i="13" l="1"/>
  <c r="K258" i="13"/>
  <c r="K257" i="13"/>
  <c r="K256" i="13"/>
  <c r="K253" i="13"/>
  <c r="K254" i="13"/>
  <c r="K252" i="13"/>
  <c r="K251" i="13"/>
  <c r="K248" i="13"/>
  <c r="K245" i="13"/>
  <c r="K247" i="13"/>
  <c r="K250" i="13"/>
  <c r="K249" i="13"/>
  <c r="K246" i="13"/>
  <c r="K240" i="13"/>
  <c r="K244" i="13"/>
  <c r="K232" i="13"/>
  <c r="K236" i="13"/>
  <c r="K243" i="13"/>
  <c r="K242" i="13"/>
  <c r="K241" i="13"/>
  <c r="K239" i="13"/>
  <c r="K238" i="13"/>
  <c r="K235" i="13"/>
  <c r="K233" i="13"/>
  <c r="K226" i="13"/>
  <c r="K231" i="13"/>
  <c r="K229" i="13"/>
  <c r="K230" i="13"/>
  <c r="K227" i="13"/>
  <c r="K228" i="13"/>
  <c r="K222" i="13"/>
  <c r="K225" i="13"/>
  <c r="K224" i="13"/>
  <c r="K223" i="13"/>
  <c r="K221" i="13"/>
  <c r="K220" i="13"/>
  <c r="K219" i="13"/>
  <c r="K218" i="13"/>
  <c r="K215" i="13"/>
  <c r="K217" i="13"/>
  <c r="K216" i="13"/>
  <c r="K214" i="13"/>
  <c r="K213" i="13"/>
  <c r="F212" i="13"/>
  <c r="E212" i="13"/>
  <c r="E211" i="13"/>
  <c r="F211" i="13"/>
  <c r="F210" i="13"/>
  <c r="E210" i="13"/>
  <c r="E209" i="13"/>
  <c r="F209" i="13"/>
  <c r="F208" i="13"/>
  <c r="E208" i="13"/>
  <c r="E206" i="13"/>
  <c r="F206" i="13"/>
  <c r="E207" i="13"/>
  <c r="F207" i="13"/>
  <c r="H206" i="13"/>
  <c r="E205" i="13"/>
  <c r="F205" i="13"/>
  <c r="F204" i="13"/>
  <c r="E204" i="13"/>
  <c r="F201" i="13"/>
  <c r="F202" i="13"/>
  <c r="F203" i="13"/>
  <c r="E201" i="13"/>
  <c r="E202" i="13"/>
  <c r="E203" i="13"/>
  <c r="E200" i="13"/>
  <c r="F200" i="13" s="1"/>
  <c r="G200" i="13" s="1"/>
  <c r="F199" i="13"/>
  <c r="E199" i="13"/>
  <c r="K212" i="13" l="1"/>
  <c r="K211" i="13"/>
  <c r="K210" i="13"/>
  <c r="K205" i="13"/>
  <c r="K209" i="13"/>
  <c r="K208" i="13"/>
  <c r="K207" i="13"/>
  <c r="K206" i="13"/>
  <c r="K204" i="13"/>
  <c r="K203" i="13"/>
  <c r="K202" i="13"/>
  <c r="K201" i="13"/>
  <c r="K199" i="13"/>
  <c r="K200" i="13"/>
  <c r="H194" i="13"/>
  <c r="F193" i="13"/>
  <c r="F194" i="13"/>
  <c r="F195" i="13"/>
  <c r="F196" i="13"/>
  <c r="F197" i="13"/>
  <c r="F198" i="13"/>
  <c r="E198" i="13"/>
  <c r="E193" i="13"/>
  <c r="E194" i="13"/>
  <c r="E195" i="13"/>
  <c r="E196" i="13"/>
  <c r="E197" i="13"/>
  <c r="F191" i="13"/>
  <c r="F192" i="13"/>
  <c r="E191" i="13"/>
  <c r="E192" i="13"/>
  <c r="F190" i="13"/>
  <c r="E190" i="13"/>
  <c r="H189" i="13"/>
  <c r="F189" i="13"/>
  <c r="E189" i="13"/>
  <c r="F186" i="13"/>
  <c r="F187" i="13"/>
  <c r="F188" i="13"/>
  <c r="E186" i="13"/>
  <c r="E187" i="13"/>
  <c r="E188" i="13"/>
  <c r="E185" i="13"/>
  <c r="F185" i="13"/>
  <c r="F180" i="13"/>
  <c r="F181" i="13"/>
  <c r="E180" i="13"/>
  <c r="E181" i="13"/>
  <c r="F6" i="13"/>
  <c r="F5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F40" i="13"/>
  <c r="F41" i="13"/>
  <c r="F42" i="13"/>
  <c r="F43" i="13"/>
  <c r="F44" i="13"/>
  <c r="F45" i="13"/>
  <c r="F46" i="13"/>
  <c r="F47" i="13"/>
  <c r="F48" i="13"/>
  <c r="F49" i="13"/>
  <c r="F50" i="13"/>
  <c r="F51" i="13"/>
  <c r="F52" i="13"/>
  <c r="K52" i="13" s="1"/>
  <c r="F53" i="13"/>
  <c r="F54" i="13"/>
  <c r="F55" i="13"/>
  <c r="F56" i="13"/>
  <c r="F57" i="13"/>
  <c r="F58" i="13"/>
  <c r="F59" i="13"/>
  <c r="F60" i="13"/>
  <c r="F61" i="13"/>
  <c r="F62" i="13"/>
  <c r="F63" i="13"/>
  <c r="F64" i="13"/>
  <c r="F65" i="13"/>
  <c r="F66" i="13"/>
  <c r="F67" i="13"/>
  <c r="F68" i="13"/>
  <c r="F69" i="13"/>
  <c r="F70" i="13"/>
  <c r="F71" i="13"/>
  <c r="F72" i="13"/>
  <c r="F73" i="13"/>
  <c r="F74" i="13"/>
  <c r="F75" i="13"/>
  <c r="F76" i="13"/>
  <c r="F77" i="13"/>
  <c r="F78" i="13"/>
  <c r="F79" i="13"/>
  <c r="F80" i="13"/>
  <c r="F81" i="13"/>
  <c r="F82" i="13"/>
  <c r="F83" i="13"/>
  <c r="F84" i="13"/>
  <c r="F85" i="13"/>
  <c r="F86" i="13"/>
  <c r="F87" i="13"/>
  <c r="F88" i="13"/>
  <c r="F89" i="13"/>
  <c r="F90" i="13"/>
  <c r="F91" i="13"/>
  <c r="F92" i="13"/>
  <c r="F93" i="13"/>
  <c r="F94" i="13"/>
  <c r="F95" i="13"/>
  <c r="F96" i="13"/>
  <c r="F97" i="13"/>
  <c r="F98" i="13"/>
  <c r="F99" i="13"/>
  <c r="F100" i="13"/>
  <c r="F101" i="13"/>
  <c r="F102" i="13"/>
  <c r="F103" i="13"/>
  <c r="F104" i="13"/>
  <c r="F105" i="13"/>
  <c r="F106" i="13"/>
  <c r="F107" i="13"/>
  <c r="F108" i="13"/>
  <c r="F109" i="13"/>
  <c r="F110" i="13"/>
  <c r="F111" i="13"/>
  <c r="F112" i="13"/>
  <c r="F113" i="13"/>
  <c r="F114" i="13"/>
  <c r="F115" i="13"/>
  <c r="F116" i="13"/>
  <c r="F117" i="13"/>
  <c r="F118" i="13"/>
  <c r="F119" i="13"/>
  <c r="F120" i="13"/>
  <c r="F121" i="13"/>
  <c r="F122" i="13"/>
  <c r="F123" i="13"/>
  <c r="F124" i="13"/>
  <c r="F125" i="13"/>
  <c r="F126" i="13"/>
  <c r="F127" i="13"/>
  <c r="F128" i="13"/>
  <c r="F129" i="13"/>
  <c r="F130" i="13"/>
  <c r="F131" i="13"/>
  <c r="F132" i="13"/>
  <c r="F133" i="13"/>
  <c r="F134" i="13"/>
  <c r="F135" i="13"/>
  <c r="F136" i="13"/>
  <c r="F137" i="13"/>
  <c r="F138" i="13"/>
  <c r="F139" i="13"/>
  <c r="F140" i="13"/>
  <c r="F141" i="13"/>
  <c r="F142" i="13"/>
  <c r="F143" i="13"/>
  <c r="F144" i="13"/>
  <c r="F145" i="13"/>
  <c r="F146" i="13"/>
  <c r="F147" i="13"/>
  <c r="F148" i="13"/>
  <c r="F149" i="13"/>
  <c r="F150" i="13"/>
  <c r="F151" i="13"/>
  <c r="F152" i="13"/>
  <c r="F153" i="13"/>
  <c r="F154" i="13"/>
  <c r="F155" i="13"/>
  <c r="F156" i="13"/>
  <c r="F157" i="13"/>
  <c r="F158" i="13"/>
  <c r="F159" i="13"/>
  <c r="F160" i="13"/>
  <c r="F161" i="13"/>
  <c r="F162" i="13"/>
  <c r="F163" i="13"/>
  <c r="F164" i="13"/>
  <c r="F165" i="13"/>
  <c r="F166" i="13"/>
  <c r="F167" i="13"/>
  <c r="F168" i="13"/>
  <c r="F169" i="13"/>
  <c r="F170" i="13"/>
  <c r="F171" i="13"/>
  <c r="F172" i="13"/>
  <c r="F173" i="13"/>
  <c r="F174" i="13"/>
  <c r="F175" i="13"/>
  <c r="F176" i="13"/>
  <c r="F177" i="13"/>
  <c r="F178" i="13"/>
  <c r="F179" i="13"/>
  <c r="F182" i="13"/>
  <c r="F183" i="13"/>
  <c r="F184" i="13"/>
  <c r="E23" i="13"/>
  <c r="E66" i="13"/>
  <c r="K197" i="13" l="1"/>
  <c r="K198" i="13"/>
  <c r="K196" i="13"/>
  <c r="K195" i="13"/>
  <c r="K193" i="13"/>
  <c r="K194" i="13"/>
  <c r="K191" i="13"/>
  <c r="K192" i="13"/>
  <c r="K185" i="13"/>
  <c r="K189" i="13"/>
  <c r="K190" i="13"/>
  <c r="K188" i="13"/>
  <c r="K186" i="13"/>
  <c r="K187" i="13"/>
  <c r="K181" i="13"/>
  <c r="K180" i="13"/>
  <c r="E183" i="13"/>
  <c r="E184" i="13"/>
  <c r="K184" i="13" l="1"/>
  <c r="K183" i="13"/>
  <c r="E174" i="13"/>
  <c r="E175" i="13"/>
  <c r="D5" i="15"/>
  <c r="E173" i="13"/>
  <c r="E182" i="13"/>
  <c r="K174" i="13" l="1"/>
  <c r="K175" i="13"/>
  <c r="K182" i="13"/>
  <c r="K173" i="13"/>
  <c r="E171" i="13"/>
  <c r="E172" i="13"/>
  <c r="E176" i="13"/>
  <c r="E177" i="13"/>
  <c r="E178" i="13"/>
  <c r="K178" i="13" l="1"/>
  <c r="K177" i="13"/>
  <c r="K176" i="13"/>
  <c r="K172" i="13"/>
  <c r="K171" i="13"/>
  <c r="E179" i="13"/>
  <c r="H166" i="13"/>
  <c r="E165" i="13"/>
  <c r="E166" i="13"/>
  <c r="E162" i="13"/>
  <c r="E163" i="13"/>
  <c r="E168" i="13"/>
  <c r="E169" i="13"/>
  <c r="E170" i="13"/>
  <c r="E167" i="13"/>
  <c r="E164" i="13"/>
  <c r="E156" i="13"/>
  <c r="E157" i="13"/>
  <c r="E158" i="13"/>
  <c r="E159" i="13"/>
  <c r="E160" i="13"/>
  <c r="E161" i="13"/>
  <c r="E153" i="13"/>
  <c r="E154" i="13"/>
  <c r="E155" i="13"/>
  <c r="E152" i="13"/>
  <c r="E151" i="13"/>
  <c r="E148" i="13"/>
  <c r="E149" i="13"/>
  <c r="E150" i="13"/>
  <c r="E146" i="13"/>
  <c r="E147" i="13"/>
  <c r="K179" i="13" l="1"/>
  <c r="K165" i="13"/>
  <c r="K162" i="13"/>
  <c r="K166" i="13"/>
  <c r="K163" i="13"/>
  <c r="K169" i="13"/>
  <c r="K164" i="13"/>
  <c r="K168" i="13"/>
  <c r="K170" i="13"/>
  <c r="K167" i="13"/>
  <c r="K159" i="13"/>
  <c r="K156" i="13"/>
  <c r="K160" i="13"/>
  <c r="K161" i="13"/>
  <c r="K158" i="13"/>
  <c r="K157" i="13"/>
  <c r="K154" i="13"/>
  <c r="K155" i="13"/>
  <c r="K153" i="13"/>
  <c r="K151" i="13"/>
  <c r="K149" i="13"/>
  <c r="K152" i="13"/>
  <c r="K148" i="13"/>
  <c r="K150" i="13"/>
  <c r="E145" i="13"/>
  <c r="E141" i="13"/>
  <c r="E142" i="13"/>
  <c r="E143" i="13"/>
  <c r="E144" i="13"/>
  <c r="K142" i="13" l="1"/>
  <c r="K147" i="13"/>
  <c r="K145" i="13"/>
  <c r="K146" i="13"/>
  <c r="K141" i="13"/>
  <c r="K144" i="13"/>
  <c r="K143" i="13"/>
  <c r="E140" i="13"/>
  <c r="E129" i="13"/>
  <c r="E130" i="13"/>
  <c r="E131" i="13"/>
  <c r="E132" i="13"/>
  <c r="E133" i="13"/>
  <c r="E134" i="13"/>
  <c r="E135" i="13"/>
  <c r="E136" i="13"/>
  <c r="E137" i="13"/>
  <c r="E138" i="13"/>
  <c r="E139" i="13"/>
  <c r="E121" i="13"/>
  <c r="E122" i="13"/>
  <c r="E123" i="13"/>
  <c r="E124" i="13"/>
  <c r="E125" i="13"/>
  <c r="E126" i="13"/>
  <c r="E127" i="13"/>
  <c r="E128" i="13"/>
  <c r="H113" i="13"/>
  <c r="H119" i="13"/>
  <c r="E110" i="13"/>
  <c r="E111" i="13"/>
  <c r="E112" i="13"/>
  <c r="E113" i="13"/>
  <c r="E114" i="13"/>
  <c r="E115" i="13"/>
  <c r="E116" i="13"/>
  <c r="E117" i="13"/>
  <c r="E118" i="13"/>
  <c r="E119" i="13"/>
  <c r="E120" i="13"/>
  <c r="H103" i="13"/>
  <c r="E100" i="13"/>
  <c r="E101" i="13"/>
  <c r="E102" i="13"/>
  <c r="E103" i="13"/>
  <c r="E104" i="13"/>
  <c r="E105" i="13"/>
  <c r="E106" i="13"/>
  <c r="E107" i="13"/>
  <c r="E108" i="13"/>
  <c r="E109" i="13"/>
  <c r="E93" i="13"/>
  <c r="E94" i="13"/>
  <c r="E95" i="13"/>
  <c r="E96" i="13"/>
  <c r="E97" i="13"/>
  <c r="E98" i="13"/>
  <c r="E99" i="13"/>
  <c r="E85" i="13"/>
  <c r="E86" i="13"/>
  <c r="E87" i="13"/>
  <c r="E88" i="13"/>
  <c r="E89" i="13"/>
  <c r="E90" i="13"/>
  <c r="E91" i="13"/>
  <c r="E92" i="13"/>
  <c r="H92" i="13"/>
  <c r="E69" i="13"/>
  <c r="E70" i="13"/>
  <c r="E71" i="13"/>
  <c r="E72" i="13"/>
  <c r="E73" i="13"/>
  <c r="E74" i="13"/>
  <c r="E75" i="13"/>
  <c r="E76" i="13"/>
  <c r="E77" i="13"/>
  <c r="E78" i="13"/>
  <c r="E79" i="13"/>
  <c r="E80" i="13"/>
  <c r="E81" i="13"/>
  <c r="E82" i="13"/>
  <c r="E83" i="13"/>
  <c r="E84" i="13"/>
  <c r="E62" i="13"/>
  <c r="E63" i="13"/>
  <c r="E64" i="13"/>
  <c r="E65" i="13"/>
  <c r="E67" i="13"/>
  <c r="E68" i="13"/>
  <c r="H78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55" i="13"/>
  <c r="E56" i="13"/>
  <c r="E57" i="13"/>
  <c r="E58" i="13"/>
  <c r="E59" i="13"/>
  <c r="E60" i="13"/>
  <c r="E61" i="13"/>
  <c r="E29" i="13"/>
  <c r="H28" i="13"/>
  <c r="H40" i="13"/>
  <c r="E30" i="13"/>
  <c r="E31" i="13"/>
  <c r="E32" i="13"/>
  <c r="E33" i="13"/>
  <c r="E34" i="13"/>
  <c r="E35" i="13"/>
  <c r="E36" i="13"/>
  <c r="E37" i="13"/>
  <c r="E38" i="13"/>
  <c r="E40" i="13"/>
  <c r="E41" i="13"/>
  <c r="E42" i="13"/>
  <c r="E18" i="13"/>
  <c r="E19" i="13"/>
  <c r="E20" i="13"/>
  <c r="E21" i="13"/>
  <c r="E22" i="13"/>
  <c r="E24" i="13"/>
  <c r="E25" i="13"/>
  <c r="E26" i="13"/>
  <c r="E27" i="13"/>
  <c r="E28" i="13"/>
  <c r="H17" i="13"/>
  <c r="E15" i="13"/>
  <c r="E16" i="13"/>
  <c r="E17" i="13"/>
  <c r="E14" i="13"/>
  <c r="E6" i="13"/>
  <c r="E7" i="13"/>
  <c r="E8" i="13"/>
  <c r="E9" i="13"/>
  <c r="E10" i="13"/>
  <c r="E11" i="13"/>
  <c r="E12" i="13"/>
  <c r="E13" i="13"/>
  <c r="E5" i="13"/>
  <c r="AX5" i="13"/>
  <c r="AX744" i="13" s="1"/>
  <c r="AY5" i="13"/>
  <c r="AY744" i="13" s="1"/>
  <c r="K140" i="13" l="1"/>
  <c r="K109" i="13"/>
  <c r="K135" i="13"/>
  <c r="K132" i="13"/>
  <c r="K138" i="13"/>
  <c r="K130" i="13"/>
  <c r="K139" i="13"/>
  <c r="K131" i="13"/>
  <c r="K137" i="13"/>
  <c r="K129" i="13"/>
  <c r="K136" i="13"/>
  <c r="K134" i="13"/>
  <c r="K133" i="13"/>
  <c r="K125" i="13"/>
  <c r="K128" i="13"/>
  <c r="K121" i="13"/>
  <c r="K127" i="13"/>
  <c r="K126" i="13"/>
  <c r="K124" i="13"/>
  <c r="K123" i="13"/>
  <c r="K122" i="13"/>
  <c r="K112" i="13"/>
  <c r="K119" i="13"/>
  <c r="K118" i="13"/>
  <c r="K114" i="13"/>
  <c r="K110" i="13"/>
  <c r="K120" i="13"/>
  <c r="K117" i="13"/>
  <c r="K116" i="13"/>
  <c r="K107" i="13"/>
  <c r="K115" i="13"/>
  <c r="K113" i="13"/>
  <c r="K111" i="13"/>
  <c r="K106" i="13"/>
  <c r="K102" i="13"/>
  <c r="K108" i="13"/>
  <c r="K103" i="13"/>
  <c r="K105" i="13"/>
  <c r="K104" i="13"/>
  <c r="K101" i="13"/>
  <c r="K100" i="13"/>
  <c r="K99" i="13"/>
  <c r="K98" i="13"/>
  <c r="K97" i="13"/>
  <c r="K96" i="13"/>
  <c r="K88" i="13"/>
  <c r="K87" i="13"/>
  <c r="K81" i="13"/>
  <c r="K78" i="13"/>
  <c r="K70" i="13"/>
  <c r="K92" i="13"/>
  <c r="K71" i="13"/>
  <c r="K95" i="13"/>
  <c r="K90" i="13"/>
  <c r="K82" i="13"/>
  <c r="K80" i="13"/>
  <c r="K91" i="13"/>
  <c r="K89" i="13"/>
  <c r="K94" i="13"/>
  <c r="K86" i="13"/>
  <c r="K93" i="13"/>
  <c r="K77" i="13"/>
  <c r="K69" i="13"/>
  <c r="K67" i="13"/>
  <c r="K12" i="13"/>
  <c r="K74" i="13"/>
  <c r="K84" i="13"/>
  <c r="K73" i="13"/>
  <c r="K24" i="13"/>
  <c r="K83" i="13"/>
  <c r="K13" i="13"/>
  <c r="K85" i="13"/>
  <c r="K68" i="13"/>
  <c r="K76" i="13"/>
  <c r="K75" i="13"/>
  <c r="K79" i="13"/>
  <c r="K20" i="13"/>
  <c r="K55" i="13"/>
  <c r="K42" i="13"/>
  <c r="K16" i="13"/>
  <c r="K5" i="13"/>
  <c r="K62" i="13"/>
  <c r="K26" i="13"/>
  <c r="K10" i="13"/>
  <c r="K47" i="13"/>
  <c r="K11" i="13"/>
  <c r="K66" i="13"/>
  <c r="K65" i="13"/>
  <c r="K64" i="13"/>
  <c r="K63" i="13"/>
  <c r="K61" i="13"/>
  <c r="K72" i="13"/>
  <c r="K60" i="13"/>
  <c r="K59" i="13"/>
  <c r="K58" i="13"/>
  <c r="K57" i="13"/>
  <c r="K56" i="13"/>
  <c r="K54" i="13"/>
  <c r="K53" i="13"/>
  <c r="K51" i="13"/>
  <c r="K50" i="13"/>
  <c r="K49" i="13"/>
  <c r="K48" i="13"/>
  <c r="K46" i="13"/>
  <c r="K45" i="13"/>
  <c r="K44" i="13"/>
  <c r="K43" i="13"/>
  <c r="K30" i="13"/>
  <c r="K38" i="13"/>
  <c r="K14" i="13"/>
  <c r="K41" i="13"/>
  <c r="K9" i="13"/>
  <c r="K37" i="13"/>
  <c r="K18" i="13"/>
  <c r="K8" i="13"/>
  <c r="K7" i="13"/>
  <c r="K6" i="13"/>
  <c r="K22" i="13"/>
  <c r="K36" i="13"/>
  <c r="K35" i="13"/>
  <c r="K34" i="13"/>
  <c r="K33" i="13"/>
  <c r="K32" i="13"/>
  <c r="K31" i="13"/>
  <c r="K29" i="13"/>
  <c r="K40" i="13"/>
  <c r="K28" i="13"/>
  <c r="K27" i="13"/>
  <c r="K25" i="13"/>
  <c r="K23" i="13"/>
  <c r="K21" i="13"/>
  <c r="K19" i="13"/>
  <c r="K17" i="13"/>
  <c r="K15" i="13"/>
  <c r="D9" i="15" l="1"/>
  <c r="C7" i="15" l="1"/>
  <c r="D13" i="15" l="1"/>
  <c r="C8" i="15"/>
  <c r="D6" i="15"/>
  <c r="D10" i="15" l="1"/>
  <c r="D11" i="15"/>
  <c r="D12" i="15" l="1"/>
  <c r="BD744" i="13" l="1"/>
  <c r="D7" i="15"/>
  <c r="D8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2" authorId="0" shapeId="0" xr:uid="{7BAEB82D-1357-436B-AE50-FD6201DA756E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Chandan will enter</t>
        </r>
      </text>
    </comment>
    <comment ref="J2" authorId="0" shapeId="0" xr:uid="{6336F5E4-C287-42B1-AAB1-2B712996343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MOC-40 DAYS, BP/OFF LOAD-90DAYS</t>
        </r>
      </text>
    </comment>
    <comment ref="AZ2" authorId="0" shapeId="0" xr:uid="{F64C35E0-740D-4D92-982B-F7B2B446F02E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to be planned/Planned/Finished</t>
        </r>
      </text>
    </comment>
    <comment ref="BA2" authorId="0" shapeId="0" xr:uid="{1EEC4334-D981-47A6-A596-828ECD64DA6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Pending/Invoiced</t>
        </r>
      </text>
    </comment>
    <comment ref="BD2" authorId="0" shapeId="0" xr:uid="{02452EC7-FCC2-459A-8276-7CBCAF471B54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manul type -invoiced vale</t>
        </r>
      </text>
    </comment>
    <comment ref="BH2" authorId="0" shapeId="0" xr:uid="{026849C7-9B7B-4239-985B-BAE115163027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Pending/Done</t>
        </r>
      </text>
    </comment>
    <comment ref="BI2" authorId="0" shapeId="0" xr:uid="{DEB11BB5-469D-444C-BE39-5A1CD72F55B8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Pending/Invoiced/Work in progress/Hold</t>
        </r>
      </text>
    </comment>
  </commentList>
</comments>
</file>

<file path=xl/sharedStrings.xml><?xml version="1.0" encoding="utf-8"?>
<sst xmlns="http://schemas.openxmlformats.org/spreadsheetml/2006/main" count="8911" uniqueCount="1591">
  <si>
    <t>EEC61525</t>
  </si>
  <si>
    <t>EEC61541</t>
  </si>
  <si>
    <t>EEC61542</t>
  </si>
  <si>
    <t>EEC61543</t>
  </si>
  <si>
    <t>EEC37611</t>
  </si>
  <si>
    <t>EEC61537</t>
  </si>
  <si>
    <t>EEC61536</t>
  </si>
  <si>
    <t>EEC61533</t>
  </si>
  <si>
    <t>EEC61535</t>
  </si>
  <si>
    <t>EEC61538</t>
  </si>
  <si>
    <t>EEM37607</t>
  </si>
  <si>
    <t>EEM37608</t>
  </si>
  <si>
    <t>Issued</t>
  </si>
  <si>
    <t>Comp.</t>
  </si>
  <si>
    <t>Value</t>
  </si>
  <si>
    <t>Completed</t>
  </si>
  <si>
    <t>DIF CWR</t>
  </si>
  <si>
    <t>DIF AMT</t>
  </si>
  <si>
    <t>KM-Invoiced AMT</t>
  </si>
  <si>
    <t>KM-CWR</t>
  </si>
  <si>
    <t>Location</t>
  </si>
  <si>
    <t>CWR No.</t>
  </si>
  <si>
    <t>Received Date</t>
  </si>
  <si>
    <t>Work Order No</t>
  </si>
  <si>
    <t>RO Number</t>
  </si>
  <si>
    <t>SS no</t>
  </si>
  <si>
    <t>CWR Start Date</t>
  </si>
  <si>
    <t>CWR Completion Date</t>
  </si>
  <si>
    <t>Invoice Status</t>
  </si>
  <si>
    <t>Invoice #</t>
  </si>
  <si>
    <t>Total Days</t>
  </si>
  <si>
    <t>Shut Down/Return Date</t>
  </si>
  <si>
    <t>DETAILS</t>
  </si>
  <si>
    <t>AMOUNT</t>
  </si>
  <si>
    <t>%</t>
  </si>
  <si>
    <t>TOTAL ISSUED VALUE</t>
  </si>
  <si>
    <t>TOTAL COMPLETED VALUE</t>
  </si>
  <si>
    <t>BALANCE TO BE ISSUED</t>
  </si>
  <si>
    <t>BALANCE TO BE INVOICED</t>
  </si>
  <si>
    <t>TOTAL CONTRACT VALUE (Original)</t>
  </si>
  <si>
    <t>Final Status</t>
  </si>
  <si>
    <t>Work to be Executed</t>
  </si>
  <si>
    <t>Work Completed month</t>
  </si>
  <si>
    <t>Final Inspection</t>
  </si>
  <si>
    <t>CWR</t>
  </si>
  <si>
    <t>JOB 
Done By</t>
  </si>
  <si>
    <t>BALANCE VALUE AS OF CONTRACT</t>
  </si>
  <si>
    <t>TOTAL INVOICED VALUE FROM CONTRACT</t>
  </si>
  <si>
    <t xml:space="preserve">READY FOR INVOICE </t>
  </si>
  <si>
    <t>SITE STATUS</t>
  </si>
  <si>
    <t>RO STATUS</t>
  </si>
  <si>
    <t>1.1 - Cable</t>
  </si>
  <si>
    <t>1.3 R/C Future</t>
  </si>
  <si>
    <t>1.4 Reinstatement</t>
  </si>
  <si>
    <t>2.1 Termination</t>
  </si>
  <si>
    <t>2.2 ST</t>
  </si>
  <si>
    <t>2.3 PE</t>
  </si>
  <si>
    <t>2.4 TEE</t>
  </si>
  <si>
    <t>2.5 Pole term</t>
  </si>
  <si>
    <t>2.7 mccb supply &amp; Enclousre</t>
  </si>
  <si>
    <t xml:space="preserve"> (MOC/BP/OFF Load) NO</t>
  </si>
  <si>
    <t>Type of job</t>
  </si>
  <si>
    <t>SL</t>
  </si>
  <si>
    <t>Tentative RO expected Date</t>
  </si>
  <si>
    <t>RO Approved Date</t>
  </si>
  <si>
    <t>Updated up to</t>
  </si>
  <si>
    <t>Project Summary Report</t>
  </si>
  <si>
    <t>TOTAL INVOICED VALUE AS OF</t>
  </si>
  <si>
    <t>CONTRACT # GTC=1240/2024-EXTENSION OF U/G LV MAINS NETWORK &amp; SERVICE CONNECTIONS-BOQ-MASTER STATUS</t>
  </si>
  <si>
    <t>1.2 R/C Existing</t>
  </si>
  <si>
    <t>1.6 Phase-2</t>
  </si>
  <si>
    <t>2.6 mccb supply(W/O Enclosure)</t>
  </si>
  <si>
    <t>1.5 Special Reinstatement</t>
  </si>
  <si>
    <t>1.7 MCCB installation</t>
  </si>
  <si>
    <t>No of Service</t>
  </si>
  <si>
    <t>DS</t>
  </si>
  <si>
    <t>MOC-229130</t>
  </si>
  <si>
    <t>Pending</t>
  </si>
  <si>
    <t>17758</t>
  </si>
  <si>
    <t>New District Of Doha 69</t>
  </si>
  <si>
    <t>21949</t>
  </si>
  <si>
    <t>Al Gharrafa/Bani Hajer/Al Zagh(51 )</t>
  </si>
  <si>
    <t>Umm Slal/Al Kharaitiyat (71 )</t>
  </si>
  <si>
    <t>C-189423(MSA-18035002)</t>
  </si>
  <si>
    <t>13815</t>
  </si>
  <si>
    <t>C-126221(MSA-18035782</t>
  </si>
  <si>
    <t>C-17520(MSA-18035053</t>
  </si>
  <si>
    <t>Al Mirqab Al Jadeed/Al Nasr (39 )</t>
  </si>
  <si>
    <t>1022</t>
  </si>
  <si>
    <t>MOC-196766</t>
  </si>
  <si>
    <t>5106</t>
  </si>
  <si>
    <t>MOC-241227</t>
  </si>
  <si>
    <t>New District Of Doha 65</t>
  </si>
  <si>
    <t>1589</t>
  </si>
  <si>
    <t>MOC-246940</t>
  </si>
  <si>
    <t>4199</t>
  </si>
  <si>
    <t>C-1036145(MSA-18034975)</t>
  </si>
  <si>
    <t>3607</t>
  </si>
  <si>
    <t>Al Soudan South/Al Aziziya/Al (55 )</t>
  </si>
  <si>
    <t>C-1157544A(MSA-18034957)</t>
  </si>
  <si>
    <t>17316</t>
  </si>
  <si>
    <t>4519</t>
  </si>
  <si>
    <t>Abu Nakhla / Mukainess (81 )</t>
  </si>
  <si>
    <t>C-153570A(MSA-18031116)</t>
  </si>
  <si>
    <t>MOC-243788</t>
  </si>
  <si>
    <t>13512</t>
  </si>
  <si>
    <t>Al Kheesa (70 )</t>
  </si>
  <si>
    <t>MOC-242923</t>
  </si>
  <si>
    <t>24873</t>
  </si>
  <si>
    <t>MOC-220551</t>
  </si>
  <si>
    <t>36998</t>
  </si>
  <si>
    <t>MOC-235193</t>
  </si>
  <si>
    <t>12409</t>
  </si>
  <si>
    <t>MOC-227361</t>
  </si>
  <si>
    <t>13060</t>
  </si>
  <si>
    <t>MOC-193718</t>
  </si>
  <si>
    <t>20665</t>
  </si>
  <si>
    <t>MOC-243369</t>
  </si>
  <si>
    <t>0477</t>
  </si>
  <si>
    <t>Najma (26 )</t>
  </si>
  <si>
    <t>MOC-236046/MOC-236045</t>
  </si>
  <si>
    <t>5610</t>
  </si>
  <si>
    <t>Al Khor (74 )</t>
  </si>
  <si>
    <t>MOC</t>
  </si>
  <si>
    <t>MOC-246388</t>
  </si>
  <si>
    <t>32700</t>
  </si>
  <si>
    <t>MOC-246742</t>
  </si>
  <si>
    <t>34485</t>
  </si>
  <si>
    <t>Al Shahhniya (80 )</t>
  </si>
  <si>
    <t>MOC-231556</t>
  </si>
  <si>
    <t>MOC-220546</t>
  </si>
  <si>
    <t>26559</t>
  </si>
  <si>
    <t>MOC-240681</t>
  </si>
  <si>
    <t>MOC-139647</t>
  </si>
  <si>
    <t>C-1021340(MSA-18035733)</t>
  </si>
  <si>
    <t>C-1490118(MSA-18034496)</t>
  </si>
  <si>
    <t xml:space="preserve">DS </t>
  </si>
  <si>
    <t>15642</t>
  </si>
  <si>
    <t>C-1002387(MSA-18035668)</t>
  </si>
  <si>
    <t>3614</t>
  </si>
  <si>
    <t>C-121056(MSA-18035612)</t>
  </si>
  <si>
    <t>C-176033A(MSA-18031805)</t>
  </si>
  <si>
    <t>1790</t>
  </si>
  <si>
    <t>12918</t>
  </si>
  <si>
    <t>MOC-246975</t>
  </si>
  <si>
    <t>MOC-201947+MOC-201948</t>
  </si>
  <si>
    <t>23510</t>
  </si>
  <si>
    <t>MOC-245160+MOC-245161</t>
  </si>
  <si>
    <t>25113</t>
  </si>
  <si>
    <t>MOC-228589</t>
  </si>
  <si>
    <t>40380</t>
  </si>
  <si>
    <t>MOC-242049+247680+
247681+247682</t>
  </si>
  <si>
    <t>22641</t>
  </si>
  <si>
    <t>MOC-243261</t>
  </si>
  <si>
    <t>MOC-246532</t>
  </si>
  <si>
    <t>35054</t>
  </si>
  <si>
    <t>1308</t>
  </si>
  <si>
    <t>MOC-242308</t>
  </si>
  <si>
    <t>C-93529(MSA-18035113)</t>
  </si>
  <si>
    <t>21785</t>
  </si>
  <si>
    <t>Madinat Khalifa (South) (34 )</t>
  </si>
  <si>
    <t>MOC-219806</t>
  </si>
  <si>
    <t>Madinat Khalifa (North) (32 )</t>
  </si>
  <si>
    <t>MOC-242769</t>
  </si>
  <si>
    <t>MOC-231519</t>
  </si>
  <si>
    <t>MOC-240235</t>
  </si>
  <si>
    <t>Al Doha Al Jadeeda (15 )</t>
  </si>
  <si>
    <t>MOC-234736</t>
  </si>
  <si>
    <t>0470</t>
  </si>
  <si>
    <t>Al Khulaifat Al Jadeeda/Al Maa(56 )</t>
  </si>
  <si>
    <t>MOC-243146</t>
  </si>
  <si>
    <t>C-1095720(MSA-18035534)</t>
  </si>
  <si>
    <t>C-112034(MSA-18035675)</t>
  </si>
  <si>
    <t>Al Duhail South (31 )</t>
  </si>
  <si>
    <t>C-981100(MSA-18035595)</t>
  </si>
  <si>
    <t>3062</t>
  </si>
  <si>
    <t>C-1208903 (MSA-18035719)</t>
  </si>
  <si>
    <t>10049</t>
  </si>
  <si>
    <t>C-1111833(MSA-18035730)</t>
  </si>
  <si>
    <t>C-89448A(MSA-18035939)</t>
  </si>
  <si>
    <t>29463</t>
  </si>
  <si>
    <t>Al Rayyan Al Jadeed/Muaither N(53 )</t>
  </si>
  <si>
    <t>C-44972(MSA-18035543)</t>
  </si>
  <si>
    <t>22222</t>
  </si>
  <si>
    <t>36965</t>
  </si>
  <si>
    <t>MOC-244331+MOC-244332</t>
  </si>
  <si>
    <t>Kulaib (35 )</t>
  </si>
  <si>
    <t>MOC-228991</t>
  </si>
  <si>
    <t>25036</t>
  </si>
  <si>
    <t>MOC-240757</t>
  </si>
  <si>
    <t>30467</t>
  </si>
  <si>
    <t>C-152648A(MSA-18035870)</t>
  </si>
  <si>
    <t>3886</t>
  </si>
  <si>
    <t>C-65009(MSA-18034722)</t>
  </si>
  <si>
    <t>0070</t>
  </si>
  <si>
    <t>Al Luqta/Al Rayyan Al Qadeem (52 )</t>
  </si>
  <si>
    <t>C-45374A(MSA-18035530)</t>
  </si>
  <si>
    <t>1135</t>
  </si>
  <si>
    <t>Al Mansoura/Bin Dirhem (25 )</t>
  </si>
  <si>
    <t>C-981627( MSA-18035520)</t>
  </si>
  <si>
    <t>Al Khulaifat Al Jadeeda/Al Maa(56</t>
  </si>
  <si>
    <t>MOC-247283</t>
  </si>
  <si>
    <t>21060</t>
  </si>
  <si>
    <t>33666</t>
  </si>
  <si>
    <t>MOC-247414</t>
  </si>
  <si>
    <t>4618</t>
  </si>
  <si>
    <t>MOC-247792</t>
  </si>
  <si>
    <t>32056</t>
  </si>
  <si>
    <t>MOC-219967+68+69+70+71</t>
  </si>
  <si>
    <t>3656</t>
  </si>
  <si>
    <t>WORK IN PROGRESS</t>
  </si>
  <si>
    <t>NEWCON</t>
  </si>
  <si>
    <t>Cancelled</t>
  </si>
  <si>
    <t>NA</t>
  </si>
  <si>
    <t>C-1164958 (MSA-18034686)</t>
  </si>
  <si>
    <t>22709</t>
  </si>
  <si>
    <t>C-1065156 (MSA-18035962)</t>
  </si>
  <si>
    <t>5423</t>
  </si>
  <si>
    <t>C-176064A (MSA-18035888)</t>
  </si>
  <si>
    <t>29477</t>
  </si>
  <si>
    <t>C-108688A (MSA-18035641)</t>
  </si>
  <si>
    <t>14245</t>
  </si>
  <si>
    <t>C-1193583 (MSA-18035783)</t>
  </si>
  <si>
    <t>4284</t>
  </si>
  <si>
    <t>MOC-243469</t>
  </si>
  <si>
    <t>1095</t>
  </si>
  <si>
    <t>MOC-247216</t>
  </si>
  <si>
    <t>38733</t>
  </si>
  <si>
    <t>BP#150252</t>
  </si>
  <si>
    <t>26215</t>
  </si>
  <si>
    <t>BP#150258</t>
  </si>
  <si>
    <t>10763</t>
  </si>
  <si>
    <t>26012</t>
  </si>
  <si>
    <t>BP#150126+            BP#150127</t>
  </si>
  <si>
    <t>36163</t>
  </si>
  <si>
    <t>BP#150315</t>
  </si>
  <si>
    <t>9860</t>
  </si>
  <si>
    <t>BP#150233</t>
  </si>
  <si>
    <t>21628</t>
  </si>
  <si>
    <t>BP#150173</t>
  </si>
  <si>
    <t>14366</t>
  </si>
  <si>
    <t>C-57432 (MSA#18035011)</t>
  </si>
  <si>
    <t>0094</t>
  </si>
  <si>
    <t>MOC-173917</t>
  </si>
  <si>
    <t>23973</t>
  </si>
  <si>
    <t xml:space="preserve">COMPLETED </t>
  </si>
  <si>
    <t>Approved/Printed</t>
  </si>
  <si>
    <t>C-83304 (MSA-18035996)</t>
  </si>
  <si>
    <t>3756</t>
  </si>
  <si>
    <t>MOC-222544+  MOC-222545</t>
  </si>
  <si>
    <t>19042</t>
  </si>
  <si>
    <t>RO NA</t>
  </si>
  <si>
    <t>C-66629 (IDM-12850)</t>
  </si>
  <si>
    <t>1990</t>
  </si>
  <si>
    <t>BP#150156</t>
  </si>
  <si>
    <t>24878</t>
  </si>
  <si>
    <t>C-1137949 (MSA-18036010)</t>
  </si>
  <si>
    <t>26092</t>
  </si>
  <si>
    <t>MOC-198986</t>
  </si>
  <si>
    <t>MOC-197523</t>
  </si>
  <si>
    <t>BP#N/2025/1778 (PIN57110426)</t>
  </si>
  <si>
    <t>12527</t>
  </si>
  <si>
    <t>14757</t>
  </si>
  <si>
    <t>18518</t>
  </si>
  <si>
    <t>Industrial Area (57 )</t>
  </si>
  <si>
    <t>C-981553 (MSA-18035495)</t>
  </si>
  <si>
    <t>3424</t>
  </si>
  <si>
    <t>BP#N/2025/1754 (PIN70150188)</t>
  </si>
  <si>
    <t>32923</t>
  </si>
  <si>
    <t>BP#150151</t>
  </si>
  <si>
    <t>5105</t>
  </si>
  <si>
    <t>MOC-237606</t>
  </si>
  <si>
    <t>25414</t>
  </si>
  <si>
    <t>MOC-219526</t>
  </si>
  <si>
    <t>18223</t>
  </si>
  <si>
    <t>C-47485 (MSA-18035388)</t>
  </si>
  <si>
    <t>16914</t>
  </si>
  <si>
    <t>MOC-123982</t>
  </si>
  <si>
    <t>15210</t>
  </si>
  <si>
    <t>BP#150230</t>
  </si>
  <si>
    <t>4146</t>
  </si>
  <si>
    <t>BP#150260</t>
  </si>
  <si>
    <t>39100</t>
  </si>
  <si>
    <t>C-1093291 (MSA-18035977)</t>
  </si>
  <si>
    <t>C-981689 (MSA-18035728)</t>
  </si>
  <si>
    <t>4599</t>
  </si>
  <si>
    <t>BP#150339</t>
  </si>
  <si>
    <t>5120</t>
  </si>
  <si>
    <t>BP#150106</t>
  </si>
  <si>
    <t>13887</t>
  </si>
  <si>
    <t>OL-F2-10226</t>
  </si>
  <si>
    <t>10226</t>
  </si>
  <si>
    <t>C-149843A (MSA-18031710)</t>
  </si>
  <si>
    <t>3561</t>
  </si>
  <si>
    <t>MOC-244450+MOC-244451</t>
  </si>
  <si>
    <t>22864</t>
  </si>
  <si>
    <t>MOC-242313+MOC-242315</t>
  </si>
  <si>
    <t>23664</t>
  </si>
  <si>
    <t>MOC-247962</t>
  </si>
  <si>
    <t>34779</t>
  </si>
  <si>
    <t>BP#N/2025/905 (PIN#34010009)</t>
  </si>
  <si>
    <t>23447</t>
  </si>
  <si>
    <t>17194</t>
  </si>
  <si>
    <t>BP#150920</t>
  </si>
  <si>
    <t>4296</t>
  </si>
  <si>
    <t>BP#150953</t>
  </si>
  <si>
    <t>20611</t>
  </si>
  <si>
    <t>BP-150431+ BP-150432</t>
  </si>
  <si>
    <t>23056</t>
  </si>
  <si>
    <t>EEC154309</t>
  </si>
  <si>
    <t>EEC158944</t>
  </si>
  <si>
    <t>BP#N/2025/1056 (PIN#35116053)</t>
  </si>
  <si>
    <t>2161</t>
  </si>
  <si>
    <t>C-127653A; (MSA-18034608)</t>
  </si>
  <si>
    <t>4536</t>
  </si>
  <si>
    <t>BP#150157</t>
  </si>
  <si>
    <t>4319</t>
  </si>
  <si>
    <t>BP#150207</t>
  </si>
  <si>
    <t>19528</t>
  </si>
  <si>
    <t>BP# N/2025/3053 (PIN35116023)</t>
  </si>
  <si>
    <t>2163</t>
  </si>
  <si>
    <t>BP</t>
  </si>
  <si>
    <t>RO Expiry Date</t>
  </si>
  <si>
    <t>MOC-196352</t>
  </si>
  <si>
    <t>31472</t>
  </si>
  <si>
    <t>New District Of Doha  (69 )</t>
  </si>
  <si>
    <t>MOC-202672</t>
  </si>
  <si>
    <t>31471</t>
  </si>
  <si>
    <t>BP#N/2025/0389 (PIN57010687)</t>
  </si>
  <si>
    <t>23480</t>
  </si>
  <si>
    <t>BP#N/2025/1241 (PIN35016024)</t>
  </si>
  <si>
    <t>22354</t>
  </si>
  <si>
    <t>C-1003542 (MSA-18034820)</t>
  </si>
  <si>
    <t>C-981745; (MSA-18035890)</t>
  </si>
  <si>
    <t>5125</t>
  </si>
  <si>
    <t>MOC-239274</t>
  </si>
  <si>
    <t>26025</t>
  </si>
  <si>
    <t>C-1059163A (MSA-18035797)</t>
  </si>
  <si>
    <t>12301</t>
  </si>
  <si>
    <t>MOC-247907</t>
  </si>
  <si>
    <t>32428</t>
  </si>
  <si>
    <t>BP#N/2024/6525 (PIN56090759)</t>
  </si>
  <si>
    <t>19256</t>
  </si>
  <si>
    <t>MSA-18036029+MSA-18030324</t>
  </si>
  <si>
    <t>4550</t>
  </si>
  <si>
    <t>C-1006188 (MSA-18035989)</t>
  </si>
  <si>
    <t>2286</t>
  </si>
  <si>
    <t>30727</t>
  </si>
  <si>
    <t>MOC-217262+MOC -217263+MOC-217264</t>
  </si>
  <si>
    <t>OL</t>
  </si>
  <si>
    <t>OL-TX-9848</t>
  </si>
  <si>
    <t>9847</t>
  </si>
  <si>
    <t>OL-TX2 -F8-3904</t>
  </si>
  <si>
    <t>3904</t>
  </si>
  <si>
    <t>OL-TX1-3878</t>
  </si>
  <si>
    <t>3878</t>
  </si>
  <si>
    <t>OLTX214797</t>
  </si>
  <si>
    <t>4850</t>
  </si>
  <si>
    <t>OL F9+F11-3230</t>
  </si>
  <si>
    <t>3230</t>
  </si>
  <si>
    <t>OLTX1F6F102663</t>
  </si>
  <si>
    <t>3585</t>
  </si>
  <si>
    <t>OL-TX2-0062</t>
  </si>
  <si>
    <t>14193</t>
  </si>
  <si>
    <t>803255/ 804645</t>
  </si>
  <si>
    <t>Hold</t>
  </si>
  <si>
    <t>Not Clear</t>
  </si>
  <si>
    <t>C-130791 (MSA-18034740)</t>
  </si>
  <si>
    <t>5188</t>
  </si>
  <si>
    <t>Al Duhail (30 )</t>
  </si>
  <si>
    <t>BP#150349</t>
  </si>
  <si>
    <t>25636</t>
  </si>
  <si>
    <t>MOC-200861</t>
  </si>
  <si>
    <t>31465</t>
  </si>
  <si>
    <t>New District Of Doha 69 (69 )</t>
  </si>
  <si>
    <t>C-981257 (MSA-18036116)</t>
  </si>
  <si>
    <t>5065</t>
  </si>
  <si>
    <t>MOC-240298</t>
  </si>
  <si>
    <t>4083</t>
  </si>
  <si>
    <t>36985</t>
  </si>
  <si>
    <t>MOC 225207+8+9+10+11+12+13+14</t>
  </si>
  <si>
    <t>29769</t>
  </si>
  <si>
    <t>OL TX1-9920</t>
  </si>
  <si>
    <t>25897</t>
  </si>
  <si>
    <t>OL-F9-14071</t>
  </si>
  <si>
    <t>14071</t>
  </si>
  <si>
    <t>OL-F9-15707</t>
  </si>
  <si>
    <t>15707</t>
  </si>
  <si>
    <t>803624/804983</t>
  </si>
  <si>
    <t>MOC-238011</t>
  </si>
  <si>
    <t>3448</t>
  </si>
  <si>
    <t>MOC-217394</t>
  </si>
  <si>
    <t>35033</t>
  </si>
  <si>
    <t>MOC-234718</t>
  </si>
  <si>
    <t>33909</t>
  </si>
  <si>
    <t>MOC-236793</t>
  </si>
  <si>
    <t>9620</t>
  </si>
  <si>
    <t>MOC-245541</t>
  </si>
  <si>
    <t>19054</t>
  </si>
  <si>
    <t>C- 90707A (MSA-18036280)</t>
  </si>
  <si>
    <t>4206</t>
  </si>
  <si>
    <t>C-123993 (MSA-18036170)</t>
  </si>
  <si>
    <t>39090</t>
  </si>
  <si>
    <t>C-1081912 (MSA-18031303)</t>
  </si>
  <si>
    <t>12890</t>
  </si>
  <si>
    <t>MOC-224680+1+2+3+ 4+5+6+7</t>
  </si>
  <si>
    <t>18477</t>
  </si>
  <si>
    <t>MOC-221244</t>
  </si>
  <si>
    <t>17265</t>
  </si>
  <si>
    <t>MOC-225760</t>
  </si>
  <si>
    <t>33991</t>
  </si>
  <si>
    <t>C-1061682 (MSA-18036084)</t>
  </si>
  <si>
    <t>12676</t>
  </si>
  <si>
    <t>MOC-237959+237960</t>
  </si>
  <si>
    <t>0754</t>
  </si>
  <si>
    <t>MOC-243614</t>
  </si>
  <si>
    <t>MOC-239350</t>
  </si>
  <si>
    <t>31474</t>
  </si>
  <si>
    <t>BP#N/2024/7831 (PIN57040091)</t>
  </si>
  <si>
    <t>10017</t>
  </si>
  <si>
    <t>BP# N/2025/3903 (PIN35040003)</t>
  </si>
  <si>
    <t>24869</t>
  </si>
  <si>
    <t>BP#150398</t>
  </si>
  <si>
    <t>4198</t>
  </si>
  <si>
    <t>3170</t>
  </si>
  <si>
    <t>233552+N/2020/3838(PIN24140013)</t>
  </si>
  <si>
    <t>27120</t>
  </si>
  <si>
    <t>Al Muntazah (24 )</t>
  </si>
  <si>
    <t>MOC-236040</t>
  </si>
  <si>
    <t>3 3991</t>
  </si>
  <si>
    <t>238148 + 46 + 47</t>
  </si>
  <si>
    <t>35043</t>
  </si>
  <si>
    <t>MOC-230894</t>
  </si>
  <si>
    <t>12537</t>
  </si>
  <si>
    <t>MOC-239711</t>
  </si>
  <si>
    <t>40733</t>
  </si>
  <si>
    <t>MOC-235197+98</t>
  </si>
  <si>
    <t>10288</t>
  </si>
  <si>
    <t>MOC-245195+96</t>
  </si>
  <si>
    <t>25315</t>
  </si>
  <si>
    <t>BP#150363</t>
  </si>
  <si>
    <t>23479</t>
  </si>
  <si>
    <t>BP# N/2025/3189 (PIN71053807)</t>
  </si>
  <si>
    <t>10815</t>
  </si>
  <si>
    <t>C- 981711 ( MSA-18036154 )</t>
  </si>
  <si>
    <t>40939</t>
  </si>
  <si>
    <t>BP # N/2025/3035 ( PIN71570031)</t>
  </si>
  <si>
    <t>13634</t>
  </si>
  <si>
    <t>MOC-181454</t>
  </si>
  <si>
    <t>23649</t>
  </si>
  <si>
    <t>Fareeq Al Amir/Muraykh/Al Soud(54 )</t>
  </si>
  <si>
    <t>13470</t>
  </si>
  <si>
    <t>BP150148</t>
  </si>
  <si>
    <t>25228</t>
  </si>
  <si>
    <t>BP#N/2024/7040 ( PIN74090423 )</t>
  </si>
  <si>
    <t>12489</t>
  </si>
  <si>
    <t>BP150178</t>
  </si>
  <si>
    <t>2317</t>
  </si>
  <si>
    <t>804492/ 805583</t>
  </si>
  <si>
    <t>803626/ 805985</t>
  </si>
  <si>
    <t>MOC-242207</t>
  </si>
  <si>
    <t>19539</t>
  </si>
  <si>
    <t>C-1206702 ( MSA-18036300 )</t>
  </si>
  <si>
    <t>5968</t>
  </si>
  <si>
    <t>BP#150160
MOC-246320</t>
  </si>
  <si>
    <t>BP#N/2024/6502 ( PIN71510659 )</t>
  </si>
  <si>
    <t>24024</t>
  </si>
  <si>
    <t>BP#N/2025/3063 ( PIN74050382 )</t>
  </si>
  <si>
    <t>3199</t>
  </si>
  <si>
    <t>BP-N/2025/3336 ( PIN74180136 )</t>
  </si>
  <si>
    <t>2949</t>
  </si>
  <si>
    <t>BP150896</t>
  </si>
  <si>
    <t>22493</t>
  </si>
  <si>
    <t>235380+81+234282</t>
  </si>
  <si>
    <t>35050</t>
  </si>
  <si>
    <t>MOC-245909</t>
  </si>
  <si>
    <t>34294</t>
  </si>
  <si>
    <t>MOC-216383</t>
  </si>
  <si>
    <t>36809</t>
  </si>
  <si>
    <t>MOC-246461</t>
  </si>
  <si>
    <t>12842</t>
  </si>
  <si>
    <t>New District Of Doha 67 (67 )</t>
  </si>
  <si>
    <t>BP150443</t>
  </si>
  <si>
    <t>15497</t>
  </si>
  <si>
    <t>Al Thakhira (75 )</t>
  </si>
  <si>
    <t>BP-150437+ BP-150439</t>
  </si>
  <si>
    <t>9802</t>
  </si>
  <si>
    <t>BP#N/2024/6464 ( PIN82020609 )</t>
  </si>
  <si>
    <t>31736</t>
  </si>
  <si>
    <t>RAUDAT RASHID (82 )</t>
  </si>
  <si>
    <t>BP#N/2025/3831 ( PIN74160095 )</t>
  </si>
  <si>
    <t>1329</t>
  </si>
  <si>
    <t>BP150457</t>
  </si>
  <si>
    <t>5160</t>
  </si>
  <si>
    <t>BP-N/2024/6465 ( PIN82020606 )</t>
  </si>
  <si>
    <t>21941</t>
  </si>
  <si>
    <t>MOC-208057</t>
  </si>
  <si>
    <t>36967</t>
  </si>
  <si>
    <t>MOC-219281</t>
  </si>
  <si>
    <t>17763</t>
  </si>
  <si>
    <t>803368/ 806470</t>
  </si>
  <si>
    <t>804492/ 806207</t>
  </si>
  <si>
    <t>BP149247</t>
  </si>
  <si>
    <t>10319</t>
  </si>
  <si>
    <t>BP150130</t>
  </si>
  <si>
    <t>41134</t>
  </si>
  <si>
    <t>BP150827</t>
  </si>
  <si>
    <t>4160</t>
  </si>
  <si>
    <t>2537</t>
  </si>
  <si>
    <t>BP124431</t>
  </si>
  <si>
    <t>BP146560</t>
  </si>
  <si>
    <t>12831</t>
  </si>
  <si>
    <t>BP#N/2024/6004 ( PIN74050006 )</t>
  </si>
  <si>
    <t>9914</t>
  </si>
  <si>
    <t>MOC-229557</t>
  </si>
  <si>
    <t>MOC-241521</t>
  </si>
  <si>
    <t>27385</t>
  </si>
  <si>
    <t>DID Permit Received</t>
  </si>
  <si>
    <t>804176/ 805581</t>
  </si>
  <si>
    <t>MOC-248112</t>
  </si>
  <si>
    <t>34522</t>
  </si>
  <si>
    <t>BP#150785</t>
  </si>
  <si>
    <t>1787</t>
  </si>
  <si>
    <t>New District Of Doha 63 (63 )</t>
  </si>
  <si>
    <t>MOC-248059+115</t>
  </si>
  <si>
    <t>25011</t>
  </si>
  <si>
    <t>C-161312 ( MSA-18031658 )</t>
  </si>
  <si>
    <t>4553</t>
  </si>
  <si>
    <t>C-76307 ( MSA-18036234 )</t>
  </si>
  <si>
    <t>1286</t>
  </si>
  <si>
    <t>BP142389</t>
  </si>
  <si>
    <t>4413</t>
  </si>
  <si>
    <t>1993</t>
  </si>
  <si>
    <t>BP129769</t>
  </si>
  <si>
    <t>13184</t>
  </si>
  <si>
    <t>completed</t>
  </si>
  <si>
    <t>BP150468</t>
  </si>
  <si>
    <t>40657</t>
  </si>
  <si>
    <t>27609</t>
  </si>
  <si>
    <t>BP# N/2025/8302 ( PIN71204010)</t>
  </si>
  <si>
    <t>23953</t>
  </si>
  <si>
    <t>BP150490</t>
  </si>
  <si>
    <t>27119</t>
  </si>
  <si>
    <t>18505</t>
  </si>
  <si>
    <t>BP150500</t>
  </si>
  <si>
    <t>23903</t>
  </si>
  <si>
    <t>BP150497</t>
  </si>
  <si>
    <t>19401</t>
  </si>
  <si>
    <t>BP150496</t>
  </si>
  <si>
    <t>26577</t>
  </si>
  <si>
    <t>OL-F2-3537</t>
  </si>
  <si>
    <t>3537</t>
  </si>
  <si>
    <t>OL-F1-3506</t>
  </si>
  <si>
    <t>3506</t>
  </si>
  <si>
    <t>OL-F6-F10-2949</t>
  </si>
  <si>
    <t>21563</t>
  </si>
  <si>
    <t>OL-F9F10-3100</t>
  </si>
  <si>
    <t>3100</t>
  </si>
  <si>
    <t>OL-F7F10-2807</t>
  </si>
  <si>
    <t>2807</t>
  </si>
  <si>
    <t>OL-F9-2797</t>
  </si>
  <si>
    <t>2797</t>
  </si>
  <si>
    <t>Invoiced</t>
  </si>
  <si>
    <t>OL-F5-36396</t>
  </si>
  <si>
    <t>27531</t>
  </si>
  <si>
    <t>BP#CE/2025/0242 ( PIN82020447)</t>
  </si>
  <si>
    <t>37770</t>
  </si>
  <si>
    <t>BP149983</t>
  </si>
  <si>
    <t>1543</t>
  </si>
  <si>
    <t>Al Jemailiya (73 )</t>
  </si>
  <si>
    <t>1894</t>
  </si>
  <si>
    <t>BP147611</t>
  </si>
  <si>
    <t>39712</t>
  </si>
  <si>
    <t>0616</t>
  </si>
  <si>
    <t>BP# N/2025/1909 ( PIN70214024)</t>
  </si>
  <si>
    <t>14054</t>
  </si>
  <si>
    <t>BP150515</t>
  </si>
  <si>
    <t>22541</t>
  </si>
  <si>
    <t>BP150516</t>
  </si>
  <si>
    <t>BP150513</t>
  </si>
  <si>
    <t>13471</t>
  </si>
  <si>
    <t>BP150518</t>
  </si>
  <si>
    <t>39832</t>
  </si>
  <si>
    <t>BP150511</t>
  </si>
  <si>
    <t>9979</t>
  </si>
  <si>
    <t>BP150543</t>
  </si>
  <si>
    <t>33546</t>
  </si>
  <si>
    <t>LIVE TDP</t>
  </si>
  <si>
    <t>BP# M/2024/503 ( PIN25630008 )</t>
  </si>
  <si>
    <t>1125</t>
  </si>
  <si>
    <t>BP142508+ BP142524</t>
  </si>
  <si>
    <t>4785</t>
  </si>
  <si>
    <t>BP143732</t>
  </si>
  <si>
    <t>22815</t>
  </si>
  <si>
    <t>Al Wukair (91 )</t>
  </si>
  <si>
    <t>5700</t>
  </si>
  <si>
    <t>BP147567</t>
  </si>
  <si>
    <t>1241</t>
  </si>
  <si>
    <t>Al Wakra (90 )</t>
  </si>
  <si>
    <t>BP147791 + BP147793</t>
  </si>
  <si>
    <t>21342</t>
  </si>
  <si>
    <t>BP#N/2023/5602 ( PIN45090151 )</t>
  </si>
  <si>
    <t>18231</t>
  </si>
  <si>
    <t>Al Matar Al Qadeem (45 )</t>
  </si>
  <si>
    <t>BP#N/2023/3528 ( PIN45140344 )</t>
  </si>
  <si>
    <t>24239</t>
  </si>
  <si>
    <t>BP-N/2024/4224 ( PIN54580246 )</t>
  </si>
  <si>
    <t>5975</t>
  </si>
  <si>
    <t>BP# N/2023/8074 ( PIN44124023)</t>
  </si>
  <si>
    <t>2022</t>
  </si>
  <si>
    <t>Al Nuaija (East) (44 )</t>
  </si>
  <si>
    <t>BP# N/2025/3470 ( PIN51933344)</t>
  </si>
  <si>
    <t>25782</t>
  </si>
  <si>
    <t>38779</t>
  </si>
  <si>
    <t>0139</t>
  </si>
  <si>
    <t>BP# N/2025/3467 ( PIN25180053)</t>
  </si>
  <si>
    <t>21458</t>
  </si>
  <si>
    <t>MOC + BP</t>
  </si>
  <si>
    <t>invoiced</t>
  </si>
  <si>
    <t>OL-F12-0020</t>
  </si>
  <si>
    <t>0020</t>
  </si>
  <si>
    <t>OL-F1-27218</t>
  </si>
  <si>
    <t>27218</t>
  </si>
  <si>
    <t>804467/ 808146</t>
  </si>
  <si>
    <t>OL-F4-12064</t>
  </si>
  <si>
    <t>12064</t>
  </si>
  <si>
    <t>OL-F2-10776</t>
  </si>
  <si>
    <t>10776</t>
  </si>
  <si>
    <t>BP150736</t>
  </si>
  <si>
    <t>25830</t>
  </si>
  <si>
    <t>19472</t>
  </si>
  <si>
    <t>10814</t>
  </si>
  <si>
    <t>OL-F6-17895</t>
  </si>
  <si>
    <t>17895</t>
  </si>
  <si>
    <t>OL-F5-F6-4553</t>
  </si>
  <si>
    <t>BP#115392, PIN#70058040</t>
  </si>
  <si>
    <t>4936</t>
  </si>
  <si>
    <t>OL-TX2&amp;F7-10474</t>
  </si>
  <si>
    <t>16096</t>
  </si>
  <si>
    <t>MOC-230703</t>
  </si>
  <si>
    <t>32745</t>
  </si>
  <si>
    <t>OL-F2-9846</t>
  </si>
  <si>
    <t>9846</t>
  </si>
  <si>
    <t>OL F5-20737</t>
  </si>
  <si>
    <t>20737</t>
  </si>
  <si>
    <t>MOC-247449</t>
  </si>
  <si>
    <t>11699</t>
  </si>
  <si>
    <t>OL-F7-12925</t>
  </si>
  <si>
    <t>24895</t>
  </si>
  <si>
    <t>OL F3-3440</t>
  </si>
  <si>
    <t>3440</t>
  </si>
  <si>
    <t>BP#150948 + BP#150949</t>
  </si>
  <si>
    <t>10632</t>
  </si>
  <si>
    <t>BP151022</t>
  </si>
  <si>
    <t>18502</t>
  </si>
  <si>
    <t>OL-F1-12220+OLTX2-24949</t>
  </si>
  <si>
    <t>24949</t>
  </si>
  <si>
    <t>OL-F9-0136</t>
  </si>
  <si>
    <t>0136</t>
  </si>
  <si>
    <t>OL-F12-39403</t>
  </si>
  <si>
    <t>39403</t>
  </si>
  <si>
    <t>MOC-239840</t>
  </si>
  <si>
    <t>25859</t>
  </si>
  <si>
    <t>OL F4-4489</t>
  </si>
  <si>
    <t>4492</t>
  </si>
  <si>
    <t>BP151094</t>
  </si>
  <si>
    <t>25158</t>
  </si>
  <si>
    <t>BP# N/2025/3142 ( PIN30090162)</t>
  </si>
  <si>
    <t>9563</t>
  </si>
  <si>
    <t>OL-F11-12832</t>
  </si>
  <si>
    <t>38086</t>
  </si>
  <si>
    <t>OL F3-4478</t>
  </si>
  <si>
    <t>4540</t>
  </si>
  <si>
    <t>OL F2-4529</t>
  </si>
  <si>
    <t>4529</t>
  </si>
  <si>
    <t>MOC-248898</t>
  </si>
  <si>
    <t>4324</t>
  </si>
  <si>
    <t>BP151125</t>
  </si>
  <si>
    <t>BP # N/2025/643 ( PIN35080087)</t>
  </si>
  <si>
    <t>30523</t>
  </si>
  <si>
    <t>BP# N/2025/5352( PIN51770061)</t>
  </si>
  <si>
    <t>18332</t>
  </si>
  <si>
    <t>BP-N/2025/2662 ( PIN37330062 )</t>
  </si>
  <si>
    <t>13668</t>
  </si>
  <si>
    <t>Bin Omran/Al Hitmi Al Jadeed (37 )</t>
  </si>
  <si>
    <t>OL-F2-0022</t>
  </si>
  <si>
    <t>0022</t>
  </si>
  <si>
    <t>OL F4 F5-0203</t>
  </si>
  <si>
    <t>1903</t>
  </si>
  <si>
    <t>BP151248</t>
  </si>
  <si>
    <t>20645</t>
  </si>
  <si>
    <t>BP151348</t>
  </si>
  <si>
    <t>19411</t>
  </si>
  <si>
    <t>MOC-246044</t>
  </si>
  <si>
    <t>C-981337; MSA-18034679</t>
  </si>
  <si>
    <t>23295</t>
  </si>
  <si>
    <t>BP144549</t>
  </si>
  <si>
    <t>20942</t>
  </si>
  <si>
    <t>BP-151421+BP-151685</t>
  </si>
  <si>
    <t>40779</t>
  </si>
  <si>
    <t>BP151513</t>
  </si>
  <si>
    <t>BP149778</t>
  </si>
  <si>
    <t>18886</t>
  </si>
  <si>
    <t>BP151711</t>
  </si>
  <si>
    <t>4866</t>
  </si>
  <si>
    <t>BP151776</t>
  </si>
  <si>
    <t>21258</t>
  </si>
  <si>
    <t>BP # N/2025/1554( PIN71288079)</t>
  </si>
  <si>
    <t>9887</t>
  </si>
  <si>
    <t>BP150486</t>
  </si>
  <si>
    <t>27260</t>
  </si>
  <si>
    <t>22043</t>
  </si>
  <si>
    <t>30390</t>
  </si>
  <si>
    <t>0081</t>
  </si>
  <si>
    <t>BP151913</t>
  </si>
  <si>
    <t>9986</t>
  </si>
  <si>
    <t>BP151914</t>
  </si>
  <si>
    <t>26579</t>
  </si>
  <si>
    <t>BP152003</t>
  </si>
  <si>
    <t>BP151864</t>
  </si>
  <si>
    <t>2660</t>
  </si>
  <si>
    <t>BP151912</t>
  </si>
  <si>
    <t>23272</t>
  </si>
  <si>
    <t>MOC-234792</t>
  </si>
  <si>
    <t>OL-TX1F2F5-1322</t>
  </si>
  <si>
    <t>0146</t>
  </si>
  <si>
    <t>1322</t>
  </si>
  <si>
    <t>OL-F8F9-12464</t>
  </si>
  <si>
    <t>12464</t>
  </si>
  <si>
    <t>OL-F11-11416</t>
  </si>
  <si>
    <t>11416</t>
  </si>
  <si>
    <t>BP152035</t>
  </si>
  <si>
    <t>12863</t>
  </si>
  <si>
    <t>OL-F11-11177</t>
  </si>
  <si>
    <t>23428</t>
  </si>
  <si>
    <t>OL-F6-36809</t>
  </si>
  <si>
    <t>OL-F2-13524</t>
  </si>
  <si>
    <t>13524</t>
  </si>
  <si>
    <t>OL-F7-13432</t>
  </si>
  <si>
    <t>13432</t>
  </si>
  <si>
    <t>OL-F5F6-13427</t>
  </si>
  <si>
    <t>OL-F7-F9-3942</t>
  </si>
  <si>
    <t>3942</t>
  </si>
  <si>
    <t>BP152044</t>
  </si>
  <si>
    <t>10374</t>
  </si>
  <si>
    <t>BP150992</t>
  </si>
  <si>
    <t>24958</t>
  </si>
  <si>
    <t>OL-F2-13481</t>
  </si>
  <si>
    <t>13481</t>
  </si>
  <si>
    <t>OL TX1F1F3-19001</t>
  </si>
  <si>
    <t>19001</t>
  </si>
  <si>
    <t>ROW</t>
  </si>
  <si>
    <t>OL-F8-4155</t>
  </si>
  <si>
    <t>4155</t>
  </si>
  <si>
    <t>OL-F4-3512</t>
  </si>
  <si>
    <t>3512</t>
  </si>
  <si>
    <t>OL-F5-26106</t>
  </si>
  <si>
    <t>18964</t>
  </si>
  <si>
    <t>4707</t>
  </si>
  <si>
    <t>OL-F3-20611</t>
  </si>
  <si>
    <t>OL-F1F8F11-2658</t>
  </si>
  <si>
    <t>2658</t>
  </si>
  <si>
    <t>OL-F3-3638</t>
  </si>
  <si>
    <t>4530</t>
  </si>
  <si>
    <t>C-122539 MSA-18036886</t>
  </si>
  <si>
    <t>MOC-215027</t>
  </si>
  <si>
    <t>13309</t>
  </si>
  <si>
    <t>OL-F1F4-24512</t>
  </si>
  <si>
    <t>24512</t>
  </si>
  <si>
    <t>BP152099</t>
  </si>
  <si>
    <t>37182</t>
  </si>
  <si>
    <t>BP152222</t>
  </si>
  <si>
    <t>5830</t>
  </si>
  <si>
    <t>New District Of Doha 64 (64 )</t>
  </si>
  <si>
    <t>MOC-249507</t>
  </si>
  <si>
    <t>15165</t>
  </si>
  <si>
    <t>C-1494733 ( MSA-18035896 )</t>
  </si>
  <si>
    <t>25793</t>
  </si>
  <si>
    <t>OL-F1F5-0040</t>
  </si>
  <si>
    <t>0040</t>
  </si>
  <si>
    <t>OL-F10-16573</t>
  </si>
  <si>
    <t>22289</t>
  </si>
  <si>
    <t>OL-F6-19898</t>
  </si>
  <si>
    <t>19898</t>
  </si>
  <si>
    <t>OL-F10-11853</t>
  </si>
  <si>
    <t>11853</t>
  </si>
  <si>
    <t>OL-F13F15-0137</t>
  </si>
  <si>
    <t>0137</t>
  </si>
  <si>
    <t>OL-F3-3417</t>
  </si>
  <si>
    <t>3417</t>
  </si>
  <si>
    <t>Al Markhiya (33 )</t>
  </si>
  <si>
    <t>OL F4-3937</t>
  </si>
  <si>
    <t>31556</t>
  </si>
  <si>
    <t>MOC-90798</t>
  </si>
  <si>
    <t>26866</t>
  </si>
  <si>
    <t>MOC-237887</t>
  </si>
  <si>
    <t>40937</t>
  </si>
  <si>
    <t>MOC-249742</t>
  </si>
  <si>
    <t>33910</t>
  </si>
  <si>
    <t>MOC-224839</t>
  </si>
  <si>
    <t>804711/ 810939</t>
  </si>
  <si>
    <t>808890/ 810940</t>
  </si>
  <si>
    <t>RO Cancelled</t>
  </si>
  <si>
    <t>OL-F3-15614</t>
  </si>
  <si>
    <t>25784</t>
  </si>
  <si>
    <t>OL-F3-20596</t>
  </si>
  <si>
    <t>20596</t>
  </si>
  <si>
    <t>OL-F4-0093</t>
  </si>
  <si>
    <t>0093</t>
  </si>
  <si>
    <t>OL-F4-14389</t>
  </si>
  <si>
    <t>14389</t>
  </si>
  <si>
    <t>OL-F4-0081</t>
  </si>
  <si>
    <t>MOC-229441</t>
  </si>
  <si>
    <t>17542</t>
  </si>
  <si>
    <t>BP#151867</t>
  </si>
  <si>
    <t>10779</t>
  </si>
  <si>
    <t>BP#152224</t>
  </si>
  <si>
    <t>0148</t>
  </si>
  <si>
    <t>BP#151968</t>
  </si>
  <si>
    <t>35456</t>
  </si>
  <si>
    <t>MOC-235137+38</t>
  </si>
  <si>
    <t>13437</t>
  </si>
  <si>
    <t>MOC-18037019</t>
  </si>
  <si>
    <t>4700</t>
  </si>
  <si>
    <t>BP#150239</t>
  </si>
  <si>
    <t>3205</t>
  </si>
  <si>
    <t>BP#N/2025/3796 PIN#05130037</t>
  </si>
  <si>
    <t>1815</t>
  </si>
  <si>
    <t>MOC-243509+10+11+12</t>
  </si>
  <si>
    <t>MOC#153138</t>
  </si>
  <si>
    <t>10057</t>
  </si>
  <si>
    <t>804714/ 811854</t>
  </si>
  <si>
    <t>OL-F1-3536</t>
  </si>
  <si>
    <t>3536</t>
  </si>
  <si>
    <t>OL-F6-3111</t>
  </si>
  <si>
    <t>3111</t>
  </si>
  <si>
    <t>OL-F1-2163</t>
  </si>
  <si>
    <t>3553</t>
  </si>
  <si>
    <t>OL-F4-0131</t>
  </si>
  <si>
    <t>0131</t>
  </si>
  <si>
    <t>Madinat Khalifa(South)(34)</t>
  </si>
  <si>
    <t>OL-F2-0053</t>
  </si>
  <si>
    <t>0053</t>
  </si>
  <si>
    <t>OL-TX1F1F6-11404</t>
  </si>
  <si>
    <t>11404</t>
  </si>
  <si>
    <t>OL-F3-20169</t>
  </si>
  <si>
    <t>20169</t>
  </si>
  <si>
    <t>OL-F11-31674</t>
  </si>
  <si>
    <t>31674</t>
  </si>
  <si>
    <t>MOC-235270</t>
  </si>
  <si>
    <t>OL-TX1-3727</t>
  </si>
  <si>
    <t>17210</t>
  </si>
  <si>
    <t>OL-F11-16542</t>
  </si>
  <si>
    <t>16542</t>
  </si>
  <si>
    <t>MOC-249291+249668</t>
  </si>
  <si>
    <t>OL-F5-1393</t>
  </si>
  <si>
    <t>1393</t>
  </si>
  <si>
    <t>OL-F5F12-12723</t>
  </si>
  <si>
    <t>12723</t>
  </si>
  <si>
    <t>OL-F6-19959</t>
  </si>
  <si>
    <t>19959</t>
  </si>
  <si>
    <t>OL-F22-22287</t>
  </si>
  <si>
    <t>22287</t>
  </si>
  <si>
    <t>OL-F2-11694</t>
  </si>
  <si>
    <t>11694</t>
  </si>
  <si>
    <t>OL-F1-12892</t>
  </si>
  <si>
    <t>12892</t>
  </si>
  <si>
    <t>BPN/2025/2547 PIN51631799</t>
  </si>
  <si>
    <t>19511</t>
  </si>
  <si>
    <t>BP-151214,PIN-74091358</t>
  </si>
  <si>
    <t>10532</t>
  </si>
  <si>
    <t>BP-147566+BP-151203</t>
  </si>
  <si>
    <t>MOC-249766</t>
  </si>
  <si>
    <t>MOC#230730</t>
  </si>
  <si>
    <t>9939</t>
  </si>
  <si>
    <t>OL-F1F5-4999</t>
  </si>
  <si>
    <t>4999</t>
  </si>
  <si>
    <t>OL-TX2-F8-12195</t>
  </si>
  <si>
    <t>12195</t>
  </si>
  <si>
    <t>OL-F11-24542</t>
  </si>
  <si>
    <t>24542</t>
  </si>
  <si>
    <t>OL-F9-20591</t>
  </si>
  <si>
    <t>20591</t>
  </si>
  <si>
    <t>OL-F1-1264</t>
  </si>
  <si>
    <t>1264</t>
  </si>
  <si>
    <t>Madinat Khalifa(North)(32)</t>
  </si>
  <si>
    <t>OL-F5-20151</t>
  </si>
  <si>
    <t>20151</t>
  </si>
  <si>
    <t>0046</t>
  </si>
  <si>
    <t>OL-F4-0046</t>
  </si>
  <si>
    <t>IN#113590 MOC#237004</t>
  </si>
  <si>
    <t>IN#113509 MOC#245552</t>
  </si>
  <si>
    <t>IN#113826 MOC3232599</t>
  </si>
  <si>
    <t>1942</t>
  </si>
  <si>
    <t>OL-F6-3389</t>
  </si>
  <si>
    <t>3389</t>
  </si>
  <si>
    <t>BP#N/2025/5193 PIN#34510005</t>
  </si>
  <si>
    <t>0063</t>
  </si>
  <si>
    <t>BP#150114</t>
  </si>
  <si>
    <t>9851</t>
  </si>
  <si>
    <t>BP#152303</t>
  </si>
  <si>
    <t>C-1232422 MSA-18037367</t>
  </si>
  <si>
    <t>23036</t>
  </si>
  <si>
    <t>OL-F9-0589</t>
  </si>
  <si>
    <t>New District Of Doha 67 (67)</t>
  </si>
  <si>
    <t>0589</t>
  </si>
  <si>
    <t>OL-F2F5-5305</t>
  </si>
  <si>
    <t>5305</t>
  </si>
  <si>
    <t>IN-113876</t>
  </si>
  <si>
    <t>MOC-241606</t>
  </si>
  <si>
    <t>BP-151205+BP-152357</t>
  </si>
  <si>
    <t>13479</t>
  </si>
  <si>
    <t>BP-152380</t>
  </si>
  <si>
    <t>25831</t>
  </si>
  <si>
    <t>OL-TX2-38181</t>
  </si>
  <si>
    <t>16314</t>
  </si>
  <si>
    <t>OL-F5-10814</t>
  </si>
  <si>
    <t>OL-F2-12517</t>
  </si>
  <si>
    <t>12517</t>
  </si>
  <si>
    <t>OL-F11-12521</t>
  </si>
  <si>
    <t>12521</t>
  </si>
  <si>
    <t>OL-F2-12523</t>
  </si>
  <si>
    <t>12516</t>
  </si>
  <si>
    <t>OL-F2-0732</t>
  </si>
  <si>
    <t>0732</t>
  </si>
  <si>
    <t>OL-F19-22865</t>
  </si>
  <si>
    <t>22865</t>
  </si>
  <si>
    <t>OL-F6-3771</t>
  </si>
  <si>
    <t>3771</t>
  </si>
  <si>
    <t>OL-F5-21938</t>
  </si>
  <si>
    <t>21938</t>
  </si>
  <si>
    <t>OL-F9-12608</t>
  </si>
  <si>
    <t>12608</t>
  </si>
  <si>
    <t>OL-F4-3860</t>
  </si>
  <si>
    <t>3860</t>
  </si>
  <si>
    <t>BP152421</t>
  </si>
  <si>
    <t>1630</t>
  </si>
  <si>
    <t>New District Of Doha (65)</t>
  </si>
  <si>
    <t>BP129666</t>
  </si>
  <si>
    <t>1644</t>
  </si>
  <si>
    <t>BP152391</t>
  </si>
  <si>
    <t>22544</t>
  </si>
  <si>
    <t>OL-F4-5450</t>
  </si>
  <si>
    <t>5450</t>
  </si>
  <si>
    <t>OL-F6-14441</t>
  </si>
  <si>
    <t>14441</t>
  </si>
  <si>
    <t>BP152592</t>
  </si>
  <si>
    <t>1293</t>
  </si>
  <si>
    <t>BP152594</t>
  </si>
  <si>
    <t>5155</t>
  </si>
  <si>
    <t>BP152626</t>
  </si>
  <si>
    <t>2810</t>
  </si>
  <si>
    <t>BP-152606+607</t>
  </si>
  <si>
    <t>3851</t>
  </si>
  <si>
    <t>OL-F1-1294</t>
  </si>
  <si>
    <t>BP152640</t>
  </si>
  <si>
    <t>13438</t>
  </si>
  <si>
    <t>BP152647</t>
  </si>
  <si>
    <t>2798</t>
  </si>
  <si>
    <t>BP152678</t>
  </si>
  <si>
    <t>21335</t>
  </si>
  <si>
    <t>BP152731</t>
  </si>
  <si>
    <t>BP152603</t>
  </si>
  <si>
    <t>4025</t>
  </si>
  <si>
    <t>IN-113016 MOC-232382</t>
  </si>
  <si>
    <t>39300</t>
  </si>
  <si>
    <t>BP 152758+152759</t>
  </si>
  <si>
    <t>19278</t>
  </si>
  <si>
    <t>38181</t>
  </si>
  <si>
    <t>C-1263406 (MSA-18037563)</t>
  </si>
  <si>
    <t>32699</t>
  </si>
  <si>
    <t>BP 152855</t>
  </si>
  <si>
    <t>4311</t>
  </si>
  <si>
    <t>BP#N/2025/5019 (PIN71593674)</t>
  </si>
  <si>
    <t>40840</t>
  </si>
  <si>
    <t>OL-F2-2348</t>
  </si>
  <si>
    <t>2348</t>
  </si>
  <si>
    <t>OL-F8-1296</t>
  </si>
  <si>
    <t>1296</t>
  </si>
  <si>
    <t>OL-F3-12489</t>
  </si>
  <si>
    <t>OL-F2F4-17781</t>
  </si>
  <si>
    <t>17781</t>
  </si>
  <si>
    <t>OL-TX2-13547</t>
  </si>
  <si>
    <t>37398</t>
  </si>
  <si>
    <t>OL-TX1-35715</t>
  </si>
  <si>
    <t>26022</t>
  </si>
  <si>
    <t>OL-F3-10445</t>
  </si>
  <si>
    <t>10445</t>
  </si>
  <si>
    <t>OL-F6-12490</t>
  </si>
  <si>
    <t>25902</t>
  </si>
  <si>
    <t>OL-TX3F15-21563</t>
  </si>
  <si>
    <t>IN-114247 MOC-216817</t>
  </si>
  <si>
    <t>10761</t>
  </si>
  <si>
    <t>BP#N/2025/8532 (PIN51468036)</t>
  </si>
  <si>
    <t>12255</t>
  </si>
  <si>
    <t>BP 138898</t>
  </si>
  <si>
    <t>15486</t>
  </si>
  <si>
    <t>BP 152923</t>
  </si>
  <si>
    <t>19597</t>
  </si>
  <si>
    <t>BP-M/2025/2612 (PIN71850102)</t>
  </si>
  <si>
    <t>31544</t>
  </si>
  <si>
    <t>BP 153020</t>
  </si>
  <si>
    <t>19836</t>
  </si>
  <si>
    <t>IN-114245 MOC-234614</t>
  </si>
  <si>
    <t>9920</t>
  </si>
  <si>
    <t>BP 153030</t>
  </si>
  <si>
    <t>26567</t>
  </si>
  <si>
    <t>BP 152989</t>
  </si>
  <si>
    <t>13966</t>
  </si>
  <si>
    <t>BP 153007</t>
  </si>
  <si>
    <t>26011</t>
  </si>
  <si>
    <t>C-70145  MSA-18036568</t>
  </si>
  <si>
    <t>2663</t>
  </si>
  <si>
    <t>KAR</t>
  </si>
  <si>
    <t>BD SUB</t>
  </si>
  <si>
    <t>BP-N/2025/7618(PIN34350015)</t>
  </si>
  <si>
    <t>BP 153247</t>
  </si>
  <si>
    <t>BP 153210</t>
  </si>
  <si>
    <t>BP 153100</t>
  </si>
  <si>
    <t>BP#CE/2025/545 (PIN51468032AA)</t>
  </si>
  <si>
    <t>16167</t>
  </si>
  <si>
    <t>0117</t>
  </si>
  <si>
    <t>15275</t>
  </si>
  <si>
    <t>33718</t>
  </si>
  <si>
    <t>2812</t>
  </si>
  <si>
    <t>3133</t>
  </si>
  <si>
    <t>9743</t>
  </si>
  <si>
    <t>27551</t>
  </si>
  <si>
    <t>12026</t>
  </si>
  <si>
    <t>New District Of Doha 67(67)</t>
  </si>
  <si>
    <t>810945/ 816110</t>
  </si>
  <si>
    <t>810952/ 816110</t>
  </si>
  <si>
    <t>810953/ 816110</t>
  </si>
  <si>
    <t>C-151990+92A(MSA-18037489+88)</t>
  </si>
  <si>
    <t>IN-114405 MOC-247651</t>
  </si>
  <si>
    <t>3350</t>
  </si>
  <si>
    <t>25391</t>
  </si>
  <si>
    <t>New District Of Doha 66(66)</t>
  </si>
  <si>
    <t>2+BB136+B140:H142</t>
  </si>
  <si>
    <t>IN-114423 MOC-250818</t>
  </si>
  <si>
    <t>4957</t>
  </si>
  <si>
    <t>IN-114279 MOC-250585+6+7+8</t>
  </si>
  <si>
    <t>C-189547 MSA-18037525</t>
  </si>
  <si>
    <t>3427</t>
  </si>
  <si>
    <t>IN#114368 MOC#247987</t>
  </si>
  <si>
    <t>1908</t>
  </si>
  <si>
    <t>C-1494731 msa-18035899</t>
  </si>
  <si>
    <t>30465</t>
  </si>
  <si>
    <t>BP#153037</t>
  </si>
  <si>
    <t>4106</t>
  </si>
  <si>
    <t>BP#M/2025/1559 PIN#51280125</t>
  </si>
  <si>
    <t>0027</t>
  </si>
  <si>
    <t>BP#N-2025-8121 PIN#34540023</t>
  </si>
  <si>
    <t>IN-114462 MOC-250709</t>
  </si>
  <si>
    <t>MOC+OL</t>
  </si>
  <si>
    <t>C-972211+OLF4F110081</t>
  </si>
  <si>
    <t>IN-113778 MOC-205630</t>
  </si>
  <si>
    <t>3524</t>
  </si>
  <si>
    <t>804494/ 809352/ 817716</t>
  </si>
  <si>
    <t>CABLE WORK SUMMARY - GTC 1240/2024- M/s. NEWCON</t>
  </si>
  <si>
    <t xml:space="preserve">BOQ  </t>
  </si>
  <si>
    <t>TOTAL CWR</t>
  </si>
  <si>
    <t>TOTAL CABLE WORK ISSUED (KM)</t>
  </si>
  <si>
    <t>TOTAL NO OF S/D</t>
  </si>
  <si>
    <t>TOTAL CABLE WORK COMPLETED (KM)</t>
  </si>
  <si>
    <t>TOTAL CABLE WORK NOT STARTED (KM)</t>
  </si>
  <si>
    <t>TOTAL CABEL WORK IN PROGRESS (KM)</t>
  </si>
  <si>
    <t>-</t>
  </si>
  <si>
    <t>.</t>
  </si>
  <si>
    <t>AVERAGE OF XX KM FOR THE PAST YY MONTHS</t>
  </si>
  <si>
    <t>OL-F4F7-12522</t>
  </si>
  <si>
    <t>12522</t>
  </si>
  <si>
    <t>OL-F6-2534</t>
  </si>
  <si>
    <t>17350</t>
  </si>
  <si>
    <t>OL-F5+F6-3878</t>
  </si>
  <si>
    <t>OL-F6-12410</t>
  </si>
  <si>
    <t>12410</t>
  </si>
  <si>
    <t>13445</t>
  </si>
  <si>
    <t>OL-F10-9820</t>
  </si>
  <si>
    <t>18211</t>
  </si>
  <si>
    <t>OL-F9F12-1648</t>
  </si>
  <si>
    <t>1648</t>
  </si>
  <si>
    <t>IN-114509 MOC-249440</t>
  </si>
  <si>
    <t>25154</t>
  </si>
  <si>
    <t>1991</t>
  </si>
  <si>
    <t>BP153092</t>
  </si>
  <si>
    <t>2089</t>
  </si>
  <si>
    <t>C-981354 (MSA-18037113)</t>
  </si>
  <si>
    <t>MOC-241549+50+51</t>
  </si>
  <si>
    <t>MOC-250106</t>
  </si>
  <si>
    <t>OL-F1-0140</t>
  </si>
  <si>
    <t>0140</t>
  </si>
  <si>
    <t>ol-f3f7-14948</t>
  </si>
  <si>
    <t>22762</t>
  </si>
  <si>
    <t>IN-113699 MOC-242299</t>
  </si>
  <si>
    <t>0124</t>
  </si>
  <si>
    <t>BP153157</t>
  </si>
  <si>
    <t>37661</t>
  </si>
  <si>
    <t>BP-N/2025/3642(PIN31170075)</t>
  </si>
  <si>
    <t>29267</t>
  </si>
  <si>
    <t>BP#N/2025/4843(PIN74050444)</t>
  </si>
  <si>
    <t>814022/ 816009/ 818117</t>
  </si>
  <si>
    <t>811702/ 818117</t>
  </si>
  <si>
    <t>808893/ 818118</t>
  </si>
  <si>
    <t>810031/ 818119</t>
  </si>
  <si>
    <t>IN-114496+564 MOC-247578+488</t>
  </si>
  <si>
    <t>BP#N/2025/8191 PIN#31240159</t>
  </si>
  <si>
    <t>29272</t>
  </si>
  <si>
    <t>BP#N/2025/3188 PIN#51400091</t>
  </si>
  <si>
    <t>16149</t>
  </si>
  <si>
    <t>BP146535</t>
  </si>
  <si>
    <t>15492</t>
  </si>
  <si>
    <t>BP146520</t>
  </si>
  <si>
    <t>1352</t>
  </si>
  <si>
    <t>Madinat Al Shamal/Al Ruwais(79)</t>
  </si>
  <si>
    <t>BP149829</t>
  </si>
  <si>
    <t>IN-114611 MOC-248548+49</t>
  </si>
  <si>
    <t>KUSHI</t>
  </si>
  <si>
    <t>IN-114545 MOC-241044</t>
  </si>
  <si>
    <t>20462</t>
  </si>
  <si>
    <t>IN-113640 MOC-173901</t>
  </si>
  <si>
    <t>25908</t>
  </si>
  <si>
    <t>IN-114563+93 MOC-242630+31</t>
  </si>
  <si>
    <t>BP#150662</t>
  </si>
  <si>
    <t>BP152373</t>
  </si>
  <si>
    <t>33788</t>
  </si>
  <si>
    <t>BP#N/2025/9658 (PIN70132019)</t>
  </si>
  <si>
    <t>IN-111761 MOC-245642</t>
  </si>
  <si>
    <t>0099</t>
  </si>
  <si>
    <t>IN#114483 MOC#250890</t>
  </si>
  <si>
    <t>IN#114788 MOC#246479</t>
  </si>
  <si>
    <t>9714</t>
  </si>
  <si>
    <t>810946/ 820335</t>
  </si>
  <si>
    <t>806939/ 820332</t>
  </si>
  <si>
    <t>10631</t>
  </si>
  <si>
    <t>16851</t>
  </si>
  <si>
    <t>0069</t>
  </si>
  <si>
    <t>BP#N/2025/7725 PIN71090260</t>
  </si>
  <si>
    <t>4139</t>
  </si>
  <si>
    <t>OL-F4-0143</t>
  </si>
  <si>
    <t>39884</t>
  </si>
  <si>
    <t>IN-114643 MOC-251294</t>
  </si>
  <si>
    <t>IN-114804 MOC-250717+18</t>
  </si>
  <si>
    <t>BP#150946+ 150947</t>
  </si>
  <si>
    <t>BP-N/2023/7633 (PIN27370019)</t>
  </si>
  <si>
    <t>Umm Ghuwailina(27)</t>
  </si>
  <si>
    <t>2270</t>
  </si>
  <si>
    <t>OL-F4-10032</t>
  </si>
  <si>
    <t>10032</t>
  </si>
  <si>
    <t>OL-F6-9728</t>
  </si>
  <si>
    <t>9728</t>
  </si>
  <si>
    <t>`</t>
  </si>
  <si>
    <t>BP152070</t>
  </si>
  <si>
    <t>26102</t>
  </si>
  <si>
    <t>IN-114827 MOC-251631</t>
  </si>
  <si>
    <t>251631</t>
  </si>
  <si>
    <t>BP15257</t>
  </si>
  <si>
    <t>IN-114861 MOC-250918</t>
  </si>
  <si>
    <t>806939/ 821825</t>
  </si>
  <si>
    <t>BP#N/2025/7099(PIN34390023)</t>
  </si>
  <si>
    <t>806343/ 814754/ 822296</t>
  </si>
  <si>
    <t>BP146759</t>
  </si>
  <si>
    <t>34780</t>
  </si>
  <si>
    <t>BP153124</t>
  </si>
  <si>
    <t>1583</t>
  </si>
  <si>
    <t>BP#N/2025/7263 (PIN15390022)</t>
  </si>
  <si>
    <t>25175</t>
  </si>
  <si>
    <t>BP153391</t>
  </si>
  <si>
    <t>28323</t>
  </si>
  <si>
    <t>BP153385</t>
  </si>
  <si>
    <t>3203</t>
  </si>
  <si>
    <t>0479</t>
  </si>
  <si>
    <t>Najma(26)</t>
  </si>
  <si>
    <t>BP#N/2025/8590 (PIN34530033)</t>
  </si>
  <si>
    <t>BP#N/2025/9107 (PIN26310073)</t>
  </si>
  <si>
    <t>IN-114903 MOC-247444</t>
  </si>
  <si>
    <t>IN-114932 MOC-129313</t>
  </si>
  <si>
    <t>2805</t>
  </si>
  <si>
    <t>BP153479</t>
  </si>
  <si>
    <t>20786</t>
  </si>
  <si>
    <t>IN-114913 MOC-214265</t>
  </si>
  <si>
    <t>24530</t>
  </si>
  <si>
    <t>BP-138540</t>
  </si>
  <si>
    <t>4978</t>
  </si>
  <si>
    <t>BP#N/2025/2100</t>
  </si>
  <si>
    <t>2224</t>
  </si>
  <si>
    <t>BP149182</t>
  </si>
  <si>
    <t>9839</t>
  </si>
  <si>
    <t>BP-128888</t>
  </si>
  <si>
    <t>25899</t>
  </si>
  <si>
    <t>BP-N/2025/4472 (PIN34320023)</t>
  </si>
  <si>
    <t>40544</t>
  </si>
  <si>
    <t>BP-N/2025/1056 (PIN35116053)</t>
  </si>
  <si>
    <t>BP153327</t>
  </si>
  <si>
    <t>BP153421</t>
  </si>
  <si>
    <t>New District Of Doha 65(65)</t>
  </si>
  <si>
    <t>3072</t>
  </si>
  <si>
    <t>BP153512</t>
  </si>
  <si>
    <t>18821</t>
  </si>
  <si>
    <t>BP153497</t>
  </si>
  <si>
    <t>10216</t>
  </si>
  <si>
    <t>BP-CE/2026/0005 (PIN82020551)</t>
  </si>
  <si>
    <t>Raudat Rashid (82 )</t>
  </si>
  <si>
    <t>39946</t>
  </si>
  <si>
    <t>IN-114811 MOC-251098</t>
  </si>
  <si>
    <t>18092</t>
  </si>
  <si>
    <t>IN-114972 MOC-229390</t>
  </si>
  <si>
    <t>229390</t>
  </si>
  <si>
    <t>IN-114984 MOC-221279</t>
  </si>
  <si>
    <t>24596</t>
  </si>
  <si>
    <t>BP152262</t>
  </si>
  <si>
    <t>3507</t>
  </si>
  <si>
    <t>BP153614</t>
  </si>
  <si>
    <t>BP153615</t>
  </si>
  <si>
    <t>IN-114933 MOC-245527</t>
  </si>
  <si>
    <t>27461</t>
  </si>
  <si>
    <t>5112</t>
  </si>
  <si>
    <t>BP#N/2025/4643</t>
  </si>
  <si>
    <t>17352</t>
  </si>
  <si>
    <t>BP153722</t>
  </si>
  <si>
    <t>13662</t>
  </si>
  <si>
    <t>BP153733</t>
  </si>
  <si>
    <t>BP153744</t>
  </si>
  <si>
    <t>4150</t>
  </si>
  <si>
    <t>BP153791</t>
  </si>
  <si>
    <t>13304</t>
  </si>
  <si>
    <t>Madinat Khalifa(North)(34)</t>
  </si>
  <si>
    <t>IN-114950 MOC-224508+OLF113500</t>
  </si>
  <si>
    <t>13500</t>
  </si>
  <si>
    <t>OL-F18-23447</t>
  </si>
  <si>
    <t>IN-114815 MOC-250546+47</t>
  </si>
  <si>
    <t>IN-115123 MOC-154809</t>
  </si>
  <si>
    <t>26441</t>
  </si>
  <si>
    <t>BD DHAKA</t>
  </si>
  <si>
    <t>SMART ELEVATION</t>
  </si>
  <si>
    <t>AL MORAQUIB</t>
  </si>
  <si>
    <t>810557/ 821171/ 825161</t>
  </si>
  <si>
    <t>Smart Elevation</t>
  </si>
  <si>
    <t>IN-115218 MOC-119155</t>
  </si>
  <si>
    <t>4309</t>
  </si>
  <si>
    <t>C-1047744(MSA-18037570)</t>
  </si>
  <si>
    <t>IN-115237 MOC-238616</t>
  </si>
  <si>
    <t>0869</t>
  </si>
  <si>
    <t>818743/ 826407</t>
  </si>
  <si>
    <t>820337/ 825964</t>
  </si>
  <si>
    <t>IN-115294 MOC-252752</t>
  </si>
  <si>
    <t>C-141566 MSA-18036794</t>
  </si>
  <si>
    <t>IN-115344 MOC-138281</t>
  </si>
  <si>
    <t>30540</t>
  </si>
  <si>
    <t>IN-115400 MOC-196702</t>
  </si>
  <si>
    <t>MOC+BP</t>
  </si>
  <si>
    <t>MOC-250513+BP153612+BP154133</t>
  </si>
  <si>
    <t>810951/ 827903</t>
  </si>
  <si>
    <t>MOC-249483+BP-153265+153264</t>
  </si>
  <si>
    <t>IN-115753 MOC-251238</t>
  </si>
  <si>
    <t>IN-115658 MOC-251867+68</t>
  </si>
  <si>
    <t>15895</t>
  </si>
  <si>
    <t>C-159502 MSA-18037494</t>
  </si>
  <si>
    <t>13188</t>
  </si>
  <si>
    <t>KOSHI</t>
  </si>
  <si>
    <t>IN#115946 MOC#250726+27</t>
  </si>
  <si>
    <t>C-1413507 MSA-12935</t>
  </si>
  <si>
    <t>24602</t>
  </si>
  <si>
    <t>MOC-247458+BP154097</t>
  </si>
  <si>
    <t>BP-N/2025/7148</t>
  </si>
  <si>
    <t>25040</t>
  </si>
  <si>
    <t>BP-N/2025/7513 (PIN80030258)</t>
  </si>
  <si>
    <t>BP153868</t>
  </si>
  <si>
    <t>BP154064</t>
  </si>
  <si>
    <t>BP149100+BP-154072</t>
  </si>
  <si>
    <t>BP154061</t>
  </si>
  <si>
    <t>BP154069</t>
  </si>
  <si>
    <t>20619</t>
  </si>
  <si>
    <t>3584</t>
  </si>
  <si>
    <t>39559</t>
  </si>
  <si>
    <t>2661</t>
  </si>
  <si>
    <t>3329</t>
  </si>
  <si>
    <t>BP-N/2025/9082(PIN37470022)</t>
  </si>
  <si>
    <t>BP154031</t>
  </si>
  <si>
    <t>BP153397</t>
  </si>
  <si>
    <t>BP150829</t>
  </si>
  <si>
    <t>BP-N/2025/1992(PIN34080055)</t>
  </si>
  <si>
    <t>0191</t>
  </si>
  <si>
    <t>3488</t>
  </si>
  <si>
    <t>29248</t>
  </si>
  <si>
    <t>28359</t>
  </si>
  <si>
    <t>20672</t>
  </si>
  <si>
    <t>IN-115978 MOC-200514</t>
  </si>
  <si>
    <t>23350</t>
  </si>
  <si>
    <t>IN-115819+934 MOC-243602+251445</t>
  </si>
  <si>
    <t>BP153850</t>
  </si>
  <si>
    <t>BP153854</t>
  </si>
  <si>
    <t>BP153857</t>
  </si>
  <si>
    <t>BP-N/2025/3551(PIN53310098)</t>
  </si>
  <si>
    <t>15018</t>
  </si>
  <si>
    <t>9604</t>
  </si>
  <si>
    <t>33779</t>
  </si>
  <si>
    <t>3441</t>
  </si>
  <si>
    <t>IN-115947 MOC-249080</t>
  </si>
  <si>
    <t>22702</t>
  </si>
  <si>
    <t>IN-116015 MOC-245216+217</t>
  </si>
  <si>
    <t>3714</t>
  </si>
  <si>
    <t>IN-116020 MOC-250148</t>
  </si>
  <si>
    <t>BP#N/2025/8717(PIN31240153)</t>
  </si>
  <si>
    <t>15019</t>
  </si>
  <si>
    <t>BP154422</t>
  </si>
  <si>
    <t>16770</t>
  </si>
  <si>
    <t>BP154455</t>
  </si>
  <si>
    <t>New District Of Doha 63(63)</t>
  </si>
  <si>
    <t>BP153990</t>
  </si>
  <si>
    <t>BP153998</t>
  </si>
  <si>
    <t>BP154023</t>
  </si>
  <si>
    <t>4187</t>
  </si>
  <si>
    <t>BP153817</t>
  </si>
  <si>
    <t>19789</t>
  </si>
  <si>
    <t>IN-116073 MOC-250184</t>
  </si>
  <si>
    <t>13439</t>
  </si>
  <si>
    <t>BP153929</t>
  </si>
  <si>
    <t>16294</t>
  </si>
  <si>
    <t>BP154125</t>
  </si>
  <si>
    <t>IN-115165 MOC-252355</t>
  </si>
  <si>
    <t>BP#N/2024/6619(PIN80090239)</t>
  </si>
  <si>
    <t>BP149160</t>
  </si>
  <si>
    <t>25034</t>
  </si>
  <si>
    <t>149160</t>
  </si>
  <si>
    <t>IN-116067 MOC-203266</t>
  </si>
  <si>
    <t>17640</t>
  </si>
  <si>
    <t>IN-116007 MOC-240713</t>
  </si>
  <si>
    <t>0644</t>
  </si>
  <si>
    <t>BP#N/2025/9517 (PIN27790015)</t>
  </si>
  <si>
    <t>BP-N/2025/9504 (PIN27480059)</t>
  </si>
  <si>
    <t>BP-N/2026/200 (PIN25410011)</t>
  </si>
  <si>
    <t>20137</t>
  </si>
  <si>
    <t>0708</t>
  </si>
  <si>
    <t>26196</t>
  </si>
  <si>
    <t>In Review</t>
  </si>
  <si>
    <t>BP154090</t>
  </si>
  <si>
    <t>BP154186</t>
  </si>
  <si>
    <t>4177</t>
  </si>
  <si>
    <t>OL-F9F10-4707</t>
  </si>
  <si>
    <t>BP-N/2025/0675 (PIN71053796)</t>
  </si>
  <si>
    <t>BP153923</t>
  </si>
  <si>
    <t>22431</t>
  </si>
  <si>
    <t>3563</t>
  </si>
  <si>
    <t>IN-116031 MOC-252636</t>
  </si>
  <si>
    <t>0655</t>
  </si>
  <si>
    <t>BP154335</t>
  </si>
  <si>
    <t>29976</t>
  </si>
  <si>
    <t>BP154283</t>
  </si>
  <si>
    <t>12197</t>
  </si>
  <si>
    <t>BP154281</t>
  </si>
  <si>
    <t>BD Dhaka</t>
  </si>
  <si>
    <t>BP154307</t>
  </si>
  <si>
    <t>26154</t>
  </si>
  <si>
    <t>BP154310</t>
  </si>
  <si>
    <t>11579</t>
  </si>
  <si>
    <t>Musaimeer(46)</t>
  </si>
  <si>
    <t>BP153922</t>
  </si>
  <si>
    <t>BP153824</t>
  </si>
  <si>
    <t>41102</t>
  </si>
  <si>
    <t>BP154558</t>
  </si>
  <si>
    <t>5231</t>
  </si>
  <si>
    <t>BP154562</t>
  </si>
  <si>
    <t>40506</t>
  </si>
  <si>
    <t>BP124571</t>
  </si>
  <si>
    <t>4803</t>
  </si>
  <si>
    <t>IN-116133 MOC-252651</t>
  </si>
  <si>
    <t>26442</t>
  </si>
  <si>
    <t>16128</t>
  </si>
  <si>
    <t>IN-115960 MOC-248275</t>
  </si>
  <si>
    <t>31551</t>
  </si>
  <si>
    <t>BP154314</t>
  </si>
  <si>
    <t>11506</t>
  </si>
  <si>
    <t>BP154317</t>
  </si>
  <si>
    <t>11505</t>
  </si>
  <si>
    <t>BP154318</t>
  </si>
  <si>
    <t>25915</t>
  </si>
  <si>
    <t>BP154339</t>
  </si>
  <si>
    <t>Al Duhail(South)</t>
  </si>
  <si>
    <t>BP154698</t>
  </si>
  <si>
    <t>19694</t>
  </si>
  <si>
    <t>BP154734</t>
  </si>
  <si>
    <t>36216</t>
  </si>
  <si>
    <t>BP#154786+BP#154785</t>
  </si>
  <si>
    <t>553-P2</t>
  </si>
  <si>
    <t>BP154701</t>
  </si>
  <si>
    <t>BP154631</t>
  </si>
  <si>
    <t>BP#N/2026/1263(PIN15410015)</t>
  </si>
  <si>
    <t>BP154778</t>
  </si>
  <si>
    <t>BP152804</t>
  </si>
  <si>
    <t>BP154757</t>
  </si>
  <si>
    <t>12129</t>
  </si>
  <si>
    <t>0433</t>
  </si>
  <si>
    <t>25543</t>
  </si>
  <si>
    <t>2664</t>
  </si>
  <si>
    <t>BP154824</t>
  </si>
  <si>
    <t>19961</t>
  </si>
  <si>
    <t>BP-N/2026/977 (PIN34430025)</t>
  </si>
  <si>
    <t>12925</t>
  </si>
  <si>
    <t>BP155064</t>
  </si>
  <si>
    <t>0042</t>
  </si>
  <si>
    <t>BP153863</t>
  </si>
  <si>
    <t>BP154732</t>
  </si>
  <si>
    <t>1912</t>
  </si>
  <si>
    <t>BP154284</t>
  </si>
  <si>
    <t>3509</t>
  </si>
  <si>
    <t>BP154443</t>
  </si>
  <si>
    <t>17905</t>
  </si>
  <si>
    <t>BP155194</t>
  </si>
  <si>
    <t>13105</t>
  </si>
  <si>
    <t>BP155004</t>
  </si>
  <si>
    <t>4947</t>
  </si>
  <si>
    <t>BP155110</t>
  </si>
  <si>
    <t>3080</t>
  </si>
  <si>
    <t>BP155149</t>
  </si>
  <si>
    <t>BP#N/2025/8699 (PIN33120114)</t>
  </si>
  <si>
    <t>BP155074</t>
  </si>
  <si>
    <t>1814</t>
  </si>
  <si>
    <t>BP155070</t>
  </si>
  <si>
    <t>IN-116291 MOC-249038</t>
  </si>
  <si>
    <t>IN-116324 MOC-246711</t>
  </si>
  <si>
    <t>BP155188</t>
  </si>
  <si>
    <t>BP155227</t>
  </si>
  <si>
    <t>BP154665</t>
  </si>
  <si>
    <t>11500</t>
  </si>
  <si>
    <t>2801</t>
  </si>
  <si>
    <t>IN-116315 MOC-252738+39+40+41</t>
  </si>
  <si>
    <t>41418</t>
  </si>
  <si>
    <t>C-83196(MSA-18038528)</t>
  </si>
  <si>
    <t>BP154833</t>
  </si>
  <si>
    <t>34545</t>
  </si>
  <si>
    <t>BP155100</t>
  </si>
  <si>
    <t>3053</t>
  </si>
  <si>
    <t>BP155288</t>
  </si>
  <si>
    <t>40066</t>
  </si>
  <si>
    <t>BP154686</t>
  </si>
  <si>
    <t>BP155417</t>
  </si>
  <si>
    <t>BP155166</t>
  </si>
  <si>
    <t>38232</t>
  </si>
  <si>
    <t>14338</t>
  </si>
  <si>
    <t>Al Salata Al Jadeeda/Al Asiri(40)</t>
  </si>
  <si>
    <t>Al Nuaija(East)(44)</t>
  </si>
  <si>
    <t>BP155532</t>
  </si>
  <si>
    <t>19608</t>
  </si>
  <si>
    <t>Al Nuaija(West)(43)</t>
  </si>
  <si>
    <t>BP155603</t>
  </si>
  <si>
    <t>BP155505</t>
  </si>
  <si>
    <t>36217</t>
  </si>
  <si>
    <t>34787</t>
  </si>
  <si>
    <t>C-980393 (MSA-18038581)</t>
  </si>
  <si>
    <t>BP155138</t>
  </si>
  <si>
    <t>Al Matar Al Qadeem(45 )</t>
  </si>
  <si>
    <t>20266</t>
  </si>
  <si>
    <t>832013/ 835043</t>
  </si>
  <si>
    <t>832446/ 835473</t>
  </si>
  <si>
    <t>810565/ 835043</t>
  </si>
  <si>
    <t>817644/ 832426</t>
  </si>
  <si>
    <t>810568/ 834116</t>
  </si>
  <si>
    <t>831053/ 835586</t>
  </si>
  <si>
    <t>811737/ 834721</t>
  </si>
  <si>
    <t>IN#113719 MOC#231998</t>
  </si>
  <si>
    <t>21884</t>
  </si>
  <si>
    <t>Approved/Expired</t>
  </si>
  <si>
    <t>810568/ 821172/ 832431</t>
  </si>
  <si>
    <t>BP154215</t>
  </si>
  <si>
    <t>20788</t>
  </si>
  <si>
    <t>BP154261</t>
  </si>
  <si>
    <t>12061</t>
  </si>
  <si>
    <t>BP155725</t>
  </si>
  <si>
    <t>19359</t>
  </si>
  <si>
    <t>BP-N/2026/652  (PIN 34010043)</t>
  </si>
  <si>
    <t>BP155614</t>
  </si>
  <si>
    <t>17217</t>
  </si>
  <si>
    <t>40521</t>
  </si>
  <si>
    <t>IN-116399 MOC-231584</t>
  </si>
  <si>
    <t>BP155210</t>
  </si>
  <si>
    <t>BP155376</t>
  </si>
  <si>
    <t>3284</t>
  </si>
  <si>
    <t>BP155385</t>
  </si>
  <si>
    <t>0786</t>
  </si>
  <si>
    <t>IN-116451 MOC-253473</t>
  </si>
  <si>
    <t>BP155701</t>
  </si>
  <si>
    <t>BP155465+BP155467</t>
  </si>
  <si>
    <t>5122</t>
  </si>
  <si>
    <t>BP155444</t>
  </si>
  <si>
    <t>39507</t>
  </si>
  <si>
    <t>BP155659</t>
  </si>
  <si>
    <t>13514</t>
  </si>
  <si>
    <t>BP156016</t>
  </si>
  <si>
    <t>BP155970</t>
  </si>
  <si>
    <t>5193</t>
  </si>
  <si>
    <t>BP155644</t>
  </si>
  <si>
    <t>40527</t>
  </si>
  <si>
    <t>Waiting for Proposal Revision</t>
  </si>
  <si>
    <t>C-1031860(MSA-18038683)</t>
  </si>
  <si>
    <t>IN#116522 MOC-252756</t>
  </si>
  <si>
    <t>IN#116444 MOC#246203</t>
  </si>
  <si>
    <t>4095</t>
  </si>
  <si>
    <t>IN#114458 MOC#250561</t>
  </si>
  <si>
    <t>30161</t>
  </si>
  <si>
    <t>C-129677 MSA-18038684</t>
  </si>
  <si>
    <t>BP155832</t>
  </si>
  <si>
    <t>1295</t>
  </si>
  <si>
    <t>20474</t>
  </si>
  <si>
    <t>BP156022</t>
  </si>
  <si>
    <t>2100</t>
  </si>
  <si>
    <t>BP154668</t>
  </si>
  <si>
    <t>22351</t>
  </si>
  <si>
    <t>C-37296+37297MSA-18037546+550</t>
  </si>
  <si>
    <t>3905</t>
  </si>
  <si>
    <t>IN#115580 MOC#250223</t>
  </si>
  <si>
    <t>BP-N/2025/2171 (PIN71051333)</t>
  </si>
  <si>
    <t>34114</t>
  </si>
  <si>
    <t>833228/ 837276</t>
  </si>
  <si>
    <t>BP156183</t>
  </si>
  <si>
    <t>BP156405</t>
  </si>
  <si>
    <t>11409</t>
  </si>
  <si>
    <t>Job Completed With 566</t>
  </si>
  <si>
    <t>810569/ 832431</t>
  </si>
  <si>
    <t>RO Approved/Job Cancelled</t>
  </si>
  <si>
    <t>Job Completed With 286</t>
  </si>
  <si>
    <t>Technical Verification</t>
  </si>
  <si>
    <t>IN-116750 MOC-251628</t>
  </si>
  <si>
    <t>BP149392</t>
  </si>
  <si>
    <t>1643</t>
  </si>
  <si>
    <t>C-146330A(MSA+18039268)</t>
  </si>
  <si>
    <t>4316</t>
  </si>
  <si>
    <t>IN-116675 MOC-248122</t>
  </si>
  <si>
    <t>13515</t>
  </si>
  <si>
    <t>IN-116691 MOC-247178+79</t>
  </si>
  <si>
    <t>IN-116729 MOC-219890</t>
  </si>
  <si>
    <t>IN-116812 MOC-232560</t>
  </si>
  <si>
    <t>14854</t>
  </si>
  <si>
    <t>14948</t>
  </si>
  <si>
    <t>25155</t>
  </si>
  <si>
    <t>Al Duahil(30)</t>
  </si>
  <si>
    <t>Job Combine With CWR-478</t>
  </si>
  <si>
    <t>IN-116921 MOC-253359</t>
  </si>
  <si>
    <t>22741</t>
  </si>
  <si>
    <t>C-189150(MSA 18039428)+BP157168</t>
  </si>
  <si>
    <t>C-125143A(MSA-18039411)</t>
  </si>
  <si>
    <t>3253</t>
  </si>
  <si>
    <t>IN-116877 MOC-255528</t>
  </si>
  <si>
    <t>Feeder Mismatch(Job Not Completed)</t>
  </si>
  <si>
    <t>IN-116884 MOC-253896+97</t>
  </si>
  <si>
    <t>C-1201570 9MSA-18039159)</t>
  </si>
  <si>
    <t>13462</t>
  </si>
  <si>
    <t>838215/ 841381</t>
  </si>
  <si>
    <t>841573/ 841462</t>
  </si>
  <si>
    <t>IN-116955 MOC-242502</t>
  </si>
  <si>
    <t>C-159007A (MSA-18039140)</t>
  </si>
  <si>
    <t>IN-116938 MOC-248969+70</t>
  </si>
  <si>
    <t>4478</t>
  </si>
  <si>
    <t>21882</t>
  </si>
  <si>
    <t>IN-116968 MOC-255730</t>
  </si>
  <si>
    <t>35638</t>
  </si>
  <si>
    <t>803662/ 842942</t>
  </si>
  <si>
    <t>BP150710/ MOC-247154</t>
  </si>
  <si>
    <t>IN-116966 MOC-247154+BP150742</t>
  </si>
  <si>
    <t>IN -116874 MOC-255731</t>
  </si>
  <si>
    <t>39027</t>
  </si>
  <si>
    <t>C-13511 (MSA-18039365)</t>
  </si>
  <si>
    <t>4291</t>
  </si>
  <si>
    <t>Returned</t>
  </si>
  <si>
    <t>C-111456AA(MSA-18039606)</t>
  </si>
  <si>
    <t>IN#116981+7047 MOC#256050+522</t>
  </si>
  <si>
    <t>23034</t>
  </si>
  <si>
    <t>IN-116843 MOC-241459+60</t>
  </si>
  <si>
    <t>28501</t>
  </si>
  <si>
    <t>C-1065639(MSA-18039562)</t>
  </si>
  <si>
    <t>C-140996 (MSA-18039621)</t>
  </si>
  <si>
    <t>592-R</t>
  </si>
  <si>
    <t>IN-117111 MOC-252173</t>
  </si>
  <si>
    <t>28919</t>
  </si>
  <si>
    <t>OL-F4-28919</t>
  </si>
  <si>
    <t>IN-116967 MOC-216573</t>
  </si>
  <si>
    <t>C-159011A (MSA-18039457)</t>
  </si>
  <si>
    <t>16389</t>
  </si>
  <si>
    <t>159011</t>
  </si>
  <si>
    <t>In Review/ NOC from QTCG</t>
  </si>
  <si>
    <t>Shared RO</t>
  </si>
  <si>
    <t>640-P1</t>
  </si>
  <si>
    <t>BP156746</t>
  </si>
  <si>
    <t>4102</t>
  </si>
  <si>
    <t>BP156162</t>
  </si>
  <si>
    <t>12610</t>
  </si>
  <si>
    <t>508-P2</t>
  </si>
  <si>
    <t>509-P2</t>
  </si>
  <si>
    <t>691-P2</t>
  </si>
  <si>
    <t>689-P2</t>
  </si>
  <si>
    <t>605-P2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</si>
</sst>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\-mmm\-yyyy;@"/>
    <numFmt numFmtId="166" formatCode="[$-409]mmm\-yy;@"/>
    <numFmt numFmtId="167" formatCode="[$-409]mmmm\-yy;@"/>
  </numFmts>
  <fonts count="2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indexed="8"/>
      <name val="Calibri"/>
      <family val="2"/>
      <scheme val="minor"/>
    </font>
    <font>
      <b/>
      <sz val="16"/>
      <name val="Calibri"/>
      <family val="2"/>
      <scheme val="minor"/>
    </font>
    <font>
      <sz val="16"/>
      <name val="Calibri"/>
      <family val="2"/>
      <scheme val="minor"/>
    </font>
    <font>
      <b/>
      <sz val="16"/>
      <color indexed="8"/>
      <name val="Arial"/>
      <family val="2"/>
    </font>
    <font>
      <sz val="16"/>
      <color indexed="8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 Light"/>
      <family val="2"/>
      <scheme val="major"/>
    </font>
    <font>
      <b/>
      <sz val="16"/>
      <color theme="1"/>
      <name val="Arial"/>
      <family val="2"/>
    </font>
    <font>
      <sz val="18"/>
      <color theme="1"/>
      <name val="Calibri"/>
      <family val="2"/>
      <scheme val="minor"/>
    </font>
    <font>
      <b/>
      <sz val="18"/>
      <color indexed="8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8"/>
      <color theme="0" tint="-4.9989318521683403E-2"/>
      <name val="Calibri"/>
      <family val="2"/>
      <scheme val="minor"/>
    </font>
    <font>
      <b/>
      <sz val="18"/>
      <name val="Calibri"/>
      <family val="2"/>
      <scheme val="minor"/>
    </font>
    <font>
      <sz val="16"/>
      <color theme="1"/>
      <name val="Times New Roman"/>
      <family val="1"/>
    </font>
    <font>
      <b/>
      <sz val="14"/>
      <color theme="1"/>
      <name val="Calibri"/>
      <family val="2"/>
      <scheme val="minor"/>
    </font>
    <font>
      <b/>
      <i/>
      <sz val="26"/>
      <color theme="0" tint="-4.9989318521683403E-2"/>
      <name val="Calibri"/>
      <family val="2"/>
      <scheme val="minor"/>
    </font>
    <font>
      <sz val="15"/>
      <color theme="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theme="9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rgb="FF33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000000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41">
    <xf numFmtId="0" fontId="0" fillId="0" borderId="0"/>
    <xf numFmtId="164" fontId="2" fillId="0" borderId="0" applyFont="0" applyFill="0" applyBorder="0" applyAlignment="0" applyProtection="0"/>
    <xf numFmtId="0" fontId="5" fillId="0" borderId="0"/>
    <xf numFmtId="164" fontId="2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4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29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vertical="center"/>
    </xf>
    <xf numFmtId="164" fontId="1" fillId="0" borderId="1" xfId="1" applyFont="1" applyBorder="1" applyAlignment="1">
      <alignment horizontal="center" vertical="center"/>
    </xf>
    <xf numFmtId="164" fontId="0" fillId="0" borderId="0" xfId="1" applyFont="1" applyBorder="1" applyAlignment="1">
      <alignment horizontal="center" vertical="center"/>
    </xf>
    <xf numFmtId="165" fontId="0" fillId="0" borderId="0" xfId="0" applyNumberFormat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43" fontId="0" fillId="0" borderId="0" xfId="0" applyNumberFormat="1"/>
    <xf numFmtId="165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66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/>
    </xf>
    <xf numFmtId="0" fontId="11" fillId="5" borderId="1" xfId="0" applyFont="1" applyFill="1" applyBorder="1" applyAlignment="1">
      <alignment horizontal="center" vertical="center" wrapText="1"/>
    </xf>
    <xf numFmtId="0" fontId="0" fillId="5" borderId="0" xfId="0" applyFill="1" applyAlignment="1">
      <alignment vertical="center"/>
    </xf>
    <xf numFmtId="0" fontId="14" fillId="0" borderId="0" xfId="0" applyFont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7" fillId="7" borderId="1" xfId="0" applyFont="1" applyFill="1" applyBorder="1" applyAlignment="1" applyProtection="1">
      <alignment horizontal="center" vertical="center" wrapText="1"/>
      <protection locked="0"/>
    </xf>
    <xf numFmtId="0" fontId="16" fillId="7" borderId="1" xfId="4" applyFont="1" applyFill="1" applyBorder="1" applyAlignment="1" applyProtection="1">
      <alignment horizontal="center" vertical="center"/>
      <protection locked="0"/>
    </xf>
    <xf numFmtId="164" fontId="0" fillId="0" borderId="0" xfId="1" applyFont="1" applyAlignment="1">
      <alignment horizontal="center"/>
    </xf>
    <xf numFmtId="164" fontId="1" fillId="0" borderId="7" xfId="1" applyFont="1" applyBorder="1" applyAlignment="1">
      <alignment horizontal="right" vertical="center"/>
    </xf>
    <xf numFmtId="164" fontId="0" fillId="0" borderId="0" xfId="1" applyFon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4" fontId="0" fillId="0" borderId="0" xfId="0" applyNumberFormat="1"/>
    <xf numFmtId="0" fontId="7" fillId="5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 applyProtection="1">
      <alignment horizontal="center"/>
      <protection locked="0"/>
    </xf>
    <xf numFmtId="165" fontId="7" fillId="7" borderId="1" xfId="0" applyNumberFormat="1" applyFont="1" applyFill="1" applyBorder="1" applyProtection="1">
      <protection locked="0"/>
    </xf>
    <xf numFmtId="165" fontId="15" fillId="7" borderId="1" xfId="0" applyNumberFormat="1" applyFont="1" applyFill="1" applyBorder="1" applyAlignment="1" applyProtection="1">
      <alignment horizontal="center" vertical="center" wrapText="1"/>
      <protection locked="0"/>
    </xf>
    <xf numFmtId="2" fontId="15" fillId="7" borderId="1" xfId="0" applyNumberFormat="1" applyFont="1" applyFill="1" applyBorder="1" applyAlignment="1" applyProtection="1">
      <alignment horizontal="center" vertical="center"/>
      <protection locked="0"/>
    </xf>
    <xf numFmtId="0" fontId="7" fillId="7" borderId="1" xfId="0" applyFont="1" applyFill="1" applyBorder="1" applyProtection="1">
      <protection locked="0"/>
    </xf>
    <xf numFmtId="0" fontId="7" fillId="7" borderId="1" xfId="0" applyFont="1" applyFill="1" applyBorder="1" applyAlignment="1" applyProtection="1">
      <alignment wrapText="1"/>
      <protection locked="0"/>
    </xf>
    <xf numFmtId="164" fontId="7" fillId="7" borderId="1" xfId="1" applyFont="1" applyFill="1" applyBorder="1" applyAlignment="1" applyProtection="1">
      <alignment horizontal="center"/>
      <protection locked="0"/>
    </xf>
    <xf numFmtId="164" fontId="7" fillId="7" borderId="1" xfId="1" applyFont="1" applyFill="1" applyBorder="1" applyAlignment="1" applyProtection="1">
      <alignment horizontal="center" vertical="center"/>
      <protection locked="0"/>
    </xf>
    <xf numFmtId="2" fontId="7" fillId="7" borderId="1" xfId="0" applyNumberFormat="1" applyFont="1" applyFill="1" applyBorder="1" applyAlignment="1" applyProtection="1">
      <alignment horizontal="center" vertical="center"/>
      <protection locked="0"/>
    </xf>
    <xf numFmtId="0" fontId="7" fillId="7" borderId="1" xfId="0" applyFont="1" applyFill="1" applyBorder="1" applyAlignment="1" applyProtection="1">
      <alignment horizontal="center" vertical="center"/>
      <protection locked="0"/>
    </xf>
    <xf numFmtId="167" fontId="7" fillId="7" borderId="1" xfId="0" applyNumberFormat="1" applyFont="1" applyFill="1" applyBorder="1" applyAlignment="1" applyProtection="1">
      <alignment horizontal="center" vertical="center"/>
      <protection locked="0"/>
    </xf>
    <xf numFmtId="2" fontId="15" fillId="7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vertical="center" wrapText="1"/>
    </xf>
    <xf numFmtId="164" fontId="23" fillId="2" borderId="5" xfId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5" borderId="0" xfId="0" applyFont="1" applyFill="1" applyAlignment="1">
      <alignment vertical="center"/>
    </xf>
    <xf numFmtId="164" fontId="21" fillId="0" borderId="0" xfId="1" applyFont="1" applyAlignment="1">
      <alignment horizontal="center"/>
    </xf>
    <xf numFmtId="164" fontId="20" fillId="0" borderId="0" xfId="1" applyFont="1" applyAlignment="1">
      <alignment horizontal="center"/>
    </xf>
    <xf numFmtId="10" fontId="25" fillId="0" borderId="0" xfId="6" applyNumberFormat="1" applyFont="1" applyAlignment="1">
      <alignment horizontal="center"/>
    </xf>
    <xf numFmtId="164" fontId="25" fillId="0" borderId="0" xfId="1" applyFont="1" applyAlignment="1">
      <alignment horizontal="center"/>
    </xf>
    <xf numFmtId="0" fontId="19" fillId="3" borderId="17" xfId="0" applyFont="1" applyFill="1" applyBorder="1" applyAlignment="1">
      <alignment horizontal="center" vertical="center" wrapText="1"/>
    </xf>
    <xf numFmtId="0" fontId="1" fillId="9" borderId="6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164" fontId="1" fillId="4" borderId="1" xfId="1" applyFont="1" applyFill="1" applyBorder="1" applyAlignment="1">
      <alignment horizontal="center" vertical="center"/>
    </xf>
    <xf numFmtId="164" fontId="1" fillId="4" borderId="5" xfId="1" applyFont="1" applyFill="1" applyBorder="1" applyAlignment="1">
      <alignment horizontal="center" vertical="center"/>
    </xf>
    <xf numFmtId="164" fontId="1" fillId="4" borderId="10" xfId="1" applyFont="1" applyFill="1" applyBorder="1" applyAlignment="1">
      <alignment horizontal="center" vertical="center"/>
    </xf>
    <xf numFmtId="9" fontId="3" fillId="11" borderId="7" xfId="0" applyNumberFormat="1" applyFont="1" applyFill="1" applyBorder="1" applyAlignment="1">
      <alignment horizontal="center" vertical="center"/>
    </xf>
    <xf numFmtId="10" fontId="0" fillId="11" borderId="7" xfId="6" applyNumberFormat="1" applyFont="1" applyFill="1" applyBorder="1" applyAlignment="1">
      <alignment horizontal="center" vertical="center"/>
    </xf>
    <xf numFmtId="10" fontId="0" fillId="11" borderId="21" xfId="6" applyNumberFormat="1" applyFont="1" applyFill="1" applyBorder="1" applyAlignment="1">
      <alignment horizontal="center" vertical="center"/>
    </xf>
    <xf numFmtId="10" fontId="0" fillId="11" borderId="12" xfId="6" applyNumberFormat="1" applyFont="1" applyFill="1" applyBorder="1" applyAlignment="1">
      <alignment horizontal="center" vertical="center"/>
    </xf>
    <xf numFmtId="0" fontId="0" fillId="10" borderId="6" xfId="0" applyFill="1" applyBorder="1" applyAlignment="1">
      <alignment horizontal="right" vertical="center"/>
    </xf>
    <xf numFmtId="0" fontId="0" fillId="10" borderId="6" xfId="0" applyFill="1" applyBorder="1" applyAlignment="1">
      <alignment horizontal="right" vertical="center" wrapText="1"/>
    </xf>
    <xf numFmtId="0" fontId="0" fillId="10" borderId="11" xfId="0" applyFill="1" applyBorder="1" applyAlignment="1">
      <alignment horizontal="right" vertical="center" wrapText="1"/>
    </xf>
    <xf numFmtId="0" fontId="0" fillId="10" borderId="9" xfId="0" applyFill="1" applyBorder="1" applyAlignment="1">
      <alignment horizontal="right" vertical="center"/>
    </xf>
    <xf numFmtId="0" fontId="11" fillId="5" borderId="1" xfId="0" applyFont="1" applyFill="1" applyBorder="1" applyAlignment="1">
      <alignment horizontal="center" vertical="center"/>
    </xf>
    <xf numFmtId="165" fontId="11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horizontal="center" vertical="center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1" applyFont="1" applyFill="1" applyBorder="1" applyAlignment="1">
      <alignment horizontal="center" vertical="center"/>
    </xf>
    <xf numFmtId="164" fontId="11" fillId="5" borderId="1" xfId="1" quotePrefix="1" applyFont="1" applyFill="1" applyBorder="1" applyAlignment="1">
      <alignment horizontal="center" vertical="center" wrapText="1"/>
    </xf>
    <xf numFmtId="164" fontId="11" fillId="5" borderId="1" xfId="1" quotePrefix="1" applyFont="1" applyFill="1" applyBorder="1" applyAlignment="1">
      <alignment horizontal="left" vertical="center" wrapText="1"/>
    </xf>
    <xf numFmtId="164" fontId="13" fillId="5" borderId="1" xfId="3" applyFont="1" applyFill="1" applyBorder="1" applyAlignment="1">
      <alignment horizontal="center" vertical="center"/>
    </xf>
    <xf numFmtId="43" fontId="11" fillId="5" borderId="1" xfId="0" applyNumberFormat="1" applyFont="1" applyFill="1" applyBorder="1" applyAlignment="1">
      <alignment vertical="center"/>
    </xf>
    <xf numFmtId="166" fontId="11" fillId="5" borderId="1" xfId="0" applyNumberFormat="1" applyFont="1" applyFill="1" applyBorder="1" applyAlignment="1">
      <alignment horizontal="center" vertical="center"/>
    </xf>
    <xf numFmtId="14" fontId="7" fillId="5" borderId="1" xfId="0" applyNumberFormat="1" applyFont="1" applyFill="1" applyBorder="1" applyAlignment="1">
      <alignment horizontal="center" vertical="center" wrapText="1"/>
    </xf>
    <xf numFmtId="0" fontId="12" fillId="5" borderId="1" xfId="4" applyFont="1" applyFill="1" applyBorder="1" applyAlignment="1">
      <alignment horizontal="center" vertical="center"/>
    </xf>
    <xf numFmtId="0" fontId="24" fillId="5" borderId="1" xfId="0" applyFont="1" applyFill="1" applyBorder="1" applyAlignment="1">
      <alignment horizontal="center" vertical="center" wrapText="1"/>
    </xf>
    <xf numFmtId="1" fontId="11" fillId="13" borderId="1" xfId="0" applyNumberFormat="1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 vertical="center"/>
    </xf>
    <xf numFmtId="165" fontId="11" fillId="13" borderId="1" xfId="0" applyNumberFormat="1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center" wrapText="1"/>
    </xf>
    <xf numFmtId="49" fontId="11" fillId="13" borderId="1" xfId="0" applyNumberFormat="1" applyFont="1" applyFill="1" applyBorder="1" applyAlignment="1">
      <alignment horizontal="center" vertical="center"/>
    </xf>
    <xf numFmtId="164" fontId="11" fillId="13" borderId="1" xfId="1" applyFont="1" applyFill="1" applyBorder="1" applyAlignment="1">
      <alignment horizontal="center" vertical="center"/>
    </xf>
    <xf numFmtId="164" fontId="11" fillId="13" borderId="1" xfId="1" quotePrefix="1" applyFont="1" applyFill="1" applyBorder="1" applyAlignment="1">
      <alignment horizontal="center" vertical="center" wrapText="1"/>
    </xf>
    <xf numFmtId="164" fontId="11" fillId="13" borderId="1" xfId="1" quotePrefix="1" applyFont="1" applyFill="1" applyBorder="1" applyAlignment="1">
      <alignment horizontal="left" vertical="center" wrapText="1"/>
    </xf>
    <xf numFmtId="164" fontId="13" fillId="13" borderId="1" xfId="3" applyFont="1" applyFill="1" applyBorder="1" applyAlignment="1">
      <alignment horizontal="center" vertical="center"/>
    </xf>
    <xf numFmtId="43" fontId="11" fillId="13" borderId="1" xfId="0" applyNumberFormat="1" applyFont="1" applyFill="1" applyBorder="1" applyAlignment="1">
      <alignment vertical="center"/>
    </xf>
    <xf numFmtId="166" fontId="11" fillId="13" borderId="1" xfId="0" applyNumberFormat="1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 wrapText="1"/>
    </xf>
    <xf numFmtId="0" fontId="11" fillId="14" borderId="1" xfId="0" applyFont="1" applyFill="1" applyBorder="1" applyAlignment="1">
      <alignment horizontal="center" vertical="center" wrapText="1"/>
    </xf>
    <xf numFmtId="0" fontId="11" fillId="14" borderId="1" xfId="0" applyFont="1" applyFill="1" applyBorder="1" applyAlignment="1">
      <alignment horizontal="center" vertical="center"/>
    </xf>
    <xf numFmtId="165" fontId="11" fillId="14" borderId="1" xfId="0" applyNumberFormat="1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 wrapText="1"/>
    </xf>
    <xf numFmtId="1" fontId="11" fillId="14" borderId="1" xfId="0" applyNumberFormat="1" applyFont="1" applyFill="1" applyBorder="1" applyAlignment="1">
      <alignment horizontal="center" vertical="center"/>
    </xf>
    <xf numFmtId="49" fontId="11" fillId="14" borderId="1" xfId="0" applyNumberFormat="1" applyFont="1" applyFill="1" applyBorder="1" applyAlignment="1">
      <alignment horizontal="center" vertical="center"/>
    </xf>
    <xf numFmtId="164" fontId="11" fillId="14" borderId="1" xfId="1" applyFont="1" applyFill="1" applyBorder="1" applyAlignment="1">
      <alignment horizontal="center" vertical="center"/>
    </xf>
    <xf numFmtId="164" fontId="11" fillId="14" borderId="1" xfId="1" quotePrefix="1" applyFont="1" applyFill="1" applyBorder="1" applyAlignment="1">
      <alignment horizontal="center" vertical="center" wrapText="1"/>
    </xf>
    <xf numFmtId="164" fontId="11" fillId="14" borderId="1" xfId="1" quotePrefix="1" applyFont="1" applyFill="1" applyBorder="1" applyAlignment="1">
      <alignment horizontal="left" vertical="center" wrapText="1"/>
    </xf>
    <xf numFmtId="164" fontId="7" fillId="14" borderId="1" xfId="1" applyFont="1" applyFill="1" applyBorder="1" applyAlignment="1">
      <alignment vertical="center"/>
    </xf>
    <xf numFmtId="0" fontId="9" fillId="14" borderId="1" xfId="4" applyFont="1" applyFill="1" applyBorder="1" applyAlignment="1">
      <alignment horizontal="center" vertical="center"/>
    </xf>
    <xf numFmtId="164" fontId="13" fillId="14" borderId="1" xfId="3" applyFont="1" applyFill="1" applyBorder="1" applyAlignment="1">
      <alignment horizontal="center" vertical="center"/>
    </xf>
    <xf numFmtId="43" fontId="11" fillId="14" borderId="1" xfId="0" applyNumberFormat="1" applyFont="1" applyFill="1" applyBorder="1" applyAlignment="1">
      <alignment vertical="center"/>
    </xf>
    <xf numFmtId="166" fontId="11" fillId="14" borderId="1" xfId="0" applyNumberFormat="1" applyFont="1" applyFill="1" applyBorder="1" applyAlignment="1">
      <alignment horizontal="center" vertical="center"/>
    </xf>
    <xf numFmtId="165" fontId="7" fillId="5" borderId="1" xfId="0" applyNumberFormat="1" applyFont="1" applyFill="1" applyBorder="1" applyAlignment="1">
      <alignment horizontal="center" vertical="center" wrapText="1"/>
    </xf>
    <xf numFmtId="165" fontId="7" fillId="13" borderId="1" xfId="0" applyNumberFormat="1" applyFont="1" applyFill="1" applyBorder="1" applyAlignment="1">
      <alignment horizontal="center" vertical="center" wrapText="1"/>
    </xf>
    <xf numFmtId="165" fontId="17" fillId="7" borderId="1" xfId="0" applyNumberFormat="1" applyFont="1" applyFill="1" applyBorder="1" applyAlignment="1" applyProtection="1">
      <alignment horizontal="center" vertical="center" wrapText="1"/>
      <protection locked="0"/>
    </xf>
    <xf numFmtId="165" fontId="17" fillId="0" borderId="0" xfId="0" applyNumberFormat="1" applyFont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/>
    </xf>
    <xf numFmtId="0" fontId="7" fillId="15" borderId="0" xfId="0" applyFont="1" applyFill="1" applyAlignment="1">
      <alignment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165" fontId="11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1" fontId="11" fillId="2" borderId="1" xfId="0" applyNumberFormat="1" applyFont="1" applyFill="1" applyBorder="1" applyAlignment="1">
      <alignment horizontal="center" vertical="center"/>
    </xf>
    <xf numFmtId="0" fontId="11" fillId="16" borderId="1" xfId="0" applyFont="1" applyFill="1" applyBorder="1" applyAlignment="1">
      <alignment horizontal="center" vertical="center" wrapText="1"/>
    </xf>
    <xf numFmtId="165" fontId="7" fillId="2" borderId="1" xfId="0" applyNumberFormat="1" applyFont="1" applyFill="1" applyBorder="1" applyAlignment="1">
      <alignment horizontal="center" vertical="center" wrapText="1"/>
    </xf>
    <xf numFmtId="14" fontId="17" fillId="2" borderId="1" xfId="0" applyNumberFormat="1" applyFont="1" applyFill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/>
    </xf>
    <xf numFmtId="164" fontId="11" fillId="2" borderId="1" xfId="1" applyFont="1" applyFill="1" applyBorder="1" applyAlignment="1">
      <alignment horizontal="center" vertical="center"/>
    </xf>
    <xf numFmtId="164" fontId="11" fillId="2" borderId="1" xfId="1" quotePrefix="1" applyFont="1" applyFill="1" applyBorder="1" applyAlignment="1">
      <alignment horizontal="center" vertical="center" wrapText="1"/>
    </xf>
    <xf numFmtId="164" fontId="11" fillId="2" borderId="1" xfId="1" quotePrefix="1" applyFont="1" applyFill="1" applyBorder="1" applyAlignment="1">
      <alignment horizontal="left" vertical="center" wrapText="1"/>
    </xf>
    <xf numFmtId="0" fontId="9" fillId="2" borderId="1" xfId="4" applyFont="1" applyFill="1" applyBorder="1" applyAlignment="1">
      <alignment horizontal="center" vertical="center"/>
    </xf>
    <xf numFmtId="164" fontId="13" fillId="2" borderId="1" xfId="3" applyFont="1" applyFill="1" applyBorder="1" applyAlignment="1">
      <alignment horizontal="center" vertical="center"/>
    </xf>
    <xf numFmtId="43" fontId="11" fillId="2" borderId="1" xfId="0" applyNumberFormat="1" applyFont="1" applyFill="1" applyBorder="1" applyAlignment="1">
      <alignment vertical="center"/>
    </xf>
    <xf numFmtId="167" fontId="11" fillId="2" borderId="1" xfId="0" applyNumberFormat="1" applyFont="1" applyFill="1" applyBorder="1" applyAlignment="1">
      <alignment horizontal="center" vertical="center" wrapText="1"/>
    </xf>
    <xf numFmtId="166" fontId="11" fillId="2" borderId="1" xfId="0" applyNumberFormat="1" applyFont="1" applyFill="1" applyBorder="1" applyAlignment="1">
      <alignment horizontal="center" vertical="center"/>
    </xf>
    <xf numFmtId="165" fontId="7" fillId="14" borderId="1" xfId="0" applyNumberFormat="1" applyFont="1" applyFill="1" applyBorder="1" applyAlignment="1">
      <alignment horizontal="center" vertical="center" wrapText="1"/>
    </xf>
    <xf numFmtId="14" fontId="17" fillId="14" borderId="1" xfId="0" applyNumberFormat="1" applyFont="1" applyFill="1" applyBorder="1" applyAlignment="1">
      <alignment horizontal="center" vertical="center" wrapText="1"/>
    </xf>
    <xf numFmtId="167" fontId="11" fillId="14" borderId="1" xfId="0" applyNumberFormat="1" applyFont="1" applyFill="1" applyBorder="1" applyAlignment="1">
      <alignment horizontal="center" vertical="center" wrapText="1"/>
    </xf>
    <xf numFmtId="164" fontId="7" fillId="0" borderId="0" xfId="1" applyFont="1" applyAlignment="1">
      <alignment horizontal="center"/>
    </xf>
    <xf numFmtId="164" fontId="17" fillId="0" borderId="0" xfId="1" applyFont="1" applyAlignment="1">
      <alignment horizontal="center"/>
    </xf>
    <xf numFmtId="14" fontId="7" fillId="2" borderId="1" xfId="0" applyNumberFormat="1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12" fillId="2" borderId="1" xfId="4" applyFont="1" applyFill="1" applyBorder="1" applyAlignment="1">
      <alignment horizontal="center" vertical="center"/>
    </xf>
    <xf numFmtId="0" fontId="7" fillId="13" borderId="0" xfId="0" applyFont="1" applyFill="1" applyAlignment="1">
      <alignment vertical="center"/>
    </xf>
    <xf numFmtId="0" fontId="0" fillId="13" borderId="0" xfId="0" applyFill="1" applyAlignment="1">
      <alignment vertical="center"/>
    </xf>
    <xf numFmtId="0" fontId="7" fillId="17" borderId="1" xfId="0" applyFont="1" applyFill="1" applyBorder="1" applyAlignment="1">
      <alignment horizontal="center" vertical="center"/>
    </xf>
    <xf numFmtId="0" fontId="11" fillId="17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/>
    </xf>
    <xf numFmtId="165" fontId="11" fillId="17" borderId="1" xfId="0" applyNumberFormat="1" applyFont="1" applyFill="1" applyBorder="1" applyAlignment="1">
      <alignment horizontal="center" vertical="center"/>
    </xf>
    <xf numFmtId="0" fontId="7" fillId="17" borderId="1" xfId="0" applyFont="1" applyFill="1" applyBorder="1" applyAlignment="1">
      <alignment horizontal="center" vertical="center" wrapText="1"/>
    </xf>
    <xf numFmtId="1" fontId="11" fillId="17" borderId="1" xfId="0" applyNumberFormat="1" applyFont="1" applyFill="1" applyBorder="1" applyAlignment="1">
      <alignment horizontal="center" vertical="center"/>
    </xf>
    <xf numFmtId="0" fontId="11" fillId="18" borderId="1" xfId="0" applyFont="1" applyFill="1" applyBorder="1" applyAlignment="1">
      <alignment horizontal="center" vertical="center" wrapText="1"/>
    </xf>
    <xf numFmtId="165" fontId="7" fillId="17" borderId="1" xfId="0" applyNumberFormat="1" applyFont="1" applyFill="1" applyBorder="1" applyAlignment="1">
      <alignment horizontal="center" vertical="center" wrapText="1"/>
    </xf>
    <xf numFmtId="49" fontId="11" fillId="17" borderId="1" xfId="0" applyNumberFormat="1" applyFont="1" applyFill="1" applyBorder="1" applyAlignment="1">
      <alignment horizontal="center" vertical="center"/>
    </xf>
    <xf numFmtId="164" fontId="11" fillId="17" borderId="1" xfId="1" applyFont="1" applyFill="1" applyBorder="1" applyAlignment="1">
      <alignment horizontal="center" vertical="center"/>
    </xf>
    <xf numFmtId="164" fontId="11" fillId="17" borderId="1" xfId="1" quotePrefix="1" applyFont="1" applyFill="1" applyBorder="1" applyAlignment="1">
      <alignment horizontal="center" vertical="center" wrapText="1"/>
    </xf>
    <xf numFmtId="164" fontId="11" fillId="17" borderId="1" xfId="1" quotePrefix="1" applyFont="1" applyFill="1" applyBorder="1" applyAlignment="1">
      <alignment horizontal="left" vertical="center" wrapText="1"/>
    </xf>
    <xf numFmtId="0" fontId="9" fillId="17" borderId="1" xfId="4" applyFont="1" applyFill="1" applyBorder="1" applyAlignment="1">
      <alignment horizontal="center" vertical="center"/>
    </xf>
    <xf numFmtId="164" fontId="13" fillId="17" borderId="1" xfId="3" applyFont="1" applyFill="1" applyBorder="1" applyAlignment="1">
      <alignment horizontal="center" vertical="center"/>
    </xf>
    <xf numFmtId="43" fontId="11" fillId="17" borderId="1" xfId="0" applyNumberFormat="1" applyFont="1" applyFill="1" applyBorder="1" applyAlignment="1">
      <alignment vertical="center"/>
    </xf>
    <xf numFmtId="167" fontId="11" fillId="17" borderId="1" xfId="0" applyNumberFormat="1" applyFont="1" applyFill="1" applyBorder="1" applyAlignment="1">
      <alignment horizontal="center" vertical="center" wrapText="1"/>
    </xf>
    <xf numFmtId="167" fontId="11" fillId="17" borderId="1" xfId="0" applyNumberFormat="1" applyFont="1" applyFill="1" applyBorder="1" applyAlignment="1">
      <alignment horizontal="center" vertical="center"/>
    </xf>
    <xf numFmtId="166" fontId="11" fillId="17" borderId="1" xfId="0" applyNumberFormat="1" applyFont="1" applyFill="1" applyBorder="1" applyAlignment="1">
      <alignment horizontal="center" vertical="center"/>
    </xf>
    <xf numFmtId="164" fontId="7" fillId="17" borderId="1" xfId="1" applyFont="1" applyFill="1" applyBorder="1" applyAlignment="1">
      <alignment horizontal="center" vertical="center" wrapText="1"/>
    </xf>
    <xf numFmtId="164" fontId="7" fillId="17" borderId="1" xfId="1" applyFont="1" applyFill="1" applyBorder="1" applyAlignment="1">
      <alignment horizontal="left" vertical="center" wrapText="1"/>
    </xf>
    <xf numFmtId="49" fontId="11" fillId="17" borderId="1" xfId="0" applyNumberFormat="1" applyFont="1" applyFill="1" applyBorder="1" applyAlignment="1">
      <alignment horizontal="center" vertical="center" wrapText="1"/>
    </xf>
    <xf numFmtId="14" fontId="17" fillId="17" borderId="1" xfId="0" applyNumberFormat="1" applyFont="1" applyFill="1" applyBorder="1" applyAlignment="1">
      <alignment horizontal="center" vertical="center" wrapText="1"/>
    </xf>
    <xf numFmtId="14" fontId="7" fillId="14" borderId="1" xfId="0" applyNumberFormat="1" applyFont="1" applyFill="1" applyBorder="1" applyAlignment="1">
      <alignment horizontal="center" vertical="center" wrapText="1"/>
    </xf>
    <xf numFmtId="0" fontId="24" fillId="14" borderId="1" xfId="0" applyFont="1" applyFill="1" applyBorder="1" applyAlignment="1">
      <alignment horizontal="center" vertical="center" wrapText="1"/>
    </xf>
    <xf numFmtId="0" fontId="12" fillId="14" borderId="1" xfId="4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center" vertical="center"/>
    </xf>
    <xf numFmtId="0" fontId="11" fillId="19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/>
    </xf>
    <xf numFmtId="165" fontId="11" fillId="19" borderId="1" xfId="0" applyNumberFormat="1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center" vertical="center" wrapText="1"/>
    </xf>
    <xf numFmtId="1" fontId="11" fillId="19" borderId="1" xfId="0" applyNumberFormat="1" applyFont="1" applyFill="1" applyBorder="1" applyAlignment="1">
      <alignment horizontal="center" vertical="center"/>
    </xf>
    <xf numFmtId="165" fontId="7" fillId="19" borderId="1" xfId="0" applyNumberFormat="1" applyFont="1" applyFill="1" applyBorder="1" applyAlignment="1">
      <alignment horizontal="center" vertical="center" wrapText="1"/>
    </xf>
    <xf numFmtId="49" fontId="11" fillId="19" borderId="1" xfId="0" applyNumberFormat="1" applyFont="1" applyFill="1" applyBorder="1" applyAlignment="1">
      <alignment horizontal="center" vertical="center"/>
    </xf>
    <xf numFmtId="164" fontId="11" fillId="19" borderId="1" xfId="1" applyFont="1" applyFill="1" applyBorder="1" applyAlignment="1">
      <alignment horizontal="center" vertical="center"/>
    </xf>
    <xf numFmtId="164" fontId="11" fillId="19" borderId="1" xfId="1" quotePrefix="1" applyFont="1" applyFill="1" applyBorder="1" applyAlignment="1">
      <alignment horizontal="center" vertical="center" wrapText="1"/>
    </xf>
    <xf numFmtId="164" fontId="11" fillId="19" borderId="1" xfId="1" quotePrefix="1" applyFont="1" applyFill="1" applyBorder="1" applyAlignment="1">
      <alignment horizontal="left" vertical="center" wrapText="1"/>
    </xf>
    <xf numFmtId="0" fontId="9" fillId="19" borderId="1" xfId="4" applyFont="1" applyFill="1" applyBorder="1" applyAlignment="1">
      <alignment horizontal="center" vertical="center"/>
    </xf>
    <xf numFmtId="164" fontId="13" fillId="19" borderId="1" xfId="3" applyFont="1" applyFill="1" applyBorder="1" applyAlignment="1">
      <alignment horizontal="center" vertical="center"/>
    </xf>
    <xf numFmtId="43" fontId="11" fillId="19" borderId="1" xfId="0" applyNumberFormat="1" applyFont="1" applyFill="1" applyBorder="1" applyAlignment="1">
      <alignment vertical="center"/>
    </xf>
    <xf numFmtId="166" fontId="11" fillId="19" borderId="1" xfId="0" applyNumberFormat="1" applyFont="1" applyFill="1" applyBorder="1" applyAlignment="1">
      <alignment horizontal="center" vertical="center"/>
    </xf>
    <xf numFmtId="0" fontId="11" fillId="20" borderId="1" xfId="0" applyFont="1" applyFill="1" applyBorder="1" applyAlignment="1">
      <alignment horizontal="center" vertical="center" wrapText="1"/>
    </xf>
    <xf numFmtId="14" fontId="17" fillId="19" borderId="1" xfId="0" applyNumberFormat="1" applyFont="1" applyFill="1" applyBorder="1" applyAlignment="1">
      <alignment horizontal="center" vertical="center" wrapText="1"/>
    </xf>
    <xf numFmtId="17" fontId="11" fillId="19" borderId="1" xfId="0" applyNumberFormat="1" applyFont="1" applyFill="1" applyBorder="1" applyAlignment="1">
      <alignment horizontal="center" vertical="center" wrapText="1"/>
    </xf>
    <xf numFmtId="14" fontId="7" fillId="19" borderId="1" xfId="0" applyNumberFormat="1" applyFont="1" applyFill="1" applyBorder="1" applyAlignment="1">
      <alignment horizontal="center" vertical="center" wrapText="1"/>
    </xf>
    <xf numFmtId="0" fontId="24" fillId="19" borderId="1" xfId="0" applyFont="1" applyFill="1" applyBorder="1" applyAlignment="1">
      <alignment horizontal="center" vertical="center" wrapText="1"/>
    </xf>
    <xf numFmtId="0" fontId="12" fillId="19" borderId="1" xfId="4" applyFont="1" applyFill="1" applyBorder="1" applyAlignment="1">
      <alignment horizontal="center" vertical="center"/>
    </xf>
    <xf numFmtId="0" fontId="0" fillId="21" borderId="0" xfId="0" applyFill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165" fontId="7" fillId="0" borderId="1" xfId="0" applyNumberFormat="1" applyFont="1" applyBorder="1" applyAlignment="1">
      <alignment horizontal="center" vertical="center" wrapText="1"/>
    </xf>
    <xf numFmtId="14" fontId="7" fillId="17" borderId="1" xfId="0" applyNumberFormat="1" applyFont="1" applyFill="1" applyBorder="1" applyAlignment="1">
      <alignment horizontal="center" vertical="center" wrapText="1"/>
    </xf>
    <xf numFmtId="0" fontId="24" fillId="17" borderId="1" xfId="0" applyFont="1" applyFill="1" applyBorder="1" applyAlignment="1">
      <alignment horizontal="center" vertical="center" wrapText="1"/>
    </xf>
    <xf numFmtId="0" fontId="12" fillId="17" borderId="1" xfId="4" applyFont="1" applyFill="1" applyBorder="1" applyAlignment="1">
      <alignment horizontal="center" vertical="center"/>
    </xf>
    <xf numFmtId="17" fontId="11" fillId="17" borderId="1" xfId="0" applyNumberFormat="1" applyFont="1" applyFill="1" applyBorder="1" applyAlignment="1">
      <alignment horizontal="center" vertical="center" wrapText="1"/>
    </xf>
    <xf numFmtId="0" fontId="11" fillId="17" borderId="1" xfId="0" quotePrefix="1" applyFont="1" applyFill="1" applyBorder="1" applyAlignment="1">
      <alignment horizontal="center" vertical="center" wrapText="1"/>
    </xf>
    <xf numFmtId="165" fontId="11" fillId="17" borderId="1" xfId="0" applyNumberFormat="1" applyFont="1" applyFill="1" applyBorder="1" applyAlignment="1">
      <alignment horizontal="center" vertical="center" wrapText="1"/>
    </xf>
    <xf numFmtId="0" fontId="10" fillId="17" borderId="1" xfId="4" applyFont="1" applyFill="1" applyBorder="1" applyAlignment="1">
      <alignment horizontal="center" vertical="center"/>
    </xf>
    <xf numFmtId="17" fontId="11" fillId="17" borderId="1" xfId="0" applyNumberFormat="1" applyFont="1" applyFill="1" applyBorder="1" applyAlignment="1">
      <alignment vertical="center"/>
    </xf>
    <xf numFmtId="0" fontId="7" fillId="17" borderId="1" xfId="0" quotePrefix="1" applyFont="1" applyFill="1" applyBorder="1" applyAlignment="1">
      <alignment horizontal="center" vertical="center" wrapText="1"/>
    </xf>
    <xf numFmtId="14" fontId="7" fillId="13" borderId="1" xfId="0" applyNumberFormat="1" applyFont="1" applyFill="1" applyBorder="1" applyAlignment="1">
      <alignment horizontal="center" vertical="center" wrapText="1"/>
    </xf>
    <xf numFmtId="0" fontId="24" fillId="13" borderId="1" xfId="0" applyFont="1" applyFill="1" applyBorder="1" applyAlignment="1">
      <alignment horizontal="center" vertical="center" wrapText="1"/>
    </xf>
    <xf numFmtId="0" fontId="12" fillId="13" borderId="1" xfId="4" applyFont="1" applyFill="1" applyBorder="1" applyAlignment="1">
      <alignment horizontal="center" vertical="center"/>
    </xf>
    <xf numFmtId="165" fontId="11" fillId="12" borderId="1" xfId="0" applyNumberFormat="1" applyFont="1" applyFill="1" applyBorder="1" applyAlignment="1">
      <alignment horizontal="center" vertical="center" wrapText="1"/>
    </xf>
    <xf numFmtId="0" fontId="0" fillId="13" borderId="0" xfId="0" applyFill="1" applyAlignment="1">
      <alignment horizontal="center"/>
    </xf>
    <xf numFmtId="0" fontId="7" fillId="19" borderId="0" xfId="0" applyFont="1" applyFill="1" applyAlignment="1">
      <alignment vertical="center"/>
    </xf>
    <xf numFmtId="0" fontId="7" fillId="2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" fontId="11" fillId="17" borderId="1" xfId="0" applyNumberFormat="1" applyFont="1" applyFill="1" applyBorder="1" applyAlignment="1">
      <alignment horizontal="center" vertical="center" wrapText="1"/>
    </xf>
    <xf numFmtId="0" fontId="3" fillId="13" borderId="0" xfId="0" applyFont="1" applyFill="1" applyAlignment="1">
      <alignment horizontal="center"/>
    </xf>
    <xf numFmtId="165" fontId="0" fillId="13" borderId="0" xfId="0" applyNumberFormat="1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3" borderId="0" xfId="0" applyFill="1" applyAlignment="1">
      <alignment vertical="center" wrapText="1"/>
    </xf>
    <xf numFmtId="2" fontId="0" fillId="13" borderId="0" xfId="0" applyNumberFormat="1" applyFill="1" applyAlignment="1">
      <alignment vertical="center"/>
    </xf>
    <xf numFmtId="0" fontId="7" fillId="13" borderId="0" xfId="0" applyFont="1" applyFill="1" applyAlignment="1">
      <alignment horizontal="center" vertical="center" wrapText="1"/>
    </xf>
    <xf numFmtId="165" fontId="17" fillId="13" borderId="0" xfId="0" applyNumberFormat="1" applyFont="1" applyFill="1" applyAlignment="1">
      <alignment horizontal="center" vertical="center" wrapText="1"/>
    </xf>
    <xf numFmtId="0" fontId="8" fillId="13" borderId="0" xfId="0" applyFont="1" applyFill="1" applyAlignment="1">
      <alignment horizontal="center" vertical="center" wrapText="1"/>
    </xf>
    <xf numFmtId="164" fontId="0" fillId="13" borderId="0" xfId="1" applyFont="1" applyFill="1" applyAlignment="1">
      <alignment horizontal="center" vertical="center"/>
    </xf>
    <xf numFmtId="164" fontId="0" fillId="13" borderId="0" xfId="1" applyFont="1" applyFill="1" applyAlignment="1">
      <alignment horizontal="center"/>
    </xf>
    <xf numFmtId="165" fontId="0" fillId="13" borderId="0" xfId="0" applyNumberFormat="1" applyFill="1" applyAlignment="1">
      <alignment horizontal="center" vertical="center" wrapText="1"/>
    </xf>
    <xf numFmtId="2" fontId="0" fillId="13" borderId="0" xfId="0" applyNumberFormat="1" applyFill="1" applyAlignment="1">
      <alignment horizontal="center" vertical="center" wrapText="1"/>
    </xf>
    <xf numFmtId="0" fontId="0" fillId="13" borderId="0" xfId="0" applyFill="1"/>
    <xf numFmtId="167" fontId="0" fillId="13" borderId="0" xfId="0" applyNumberFormat="1" applyFill="1" applyAlignment="1">
      <alignment horizontal="center" vertical="center"/>
    </xf>
    <xf numFmtId="166" fontId="0" fillId="13" borderId="0" xfId="0" applyNumberFormat="1" applyFill="1" applyAlignment="1">
      <alignment horizontal="center" vertical="center"/>
    </xf>
    <xf numFmtId="0" fontId="14" fillId="13" borderId="0" xfId="0" applyFont="1" applyFill="1" applyAlignment="1">
      <alignment horizontal="center"/>
    </xf>
    <xf numFmtId="0" fontId="0" fillId="0" borderId="1" xfId="0" applyBorder="1"/>
    <xf numFmtId="17" fontId="0" fillId="0" borderId="1" xfId="0" applyNumberFormat="1" applyBorder="1"/>
    <xf numFmtId="0" fontId="11" fillId="0" borderId="1" xfId="0" applyFont="1" applyBorder="1" applyAlignment="1">
      <alignment horizontal="center" vertical="center"/>
    </xf>
    <xf numFmtId="165" fontId="11" fillId="0" borderId="1" xfId="0" applyNumberFormat="1" applyFont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/>
    </xf>
    <xf numFmtId="164" fontId="11" fillId="0" borderId="1" xfId="1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164" fontId="11" fillId="0" borderId="1" xfId="1" quotePrefix="1" applyFont="1" applyFill="1" applyBorder="1" applyAlignment="1">
      <alignment horizontal="center" vertical="center" wrapText="1"/>
    </xf>
    <xf numFmtId="164" fontId="11" fillId="0" borderId="1" xfId="1" quotePrefix="1" applyFont="1" applyFill="1" applyBorder="1" applyAlignment="1">
      <alignment horizontal="left" vertical="center" wrapText="1"/>
    </xf>
    <xf numFmtId="0" fontId="12" fillId="0" borderId="1" xfId="4" applyFont="1" applyBorder="1" applyAlignment="1">
      <alignment horizontal="center" vertical="center"/>
    </xf>
    <xf numFmtId="164" fontId="13" fillId="0" borderId="1" xfId="3" applyFont="1" applyFill="1" applyBorder="1" applyAlignment="1">
      <alignment horizontal="center" vertical="center"/>
    </xf>
    <xf numFmtId="43" fontId="11" fillId="0" borderId="1" xfId="0" applyNumberFormat="1" applyFont="1" applyBorder="1" applyAlignment="1">
      <alignment vertical="center"/>
    </xf>
    <xf numFmtId="166" fontId="11" fillId="0" borderId="1" xfId="0" applyNumberFormat="1" applyFont="1" applyBorder="1" applyAlignment="1">
      <alignment horizontal="center" vertical="center"/>
    </xf>
    <xf numFmtId="0" fontId="0" fillId="19" borderId="0" xfId="0" applyFill="1" applyAlignment="1">
      <alignment vertical="center"/>
    </xf>
    <xf numFmtId="166" fontId="11" fillId="17" borderId="1" xfId="0" applyNumberFormat="1" applyFont="1" applyFill="1" applyBorder="1" applyAlignment="1">
      <alignment horizontal="center" vertical="center" wrapText="1"/>
    </xf>
    <xf numFmtId="17" fontId="11" fillId="13" borderId="1" xfId="0" applyNumberFormat="1" applyFont="1" applyFill="1" applyBorder="1" applyAlignment="1">
      <alignment horizontal="center" vertical="center" wrapText="1"/>
    </xf>
    <xf numFmtId="43" fontId="7" fillId="5" borderId="0" xfId="0" applyNumberFormat="1" applyFont="1" applyFill="1" applyAlignment="1">
      <alignment vertical="center"/>
    </xf>
    <xf numFmtId="164" fontId="27" fillId="0" borderId="0" xfId="1" applyFont="1" applyAlignment="1">
      <alignment horizontal="center"/>
    </xf>
    <xf numFmtId="0" fontId="11" fillId="23" borderId="1" xfId="0" applyFont="1" applyFill="1" applyBorder="1" applyAlignment="1">
      <alignment horizontal="center" vertical="center" wrapText="1"/>
    </xf>
    <xf numFmtId="0" fontId="9" fillId="5" borderId="1" xfId="4" applyFont="1" applyFill="1" applyBorder="1" applyAlignment="1">
      <alignment horizontal="center" vertical="center"/>
    </xf>
    <xf numFmtId="165" fontId="7" fillId="17" borderId="1" xfId="0" applyNumberFormat="1" applyFont="1" applyFill="1" applyBorder="1" applyAlignment="1">
      <alignment horizontal="center" vertical="center"/>
    </xf>
    <xf numFmtId="1" fontId="7" fillId="17" borderId="1" xfId="0" applyNumberFormat="1" applyFont="1" applyFill="1" applyBorder="1" applyAlignment="1">
      <alignment horizontal="center" vertical="center"/>
    </xf>
    <xf numFmtId="49" fontId="7" fillId="17" borderId="1" xfId="0" applyNumberFormat="1" applyFont="1" applyFill="1" applyBorder="1" applyAlignment="1">
      <alignment horizontal="center" vertical="center"/>
    </xf>
    <xf numFmtId="164" fontId="7" fillId="17" borderId="1" xfId="1" applyFont="1" applyFill="1" applyBorder="1" applyAlignment="1">
      <alignment horizontal="center" vertical="center"/>
    </xf>
    <xf numFmtId="164" fontId="7" fillId="17" borderId="1" xfId="1" quotePrefix="1" applyFont="1" applyFill="1" applyBorder="1" applyAlignment="1">
      <alignment horizontal="center" vertical="center" wrapText="1"/>
    </xf>
    <xf numFmtId="164" fontId="7" fillId="17" borderId="1" xfId="1" quotePrefix="1" applyFont="1" applyFill="1" applyBorder="1" applyAlignment="1">
      <alignment horizontal="left" vertical="center" wrapText="1"/>
    </xf>
    <xf numFmtId="0" fontId="16" fillId="17" borderId="1" xfId="4" applyFont="1" applyFill="1" applyBorder="1" applyAlignment="1">
      <alignment horizontal="center" vertical="center"/>
    </xf>
    <xf numFmtId="164" fontId="7" fillId="17" borderId="1" xfId="3" applyFont="1" applyFill="1" applyBorder="1" applyAlignment="1">
      <alignment horizontal="center" vertical="center"/>
    </xf>
    <xf numFmtId="43" fontId="7" fillId="17" borderId="1" xfId="0" applyNumberFormat="1" applyFont="1" applyFill="1" applyBorder="1" applyAlignment="1">
      <alignment vertical="center"/>
    </xf>
    <xf numFmtId="17" fontId="7" fillId="17" borderId="1" xfId="0" applyNumberFormat="1" applyFont="1" applyFill="1" applyBorder="1" applyAlignment="1">
      <alignment horizontal="center" vertical="center" wrapText="1"/>
    </xf>
    <xf numFmtId="166" fontId="7" fillId="17" borderId="1" xfId="0" applyNumberFormat="1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17" fontId="11" fillId="14" borderId="1" xfId="0" applyNumberFormat="1" applyFont="1" applyFill="1" applyBorder="1" applyAlignment="1">
      <alignment horizontal="center" vertical="center" wrapText="1"/>
    </xf>
    <xf numFmtId="17" fontId="11" fillId="5" borderId="1" xfId="0" applyNumberFormat="1" applyFont="1" applyFill="1" applyBorder="1" applyAlignment="1">
      <alignment horizontal="center" vertical="center" wrapText="1"/>
    </xf>
    <xf numFmtId="0" fontId="18" fillId="2" borderId="5" xfId="4" applyFont="1" applyFill="1" applyBorder="1" applyAlignment="1">
      <alignment horizontal="center" vertical="center" wrapText="1"/>
    </xf>
    <xf numFmtId="0" fontId="18" fillId="2" borderId="2" xfId="4" applyFont="1" applyFill="1" applyBorder="1" applyAlignment="1">
      <alignment horizontal="center" vertical="center" wrapText="1"/>
    </xf>
    <xf numFmtId="0" fontId="18" fillId="2" borderId="3" xfId="4" applyFont="1" applyFill="1" applyBorder="1" applyAlignment="1">
      <alignment horizontal="center" vertical="center" wrapText="1"/>
    </xf>
    <xf numFmtId="165" fontId="22" fillId="8" borderId="5" xfId="4" applyNumberFormat="1" applyFont="1" applyFill="1" applyBorder="1" applyAlignment="1">
      <alignment horizontal="center" vertical="center" wrapText="1"/>
    </xf>
    <xf numFmtId="165" fontId="22" fillId="8" borderId="2" xfId="4" applyNumberFormat="1" applyFont="1" applyFill="1" applyBorder="1" applyAlignment="1">
      <alignment horizontal="center" vertical="center" wrapText="1"/>
    </xf>
    <xf numFmtId="165" fontId="22" fillId="8" borderId="3" xfId="4" applyNumberFormat="1" applyFont="1" applyFill="1" applyBorder="1" applyAlignment="1">
      <alignment horizontal="center" vertical="center" wrapText="1"/>
    </xf>
    <xf numFmtId="164" fontId="23" fillId="2" borderId="13" xfId="1" applyFont="1" applyFill="1" applyBorder="1" applyAlignment="1">
      <alignment horizontal="center" vertical="center"/>
    </xf>
    <xf numFmtId="164" fontId="23" fillId="2" borderId="4" xfId="1" applyFont="1" applyFill="1" applyBorder="1" applyAlignment="1">
      <alignment horizontal="center" vertical="center"/>
    </xf>
    <xf numFmtId="164" fontId="23" fillId="2" borderId="13" xfId="1" quotePrefix="1" applyFont="1" applyFill="1" applyBorder="1" applyAlignment="1">
      <alignment horizontal="center" vertical="center" wrapText="1"/>
    </xf>
    <xf numFmtId="164" fontId="23" fillId="2" borderId="4" xfId="1" quotePrefix="1" applyFont="1" applyFill="1" applyBorder="1" applyAlignment="1">
      <alignment horizontal="center" vertical="center" wrapText="1"/>
    </xf>
    <xf numFmtId="0" fontId="22" fillId="8" borderId="5" xfId="4" applyFont="1" applyFill="1" applyBorder="1" applyAlignment="1">
      <alignment horizontal="center" vertical="center" wrapText="1"/>
    </xf>
    <xf numFmtId="0" fontId="22" fillId="8" borderId="2" xfId="4" applyFont="1" applyFill="1" applyBorder="1" applyAlignment="1">
      <alignment horizontal="center" vertical="center" wrapText="1"/>
    </xf>
    <xf numFmtId="0" fontId="22" fillId="8" borderId="3" xfId="4" applyFont="1" applyFill="1" applyBorder="1" applyAlignment="1">
      <alignment horizontal="center" vertical="center" wrapText="1"/>
    </xf>
    <xf numFmtId="164" fontId="18" fillId="2" borderId="5" xfId="1" applyFont="1" applyFill="1" applyBorder="1" applyAlignment="1">
      <alignment horizontal="center" vertical="center" wrapText="1"/>
    </xf>
    <xf numFmtId="164" fontId="18" fillId="2" borderId="2" xfId="1" applyFont="1" applyFill="1" applyBorder="1" applyAlignment="1">
      <alignment horizontal="center" vertical="center" wrapText="1"/>
    </xf>
    <xf numFmtId="164" fontId="18" fillId="2" borderId="3" xfId="1" applyFont="1" applyFill="1" applyBorder="1" applyAlignment="1">
      <alignment horizontal="center" vertical="center" wrapText="1"/>
    </xf>
    <xf numFmtId="0" fontId="23" fillId="2" borderId="14" xfId="0" quotePrefix="1" applyFont="1" applyFill="1" applyBorder="1" applyAlignment="1">
      <alignment horizontal="center" vertical="center" wrapText="1"/>
    </xf>
    <xf numFmtId="0" fontId="23" fillId="2" borderId="8" xfId="0" quotePrefix="1" applyFont="1" applyFill="1" applyBorder="1" applyAlignment="1">
      <alignment horizontal="center" vertical="center" wrapText="1"/>
    </xf>
    <xf numFmtId="167" fontId="23" fillId="2" borderId="5" xfId="0" quotePrefix="1" applyNumberFormat="1" applyFont="1" applyFill="1" applyBorder="1" applyAlignment="1">
      <alignment horizontal="center" vertical="center" wrapText="1"/>
    </xf>
    <xf numFmtId="167" fontId="23" fillId="2" borderId="2" xfId="0" quotePrefix="1" applyNumberFormat="1" applyFont="1" applyFill="1" applyBorder="1" applyAlignment="1">
      <alignment horizontal="center" vertical="center" wrapText="1"/>
    </xf>
    <xf numFmtId="164" fontId="23" fillId="2" borderId="13" xfId="1" quotePrefix="1" applyFont="1" applyFill="1" applyBorder="1" applyAlignment="1">
      <alignment horizontal="center" vertical="center"/>
    </xf>
    <xf numFmtId="0" fontId="23" fillId="2" borderId="5" xfId="0" quotePrefix="1" applyFont="1" applyFill="1" applyBorder="1" applyAlignment="1">
      <alignment horizontal="center" vertical="center" wrapText="1"/>
    </xf>
    <xf numFmtId="0" fontId="23" fillId="2" borderId="2" xfId="0" quotePrefix="1" applyFont="1" applyFill="1" applyBorder="1" applyAlignment="1">
      <alignment horizontal="center" vertical="center" wrapText="1"/>
    </xf>
    <xf numFmtId="0" fontId="26" fillId="6" borderId="18" xfId="0" applyFont="1" applyFill="1" applyBorder="1" applyAlignment="1">
      <alignment horizontal="left" vertical="center"/>
    </xf>
    <xf numFmtId="0" fontId="26" fillId="6" borderId="19" xfId="0" applyFont="1" applyFill="1" applyBorder="1" applyAlignment="1">
      <alignment horizontal="left" vertical="center"/>
    </xf>
    <xf numFmtId="0" fontId="26" fillId="6" borderId="19" xfId="0" applyFont="1" applyFill="1" applyBorder="1" applyAlignment="1">
      <alignment horizontal="left" vertical="center" wrapText="1"/>
    </xf>
    <xf numFmtId="164" fontId="26" fillId="6" borderId="19" xfId="1" applyFont="1" applyFill="1" applyBorder="1" applyAlignment="1">
      <alignment horizontal="left" vertical="center"/>
    </xf>
    <xf numFmtId="0" fontId="26" fillId="6" borderId="20" xfId="0" applyFont="1" applyFill="1" applyBorder="1" applyAlignment="1">
      <alignment horizontal="left" vertical="center"/>
    </xf>
    <xf numFmtId="164" fontId="23" fillId="2" borderId="5" xfId="1" quotePrefix="1" applyFont="1" applyFill="1" applyBorder="1" applyAlignment="1">
      <alignment horizontal="center" vertical="center" wrapText="1"/>
    </xf>
    <xf numFmtId="164" fontId="23" fillId="2" borderId="2" xfId="1" quotePrefix="1" applyFont="1" applyFill="1" applyBorder="1" applyAlignment="1">
      <alignment horizontal="center" vertical="center" wrapText="1"/>
    </xf>
    <xf numFmtId="165" fontId="23" fillId="2" borderId="5" xfId="0" quotePrefix="1" applyNumberFormat="1" applyFont="1" applyFill="1" applyBorder="1" applyAlignment="1">
      <alignment horizontal="center" vertical="center" wrapText="1"/>
    </xf>
    <xf numFmtId="165" fontId="23" fillId="2" borderId="2" xfId="0" quotePrefix="1" applyNumberFormat="1" applyFont="1" applyFill="1" applyBorder="1" applyAlignment="1">
      <alignment horizontal="center" vertical="center" wrapText="1"/>
    </xf>
    <xf numFmtId="0" fontId="20" fillId="3" borderId="15" xfId="0" applyFont="1" applyFill="1" applyBorder="1" applyAlignment="1">
      <alignment horizontal="center" vertical="center"/>
    </xf>
    <xf numFmtId="0" fontId="20" fillId="3" borderId="16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/>
    </xf>
  </cellXfs>
  <cellStyles count="41">
    <cellStyle name="Comma" xfId="1" builtinId="3"/>
    <cellStyle name="Comma 2" xfId="3" xr:uid="{00000000-0005-0000-0000-000001000000}"/>
    <cellStyle name="Comma 2 2" xfId="8" xr:uid="{97C65B47-D75B-443E-AFE4-AA13D5572159}"/>
    <cellStyle name="Comma 2 2 2" xfId="12" xr:uid="{48CCF0E2-26AA-4853-95F0-314B06F73B02}"/>
    <cellStyle name="Comma 2 2 2 2" xfId="40" xr:uid="{79814B6F-724B-4B3B-BD18-564E37EFB642}"/>
    <cellStyle name="Comma 2 2 3" xfId="23" xr:uid="{EACE7C16-4202-4810-A2B4-7CF803558E6C}"/>
    <cellStyle name="Comma 2 2 4" xfId="27" xr:uid="{9DB85154-D0C5-4454-94AE-C561F6E4ACEA}"/>
    <cellStyle name="Comma 2 2 5" xfId="31" xr:uid="{87A1A2CE-DDA8-4477-860D-7B0D0CEBFCE4}"/>
    <cellStyle name="Comma 2 3" xfId="10" xr:uid="{9F2D34B6-31DD-4DA4-ADFB-A7D08FB33D57}"/>
    <cellStyle name="Comma 2 3 2" xfId="34" xr:uid="{602B295A-C055-4815-9EF3-0554B208E78F}"/>
    <cellStyle name="Comma 2 4" xfId="14" xr:uid="{DE3C17EB-DE9A-4737-A092-10D59CE74358}"/>
    <cellStyle name="Comma 2 4 2" xfId="39" xr:uid="{D14BC1D4-E3E0-47F2-8FAB-47679BCD44ED}"/>
    <cellStyle name="Comma 2 5" xfId="21" xr:uid="{38C918D9-A1E4-4434-BE6D-F0B4EC512EF5}"/>
    <cellStyle name="Comma 2 6" xfId="25" xr:uid="{63F8B160-EF3F-430B-8F3C-41103034491A}"/>
    <cellStyle name="Comma 2 7" xfId="29" xr:uid="{C601F6A9-69C8-44B0-872D-2DBE1F1F0BDA}"/>
    <cellStyle name="Comma 3" xfId="7" xr:uid="{45B0D06B-B28A-49DC-B928-D8FD12E91AA9}"/>
    <cellStyle name="Comma 3 2" xfId="11" xr:uid="{0A25152E-8CD0-47DE-A650-0D42A82003A0}"/>
    <cellStyle name="Comma 3 2 2" xfId="35" xr:uid="{10C81C4E-D6D8-44F7-A1DF-DD249E57C53C}"/>
    <cellStyle name="Comma 3 3" xfId="22" xr:uid="{3FA06AB0-03C3-447B-ACCB-EC94E5F87DD4}"/>
    <cellStyle name="Comma 3 4" xfId="26" xr:uid="{AA1123B9-9DD4-49C4-8394-B73C5F4304B5}"/>
    <cellStyle name="Comma 3 5" xfId="30" xr:uid="{DEA985BD-6AD8-4069-AD64-48ED97D62E16}"/>
    <cellStyle name="Comma 4" xfId="9" xr:uid="{F78AC968-0289-4C5D-A79B-6CC9C384719D}"/>
    <cellStyle name="Comma 4 2" xfId="20" xr:uid="{93A7E7F2-966A-49CB-B303-753A07C4FEB8}"/>
    <cellStyle name="Comma 4 2 2" xfId="36" xr:uid="{56DA5A1B-22F9-46A8-BB05-D975BBC6C531}"/>
    <cellStyle name="Comma 4 3" xfId="24" xr:uid="{87829A8D-35EE-46F9-84F1-8CBBC759F226}"/>
    <cellStyle name="Comma 4 4" xfId="28" xr:uid="{9821A9A8-813B-4196-84DF-8DCBB04054B8}"/>
    <cellStyle name="Comma 5" xfId="13" xr:uid="{BB6E16C4-AD0D-4197-9170-60E5F380D336}"/>
    <cellStyle name="Comma 6" xfId="33" xr:uid="{065518F6-594E-4458-AED6-BCE75732E78B}"/>
    <cellStyle name="Comma 7" xfId="38" xr:uid="{0A2AF572-C937-4761-B478-56995A8DAEB3}"/>
    <cellStyle name="Normal" xfId="0" builtinId="0"/>
    <cellStyle name="Normal 2" xfId="2" xr:uid="{00000000-0005-0000-0000-000003000000}"/>
    <cellStyle name="Normal 2 2" xfId="4" xr:uid="{00000000-0005-0000-0000-000004000000}"/>
    <cellStyle name="Normal 2 2 2" xfId="15" xr:uid="{BA93A319-6CE5-4322-B578-0F2465A8B383}"/>
    <cellStyle name="Normal 3" xfId="16" xr:uid="{C3236333-F368-4D9F-821C-B39704227C6E}"/>
    <cellStyle name="Normal 4" xfId="17" xr:uid="{29904308-EADD-4E0E-A43E-9228AC2A096A}"/>
    <cellStyle name="Normal 5" xfId="18" xr:uid="{A2AE05C8-114A-4317-9D50-3855169020E3}"/>
    <cellStyle name="Normal 5 2" xfId="19" xr:uid="{048D4E7D-6479-4E67-BA6D-16F23C2FBBF1}"/>
    <cellStyle name="Normal 6" xfId="32" xr:uid="{EADE3D6A-BA89-4D4A-9DDD-279DC5C42E3B}"/>
    <cellStyle name="Normal 7" xfId="37" xr:uid="{C9713047-3FF9-402D-A885-6D9DE185716D}"/>
    <cellStyle name="Percent" xfId="6" builtinId="5"/>
    <cellStyle name="Percent 2" xfId="5" xr:uid="{54FDE337-452C-495D-AB05-40DBC0F03DE8}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33CCFF"/>
      <color rgb="FFFF0066"/>
      <color rgb="FFFF9999"/>
      <color rgb="FFC50B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58</xdr:col>
      <xdr:colOff>316746</xdr:colOff>
      <xdr:row>0</xdr:row>
      <xdr:rowOff>69850</xdr:rowOff>
    </xdr:from>
    <xdr:to>
      <xdr:col>60</xdr:col>
      <xdr:colOff>686225</xdr:colOff>
      <xdr:row>1</xdr:row>
      <xdr:rowOff>195338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0FFA19-4108-4C00-A4A1-4DF234D98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353666" y="69850"/>
          <a:ext cx="3600359" cy="55220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RO-Section/RO%20Master%20File/RO%20TRACKING%20(Master%20Sheet%20version%203)%202026.xlsx" TargetMode="External"/><Relationship Id="rId1" Type="http://schemas.openxmlformats.org/officeDocument/2006/relationships/externalLinkPath" Target="/Projects/RO-Section/RO%20Master%20File/RO%20TRACKING%20(Master%20Sheet%20version%203)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us Stop"/>
      <sheetName val="Self Work"/>
      <sheetName val="RO Tracking-GTC-1240"/>
      <sheetName val="RO Tracking-1017"/>
      <sheetName val="RO Tracking-GTC-1236"/>
      <sheetName val="Advance Payment"/>
    </sheetNames>
    <sheetDataSet>
      <sheetData sheetId="0"/>
      <sheetData sheetId="1"/>
      <sheetData sheetId="2">
        <row r="659">
          <cell r="P659">
            <v>46273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78ACE-F805-4C19-A898-2313B9695BCA}">
  <sheetPr>
    <pageSetUpPr fitToPage="1"/>
  </sheetPr>
  <dimension ref="B1:G27"/>
  <sheetViews>
    <sheetView topLeftCell="B1" zoomScale="85" zoomScaleNormal="85" zoomScaleSheetLayoutView="100" workbookViewId="0">
      <selection activeCell="C19" sqref="C19"/>
    </sheetView>
  </sheetViews>
  <sheetFormatPr defaultColWidth="8.88671875" defaultRowHeight="14.4" x14ac:dyDescent="0.3"/>
  <cols>
    <col min="1" max="1" width="5.109375" customWidth="1"/>
    <col min="2" max="2" width="55.109375" customWidth="1"/>
    <col min="3" max="3" width="27" customWidth="1"/>
    <col min="4" max="4" width="17.5546875" customWidth="1"/>
    <col min="5" max="5" width="26.5546875" customWidth="1"/>
    <col min="6" max="6" width="11.109375" bestFit="1" customWidth="1"/>
    <col min="7" max="7" width="9.5546875" bestFit="1" customWidth="1"/>
  </cols>
  <sheetData>
    <row r="1" spans="2:7" ht="15" thickBot="1" x14ac:dyDescent="0.35"/>
    <row r="2" spans="2:7" ht="31.5" customHeight="1" thickBot="1" x14ac:dyDescent="0.35">
      <c r="B2" s="288" t="s">
        <v>66</v>
      </c>
      <c r="C2" s="289"/>
      <c r="D2" s="47" t="s">
        <v>65</v>
      </c>
    </row>
    <row r="3" spans="2:7" ht="20.399999999999999" customHeight="1" x14ac:dyDescent="0.3">
      <c r="B3" s="48" t="s">
        <v>32</v>
      </c>
      <c r="C3" s="49" t="s">
        <v>33</v>
      </c>
      <c r="D3" s="50" t="s">
        <v>34</v>
      </c>
    </row>
    <row r="4" spans="2:7" ht="24" customHeight="1" x14ac:dyDescent="0.3">
      <c r="B4" s="58" t="s">
        <v>39</v>
      </c>
      <c r="C4" s="51">
        <v>15625800</v>
      </c>
      <c r="D4" s="54">
        <v>1</v>
      </c>
    </row>
    <row r="5" spans="2:7" ht="24" customHeight="1" x14ac:dyDescent="0.3">
      <c r="B5" s="58" t="s">
        <v>35</v>
      </c>
      <c r="C5" s="6">
        <v>6705488</v>
      </c>
      <c r="D5" s="55">
        <f>C5/C4</f>
        <v>0.42912926058185819</v>
      </c>
      <c r="F5" s="10"/>
    </row>
    <row r="6" spans="2:7" ht="24" customHeight="1" x14ac:dyDescent="0.3">
      <c r="B6" s="58" t="s">
        <v>36</v>
      </c>
      <c r="C6" s="22">
        <v>4502913</v>
      </c>
      <c r="D6" s="55">
        <f>C6/C5</f>
        <v>0.67152651678744335</v>
      </c>
      <c r="F6" s="7"/>
      <c r="G6" s="25"/>
    </row>
    <row r="7" spans="2:7" ht="24" customHeight="1" x14ac:dyDescent="0.3">
      <c r="B7" s="58" t="s">
        <v>37</v>
      </c>
      <c r="C7" s="51">
        <f>C4-C5</f>
        <v>8920312</v>
      </c>
      <c r="D7" s="55">
        <f>C7/C4</f>
        <v>0.57087073941814181</v>
      </c>
    </row>
    <row r="8" spans="2:7" ht="24" customHeight="1" x14ac:dyDescent="0.3">
      <c r="B8" s="58" t="s">
        <v>41</v>
      </c>
      <c r="C8" s="51">
        <f>C5-C6</f>
        <v>2202575</v>
      </c>
      <c r="D8" s="55">
        <f>C8/C4</f>
        <v>0.14095758297175184</v>
      </c>
    </row>
    <row r="9" spans="2:7" ht="24" customHeight="1" x14ac:dyDescent="0.3">
      <c r="B9" s="59" t="s">
        <v>67</v>
      </c>
      <c r="C9" s="22">
        <v>3703027</v>
      </c>
      <c r="D9" s="56">
        <f>C9/C4</f>
        <v>0.23698159454235943</v>
      </c>
    </row>
    <row r="10" spans="2:7" ht="24" customHeight="1" x14ac:dyDescent="0.3">
      <c r="B10" s="60" t="s">
        <v>47</v>
      </c>
      <c r="C10" s="22"/>
      <c r="D10" s="55">
        <f>C10/C4</f>
        <v>0</v>
      </c>
    </row>
    <row r="11" spans="2:7" ht="24" customHeight="1" x14ac:dyDescent="0.3">
      <c r="B11" s="60" t="s">
        <v>46</v>
      </c>
      <c r="C11" s="52">
        <f>C4-C9</f>
        <v>11922773</v>
      </c>
      <c r="D11" s="55">
        <f>C11/C4</f>
        <v>0.76301840545764055</v>
      </c>
    </row>
    <row r="12" spans="2:7" ht="24" customHeight="1" x14ac:dyDescent="0.3">
      <c r="B12" s="60" t="s">
        <v>48</v>
      </c>
      <c r="C12" s="22">
        <v>0</v>
      </c>
      <c r="D12" s="55">
        <f>C12/C5</f>
        <v>0</v>
      </c>
    </row>
    <row r="13" spans="2:7" ht="24" customHeight="1" thickBot="1" x14ac:dyDescent="0.35">
      <c r="B13" s="61" t="s">
        <v>38</v>
      </c>
      <c r="C13" s="53">
        <f>C6-(C9+C12)</f>
        <v>799886</v>
      </c>
      <c r="D13" s="57">
        <f>C13/C6</f>
        <v>0.17763745379935167</v>
      </c>
    </row>
    <row r="14" spans="2:7" ht="24" customHeight="1" x14ac:dyDescent="0.3"/>
    <row r="15" spans="2:7" ht="23.1" customHeight="1" x14ac:dyDescent="0.3"/>
    <row r="16" spans="2:7" ht="23.1" customHeight="1" x14ac:dyDescent="0.3"/>
    <row r="17" spans="5:5" ht="23.1" customHeight="1" x14ac:dyDescent="0.3"/>
    <row r="18" spans="5:5" ht="19.5" customHeight="1" x14ac:dyDescent="0.3"/>
    <row r="19" spans="5:5" ht="19.5" customHeight="1" x14ac:dyDescent="0.3"/>
    <row r="20" spans="5:5" ht="19.5" customHeight="1" x14ac:dyDescent="0.3"/>
    <row r="21" spans="5:5" ht="19.5" customHeight="1" x14ac:dyDescent="0.3"/>
    <row r="22" spans="5:5" ht="19.5" customHeight="1" x14ac:dyDescent="0.3"/>
    <row r="23" spans="5:5" ht="19.5" customHeight="1" x14ac:dyDescent="0.3"/>
    <row r="24" spans="5:5" ht="19.5" customHeight="1" x14ac:dyDescent="0.3"/>
    <row r="25" spans="5:5" ht="19.5" customHeight="1" x14ac:dyDescent="0.3"/>
    <row r="26" spans="5:5" x14ac:dyDescent="0.3">
      <c r="E26" s="10"/>
    </row>
    <row r="27" spans="5:5" x14ac:dyDescent="0.3">
      <c r="E27" s="10"/>
    </row>
  </sheetData>
  <mergeCells count="1">
    <mergeCell ref="B2:C2"/>
  </mergeCells>
  <pageMargins left="0.45" right="0.45" top="0.5" bottom="0.5" header="0.55000000000000004" footer="0.3"/>
  <pageSetup paperSize="9" fitToWidth="0" orientation="portrait" r:id="rId1"/>
  <colBreaks count="1" manualBreakCount="1">
    <brk id="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39460-0E5C-49CB-9359-B2705A6D671C}">
  <sheetPr filterMode="1">
    <pageSetUpPr fitToPage="1"/>
  </sheetPr>
  <dimension ref="A1:AAC1046420"/>
  <sheetViews>
    <sheetView tabSelected="1" zoomScale="50" zoomScaleNormal="50" zoomScaleSheetLayoutView="25" workbookViewId="0">
      <pane xSplit="3" ySplit="4" topLeftCell="D512" activePane="bottomRight" state="frozen"/>
      <selection pane="topRight" activeCell="D1" sqref="D1"/>
      <selection pane="bottomLeft" activeCell="A5" sqref="A5"/>
      <selection pane="bottomRight" activeCell="O12" sqref="O12"/>
    </sheetView>
  </sheetViews>
  <sheetFormatPr defaultColWidth="8.88671875" defaultRowHeight="23.4" x14ac:dyDescent="0.35"/>
  <cols>
    <col min="1" max="1" width="11.5546875" style="2" customWidth="1"/>
    <col min="2" max="2" width="17.88671875" style="14" bestFit="1" customWidth="1"/>
    <col min="3" max="3" width="13.5546875" style="2" customWidth="1"/>
    <col min="4" max="4" width="23.5546875" style="11" customWidth="1"/>
    <col min="5" max="5" width="24.44140625" style="11" customWidth="1"/>
    <col min="6" max="6" width="22.44140625" style="11" customWidth="1"/>
    <col min="7" max="7" width="26.5546875" style="11" customWidth="1"/>
    <col min="8" max="8" width="23.109375" style="1" customWidth="1"/>
    <col min="9" max="9" width="16" style="1" customWidth="1"/>
    <col min="10" max="10" width="27" style="39" customWidth="1"/>
    <col min="11" max="11" width="22" style="5" customWidth="1"/>
    <col min="12" max="12" width="17.109375" style="1" customWidth="1"/>
    <col min="13" max="13" width="26.109375" style="1" customWidth="1"/>
    <col min="14" max="14" width="24.88671875" style="18" customWidth="1"/>
    <col min="15" max="15" width="28.5546875" style="18" customWidth="1"/>
    <col min="16" max="17" width="24" style="106" customWidth="1"/>
    <col min="18" max="18" width="22.88671875" style="12" customWidth="1"/>
    <col min="19" max="19" width="16" style="1" customWidth="1"/>
    <col min="20" max="20" width="14.44140625" style="23" customWidth="1"/>
    <col min="21" max="21" width="36" style="3" bestFit="1" customWidth="1"/>
    <col min="22" max="22" width="19.88671875" style="21" bestFit="1" customWidth="1"/>
    <col min="23" max="23" width="20.109375" style="21" bestFit="1" customWidth="1"/>
    <col min="24" max="24" width="16" style="21" customWidth="1"/>
    <col min="25" max="25" width="20.44140625" style="21" bestFit="1" customWidth="1"/>
    <col min="26" max="27" width="20.109375" style="21" customWidth="1"/>
    <col min="28" max="28" width="20.109375" style="21" bestFit="1" customWidth="1"/>
    <col min="29" max="29" width="20.44140625" style="21" bestFit="1" customWidth="1"/>
    <col min="30" max="30" width="32" style="21" customWidth="1"/>
    <col min="31" max="31" width="20.5546875" style="21" bestFit="1" customWidth="1"/>
    <col min="32" max="32" width="32" style="21" customWidth="1"/>
    <col min="33" max="33" width="18.5546875" style="21" bestFit="1" customWidth="1"/>
    <col min="34" max="34" width="32.109375" style="21" customWidth="1"/>
    <col min="35" max="35" width="18" style="21" customWidth="1"/>
    <col min="36" max="36" width="13.5546875" style="21" customWidth="1"/>
    <col min="37" max="37" width="13.44140625" style="21" customWidth="1"/>
    <col min="38" max="38" width="20.109375" style="21" customWidth="1"/>
    <col min="39" max="39" width="18" style="21" customWidth="1"/>
    <col min="40" max="40" width="20.109375" style="21" customWidth="1"/>
    <col min="41" max="41" width="18" style="21" customWidth="1"/>
    <col min="42" max="42" width="20.109375" style="21" customWidth="1"/>
    <col min="43" max="43" width="18" style="21" customWidth="1"/>
    <col min="44" max="44" width="13.5546875" style="21" customWidth="1"/>
    <col min="45" max="45" width="13.44140625" style="21" customWidth="1"/>
    <col min="46" max="46" width="20.109375" style="21" customWidth="1"/>
    <col min="47" max="47" width="18" style="21" customWidth="1"/>
    <col min="48" max="48" width="13.5546875" style="21" customWidth="1"/>
    <col min="49" max="49" width="13.44140625" style="21" customWidth="1"/>
    <col min="50" max="50" width="22.109375" style="21" bestFit="1" customWidth="1"/>
    <col min="51" max="51" width="21.88671875" style="21" customWidth="1"/>
    <col min="52" max="52" width="29.44140625" style="8" customWidth="1"/>
    <col min="53" max="53" width="26" style="4" customWidth="1"/>
    <col min="54" max="54" width="17" style="2" customWidth="1"/>
    <col min="55" max="55" width="20.109375" customWidth="1"/>
    <col min="56" max="56" width="23" customWidth="1"/>
    <col min="57" max="57" width="19.88671875" style="21" customWidth="1"/>
    <col min="58" max="58" width="17.44140625" customWidth="1"/>
    <col min="59" max="59" width="23.44140625" style="24" customWidth="1"/>
    <col min="60" max="60" width="23.5546875" style="13" customWidth="1"/>
    <col min="61" max="61" width="48.33203125" style="17" bestFit="1" customWidth="1"/>
    <col min="63" max="63" width="14.33203125" customWidth="1"/>
  </cols>
  <sheetData>
    <row r="1" spans="1:705" ht="33.6" x14ac:dyDescent="0.3">
      <c r="A1" s="279" t="s">
        <v>68</v>
      </c>
      <c r="B1" s="280"/>
      <c r="C1" s="280"/>
      <c r="D1" s="280"/>
      <c r="E1" s="280"/>
      <c r="F1" s="280"/>
      <c r="G1" s="280"/>
      <c r="H1" s="280"/>
      <c r="I1" s="280"/>
      <c r="J1" s="281"/>
      <c r="K1" s="280"/>
      <c r="L1" s="280"/>
      <c r="M1" s="280"/>
      <c r="N1" s="280"/>
      <c r="O1" s="281"/>
      <c r="P1" s="280"/>
      <c r="Q1" s="280"/>
      <c r="R1" s="280"/>
      <c r="S1" s="280"/>
      <c r="T1" s="282"/>
      <c r="U1" s="280"/>
      <c r="V1" s="282"/>
      <c r="W1" s="282"/>
      <c r="X1" s="282"/>
      <c r="Y1" s="282"/>
      <c r="Z1" s="282"/>
      <c r="AA1" s="282"/>
      <c r="AB1" s="282"/>
      <c r="AC1" s="282"/>
      <c r="AD1" s="282"/>
      <c r="AE1" s="282"/>
      <c r="AF1" s="282"/>
      <c r="AG1" s="282"/>
      <c r="AH1" s="282"/>
      <c r="AI1" s="282"/>
      <c r="AJ1" s="282"/>
      <c r="AK1" s="282"/>
      <c r="AL1" s="282"/>
      <c r="AM1" s="282"/>
      <c r="AN1" s="282"/>
      <c r="AO1" s="282"/>
      <c r="AP1" s="282"/>
      <c r="AQ1" s="282"/>
      <c r="AR1" s="282"/>
      <c r="AS1" s="282"/>
      <c r="AT1" s="282"/>
      <c r="AU1" s="282"/>
      <c r="AV1" s="282"/>
      <c r="AW1" s="282"/>
      <c r="AX1" s="282"/>
      <c r="AY1" s="282"/>
      <c r="AZ1" s="280"/>
      <c r="BA1" s="280"/>
      <c r="BB1" s="280"/>
      <c r="BC1" s="280"/>
      <c r="BD1" s="280"/>
      <c r="BE1" s="280"/>
      <c r="BF1" s="280"/>
      <c r="BG1" s="280"/>
      <c r="BH1" s="280"/>
      <c r="BI1" s="283"/>
    </row>
    <row r="2" spans="1:705" ht="46.2" customHeight="1" x14ac:dyDescent="0.3">
      <c r="A2" s="256" t="s">
        <v>62</v>
      </c>
      <c r="B2" s="256" t="s">
        <v>44</v>
      </c>
      <c r="C2" s="256" t="s">
        <v>21</v>
      </c>
      <c r="D2" s="256" t="s">
        <v>22</v>
      </c>
      <c r="E2" s="256" t="s">
        <v>26</v>
      </c>
      <c r="F2" s="256" t="s">
        <v>63</v>
      </c>
      <c r="G2" s="256" t="s">
        <v>27</v>
      </c>
      <c r="H2" s="256" t="s">
        <v>31</v>
      </c>
      <c r="I2" s="256" t="s">
        <v>61</v>
      </c>
      <c r="J2" s="256" t="s">
        <v>60</v>
      </c>
      <c r="K2" s="256" t="s">
        <v>30</v>
      </c>
      <c r="L2" s="256" t="s">
        <v>23</v>
      </c>
      <c r="M2" s="256" t="s">
        <v>49</v>
      </c>
      <c r="N2" s="266" t="s">
        <v>24</v>
      </c>
      <c r="O2" s="266" t="s">
        <v>50</v>
      </c>
      <c r="P2" s="259" t="s">
        <v>64</v>
      </c>
      <c r="Q2" s="259" t="s">
        <v>322</v>
      </c>
      <c r="R2" s="256" t="s">
        <v>45</v>
      </c>
      <c r="S2" s="256" t="s">
        <v>25</v>
      </c>
      <c r="T2" s="269" t="s">
        <v>74</v>
      </c>
      <c r="U2" s="256" t="s">
        <v>20</v>
      </c>
      <c r="V2" s="264" t="s">
        <v>51</v>
      </c>
      <c r="W2" s="265"/>
      <c r="X2" s="264" t="s">
        <v>69</v>
      </c>
      <c r="Y2" s="265"/>
      <c r="Z2" s="264" t="s">
        <v>52</v>
      </c>
      <c r="AA2" s="265"/>
      <c r="AB2" s="264" t="s">
        <v>53</v>
      </c>
      <c r="AC2" s="265"/>
      <c r="AD2" s="264" t="s">
        <v>72</v>
      </c>
      <c r="AE2" s="265"/>
      <c r="AF2" s="264" t="s">
        <v>70</v>
      </c>
      <c r="AG2" s="265"/>
      <c r="AH2" s="264" t="s">
        <v>73</v>
      </c>
      <c r="AI2" s="265"/>
      <c r="AJ2" s="264" t="s">
        <v>54</v>
      </c>
      <c r="AK2" s="265"/>
      <c r="AL2" s="264" t="s">
        <v>55</v>
      </c>
      <c r="AM2" s="265"/>
      <c r="AN2" s="264" t="s">
        <v>56</v>
      </c>
      <c r="AO2" s="265"/>
      <c r="AP2" s="264" t="s">
        <v>57</v>
      </c>
      <c r="AQ2" s="265"/>
      <c r="AR2" s="264" t="s">
        <v>58</v>
      </c>
      <c r="AS2" s="265"/>
      <c r="AT2" s="264" t="s">
        <v>71</v>
      </c>
      <c r="AU2" s="265"/>
      <c r="AV2" s="264" t="s">
        <v>59</v>
      </c>
      <c r="AW2" s="265"/>
      <c r="AX2" s="264" t="s">
        <v>14</v>
      </c>
      <c r="AY2" s="265"/>
      <c r="AZ2" s="286" t="s">
        <v>40</v>
      </c>
      <c r="BA2" s="277" t="s">
        <v>28</v>
      </c>
      <c r="BB2" s="277" t="s">
        <v>29</v>
      </c>
      <c r="BC2" s="277" t="s">
        <v>19</v>
      </c>
      <c r="BD2" s="277" t="s">
        <v>18</v>
      </c>
      <c r="BE2" s="284" t="s">
        <v>16</v>
      </c>
      <c r="BF2" s="277" t="s">
        <v>17</v>
      </c>
      <c r="BG2" s="274" t="s">
        <v>42</v>
      </c>
      <c r="BH2" s="277" t="s">
        <v>43</v>
      </c>
      <c r="BI2" s="272" t="s">
        <v>40</v>
      </c>
    </row>
    <row r="3" spans="1:705" ht="18" customHeight="1" x14ac:dyDescent="0.3">
      <c r="A3" s="257"/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67"/>
      <c r="O3" s="267"/>
      <c r="P3" s="260"/>
      <c r="Q3" s="260"/>
      <c r="R3" s="257"/>
      <c r="S3" s="257"/>
      <c r="T3" s="270"/>
      <c r="U3" s="257"/>
      <c r="V3" s="262" t="s">
        <v>0</v>
      </c>
      <c r="W3" s="263"/>
      <c r="X3" s="262" t="s">
        <v>1</v>
      </c>
      <c r="Y3" s="263"/>
      <c r="Z3" s="262" t="s">
        <v>2</v>
      </c>
      <c r="AA3" s="263"/>
      <c r="AB3" s="262" t="s">
        <v>3</v>
      </c>
      <c r="AC3" s="263"/>
      <c r="AD3" s="262" t="s">
        <v>309</v>
      </c>
      <c r="AE3" s="263"/>
      <c r="AF3" s="262" t="s">
        <v>310</v>
      </c>
      <c r="AG3" s="263"/>
      <c r="AH3" s="276" t="s">
        <v>4</v>
      </c>
      <c r="AI3" s="263"/>
      <c r="AJ3" s="262" t="s">
        <v>5</v>
      </c>
      <c r="AK3" s="263"/>
      <c r="AL3" s="262" t="s">
        <v>6</v>
      </c>
      <c r="AM3" s="263"/>
      <c r="AN3" s="262" t="s">
        <v>7</v>
      </c>
      <c r="AO3" s="263"/>
      <c r="AP3" s="262" t="s">
        <v>8</v>
      </c>
      <c r="AQ3" s="263"/>
      <c r="AR3" s="262" t="s">
        <v>9</v>
      </c>
      <c r="AS3" s="263"/>
      <c r="AT3" s="262" t="s">
        <v>10</v>
      </c>
      <c r="AU3" s="263"/>
      <c r="AV3" s="262" t="s">
        <v>11</v>
      </c>
      <c r="AW3" s="263"/>
      <c r="AX3" s="284" t="s">
        <v>12</v>
      </c>
      <c r="AY3" s="284" t="s">
        <v>15</v>
      </c>
      <c r="AZ3" s="287"/>
      <c r="BA3" s="278"/>
      <c r="BB3" s="278"/>
      <c r="BC3" s="278"/>
      <c r="BD3" s="278"/>
      <c r="BE3" s="285"/>
      <c r="BF3" s="278"/>
      <c r="BG3" s="275"/>
      <c r="BH3" s="278"/>
      <c r="BI3" s="273"/>
    </row>
    <row r="4" spans="1:705" x14ac:dyDescent="0.3">
      <c r="A4" s="258"/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68"/>
      <c r="O4" s="268"/>
      <c r="P4" s="261"/>
      <c r="Q4" s="261"/>
      <c r="R4" s="258"/>
      <c r="S4" s="258"/>
      <c r="T4" s="271"/>
      <c r="U4" s="258"/>
      <c r="V4" s="40" t="s">
        <v>12</v>
      </c>
      <c r="W4" s="40" t="s">
        <v>13</v>
      </c>
      <c r="X4" s="40" t="s">
        <v>12</v>
      </c>
      <c r="Y4" s="40" t="s">
        <v>13</v>
      </c>
      <c r="Z4" s="40" t="s">
        <v>12</v>
      </c>
      <c r="AA4" s="40" t="s">
        <v>13</v>
      </c>
      <c r="AB4" s="40" t="s">
        <v>12</v>
      </c>
      <c r="AC4" s="40" t="s">
        <v>13</v>
      </c>
      <c r="AD4" s="40" t="s">
        <v>12</v>
      </c>
      <c r="AE4" s="40" t="s">
        <v>13</v>
      </c>
      <c r="AF4" s="40" t="s">
        <v>12</v>
      </c>
      <c r="AG4" s="40" t="s">
        <v>13</v>
      </c>
      <c r="AH4" s="40" t="s">
        <v>12</v>
      </c>
      <c r="AI4" s="40" t="s">
        <v>13</v>
      </c>
      <c r="AJ4" s="40" t="s">
        <v>12</v>
      </c>
      <c r="AK4" s="40" t="s">
        <v>13</v>
      </c>
      <c r="AL4" s="40" t="s">
        <v>12</v>
      </c>
      <c r="AM4" s="40" t="s">
        <v>13</v>
      </c>
      <c r="AN4" s="40" t="s">
        <v>12</v>
      </c>
      <c r="AO4" s="40" t="s">
        <v>13</v>
      </c>
      <c r="AP4" s="40" t="s">
        <v>12</v>
      </c>
      <c r="AQ4" s="40" t="s">
        <v>13</v>
      </c>
      <c r="AR4" s="40" t="s">
        <v>12</v>
      </c>
      <c r="AS4" s="40" t="s">
        <v>13</v>
      </c>
      <c r="AT4" s="40" t="s">
        <v>12</v>
      </c>
      <c r="AU4" s="40" t="s">
        <v>13</v>
      </c>
      <c r="AV4" s="40" t="s">
        <v>12</v>
      </c>
      <c r="AW4" s="40" t="s">
        <v>13</v>
      </c>
      <c r="AX4" s="285"/>
      <c r="AY4" s="285"/>
      <c r="AZ4" s="287"/>
      <c r="BA4" s="278"/>
      <c r="BB4" s="278"/>
      <c r="BC4" s="278"/>
      <c r="BD4" s="278"/>
      <c r="BE4" s="285"/>
      <c r="BF4" s="278"/>
      <c r="BG4" s="275"/>
      <c r="BH4" s="278"/>
      <c r="BI4" s="273"/>
    </row>
    <row r="5" spans="1:705" s="41" customFormat="1" ht="40.950000000000003" hidden="1" customHeight="1" x14ac:dyDescent="0.3">
      <c r="A5" s="26">
        <v>1</v>
      </c>
      <c r="B5" s="137">
        <v>239462</v>
      </c>
      <c r="C5" s="138">
        <v>1</v>
      </c>
      <c r="D5" s="139">
        <v>45907</v>
      </c>
      <c r="E5" s="139">
        <f t="shared" ref="E5:E38" si="0">D5-1</f>
        <v>45906</v>
      </c>
      <c r="F5" s="139">
        <f t="shared" ref="F5:F36" si="1">D5+10</f>
        <v>45917</v>
      </c>
      <c r="G5" s="139">
        <v>45917</v>
      </c>
      <c r="H5" s="139">
        <v>45930</v>
      </c>
      <c r="I5" s="139" t="s">
        <v>75</v>
      </c>
      <c r="J5" s="140" t="s">
        <v>76</v>
      </c>
      <c r="K5" s="141">
        <f t="shared" ref="K5:K38" si="2">H5-F5</f>
        <v>13</v>
      </c>
      <c r="L5" s="141">
        <v>1140013</v>
      </c>
      <c r="M5" s="140" t="s">
        <v>15</v>
      </c>
      <c r="N5" s="140" t="s">
        <v>251</v>
      </c>
      <c r="O5" s="140" t="s">
        <v>251</v>
      </c>
      <c r="P5" s="143" t="s">
        <v>213</v>
      </c>
      <c r="Q5" s="143" t="s">
        <v>213</v>
      </c>
      <c r="R5" s="137" t="s">
        <v>211</v>
      </c>
      <c r="S5" s="144" t="s">
        <v>78</v>
      </c>
      <c r="T5" s="145">
        <v>1</v>
      </c>
      <c r="U5" s="137" t="s">
        <v>79</v>
      </c>
      <c r="V5" s="146">
        <v>0</v>
      </c>
      <c r="W5" s="146">
        <v>0</v>
      </c>
      <c r="X5" s="147">
        <v>0</v>
      </c>
      <c r="Y5" s="146">
        <v>0</v>
      </c>
      <c r="Z5" s="146">
        <v>0</v>
      </c>
      <c r="AA5" s="146">
        <v>0</v>
      </c>
      <c r="AB5" s="146">
        <v>0</v>
      </c>
      <c r="AC5" s="146"/>
      <c r="AD5" s="146">
        <v>0</v>
      </c>
      <c r="AE5" s="146">
        <v>0</v>
      </c>
      <c r="AF5" s="146">
        <v>0</v>
      </c>
      <c r="AG5" s="146">
        <v>0</v>
      </c>
      <c r="AH5" s="146">
        <v>1</v>
      </c>
      <c r="AI5" s="146">
        <v>1</v>
      </c>
      <c r="AJ5" s="146">
        <v>0</v>
      </c>
      <c r="AK5" s="146">
        <v>0</v>
      </c>
      <c r="AL5" s="146"/>
      <c r="AM5" s="146"/>
      <c r="AN5" s="146">
        <v>0</v>
      </c>
      <c r="AO5" s="146"/>
      <c r="AP5" s="146">
        <v>0</v>
      </c>
      <c r="AQ5" s="146"/>
      <c r="AR5" s="146">
        <v>0</v>
      </c>
      <c r="AS5" s="146">
        <v>0</v>
      </c>
      <c r="AT5" s="146">
        <v>1</v>
      </c>
      <c r="AU5" s="146">
        <v>1</v>
      </c>
      <c r="AV5" s="146">
        <v>0</v>
      </c>
      <c r="AW5" s="146">
        <v>0</v>
      </c>
      <c r="AX5" s="146">
        <f t="shared" ref="AX5:AX36" si="3">(V5*60)+(X5*80)+(Z5*38)+(AB5*57)+(AD5*75)+(AF5*155)+(AH5*170)+(AJ5*375)+(AL5*590)+(AN5*60)+(AP5*630)+(AR5*400)+(AT5*350)+(AV5*950)</f>
        <v>520</v>
      </c>
      <c r="AY5" s="146">
        <f t="shared" ref="AY5:AY36" si="4">(W5*60)+(Y5*80)+(AA5*38)+(AC5*57)+(AE5*75)+(AG5*155)+(AI5*170)+(AK5*375)+(AM5*590)+(AO5*60)+(AQ5*630)+(AS5*400)+(AU5*350)+(AW5*950)</f>
        <v>520</v>
      </c>
      <c r="AZ5" s="140" t="s">
        <v>562</v>
      </c>
      <c r="BA5" s="140" t="s">
        <v>562</v>
      </c>
      <c r="BB5" s="137">
        <v>5</v>
      </c>
      <c r="BC5" s="148">
        <v>1</v>
      </c>
      <c r="BD5" s="149"/>
      <c r="BE5" s="145"/>
      <c r="BF5" s="150"/>
      <c r="BG5" s="151">
        <v>45901</v>
      </c>
      <c r="BH5" s="153" t="s">
        <v>15</v>
      </c>
      <c r="BI5" s="153" t="s">
        <v>562</v>
      </c>
    </row>
    <row r="6" spans="1:705" s="41" customFormat="1" ht="42" hidden="1" x14ac:dyDescent="0.3">
      <c r="A6" s="26">
        <v>2</v>
      </c>
      <c r="B6" s="137">
        <v>239463</v>
      </c>
      <c r="C6" s="138">
        <v>2</v>
      </c>
      <c r="D6" s="139">
        <v>45907</v>
      </c>
      <c r="E6" s="139">
        <f t="shared" si="0"/>
        <v>45906</v>
      </c>
      <c r="F6" s="139">
        <f t="shared" si="1"/>
        <v>45917</v>
      </c>
      <c r="G6" s="139">
        <v>45917</v>
      </c>
      <c r="H6" s="139">
        <v>45925</v>
      </c>
      <c r="I6" s="139" t="s">
        <v>75</v>
      </c>
      <c r="J6" s="140" t="s">
        <v>85</v>
      </c>
      <c r="K6" s="141">
        <f t="shared" si="2"/>
        <v>8</v>
      </c>
      <c r="L6" s="141">
        <v>1140015</v>
      </c>
      <c r="M6" s="140" t="s">
        <v>15</v>
      </c>
      <c r="N6" s="140">
        <v>803226</v>
      </c>
      <c r="O6" s="140" t="s">
        <v>246</v>
      </c>
      <c r="P6" s="143">
        <v>45918</v>
      </c>
      <c r="Q6" s="143">
        <v>45933</v>
      </c>
      <c r="R6" s="137" t="s">
        <v>211</v>
      </c>
      <c r="S6" s="144" t="s">
        <v>80</v>
      </c>
      <c r="T6" s="145">
        <v>1</v>
      </c>
      <c r="U6" s="137" t="s">
        <v>81</v>
      </c>
      <c r="V6" s="146">
        <v>4</v>
      </c>
      <c r="W6" s="146">
        <v>4</v>
      </c>
      <c r="X6" s="147">
        <v>0</v>
      </c>
      <c r="Y6" s="146">
        <v>0</v>
      </c>
      <c r="Z6" s="146">
        <v>0</v>
      </c>
      <c r="AA6" s="146">
        <v>0</v>
      </c>
      <c r="AB6" s="146">
        <v>4</v>
      </c>
      <c r="AC6" s="146">
        <v>4</v>
      </c>
      <c r="AD6" s="146">
        <v>0</v>
      </c>
      <c r="AE6" s="146">
        <v>0</v>
      </c>
      <c r="AF6" s="146">
        <v>0</v>
      </c>
      <c r="AG6" s="146">
        <v>0</v>
      </c>
      <c r="AH6" s="146">
        <v>1</v>
      </c>
      <c r="AI6" s="146">
        <v>1</v>
      </c>
      <c r="AJ6" s="146">
        <v>0</v>
      </c>
      <c r="AK6" s="146">
        <v>0</v>
      </c>
      <c r="AL6" s="146">
        <v>0</v>
      </c>
      <c r="AM6" s="146"/>
      <c r="AN6" s="146">
        <v>1</v>
      </c>
      <c r="AO6" s="146">
        <v>1</v>
      </c>
      <c r="AP6" s="146">
        <v>1</v>
      </c>
      <c r="AQ6" s="146">
        <v>1</v>
      </c>
      <c r="AR6" s="146">
        <v>0</v>
      </c>
      <c r="AS6" s="146">
        <v>0</v>
      </c>
      <c r="AT6" s="146">
        <v>1</v>
      </c>
      <c r="AU6" s="146">
        <v>1</v>
      </c>
      <c r="AV6" s="146">
        <v>0</v>
      </c>
      <c r="AW6" s="146">
        <v>0</v>
      </c>
      <c r="AX6" s="146">
        <f t="shared" si="3"/>
        <v>1678</v>
      </c>
      <c r="AY6" s="146">
        <f t="shared" si="4"/>
        <v>1678</v>
      </c>
      <c r="AZ6" s="140" t="s">
        <v>562</v>
      </c>
      <c r="BA6" s="140" t="s">
        <v>562</v>
      </c>
      <c r="BB6" s="140">
        <v>2</v>
      </c>
      <c r="BC6" s="148">
        <v>2</v>
      </c>
      <c r="BD6" s="149"/>
      <c r="BE6" s="145"/>
      <c r="BF6" s="150"/>
      <c r="BG6" s="151">
        <v>45901</v>
      </c>
      <c r="BH6" s="151" t="s">
        <v>15</v>
      </c>
      <c r="BI6" s="137" t="s">
        <v>562</v>
      </c>
    </row>
    <row r="7" spans="1:705" s="41" customFormat="1" ht="42" hidden="1" x14ac:dyDescent="0.3">
      <c r="A7" s="26">
        <v>3</v>
      </c>
      <c r="B7" s="141">
        <v>239464</v>
      </c>
      <c r="C7" s="138">
        <v>3</v>
      </c>
      <c r="D7" s="139">
        <v>45907</v>
      </c>
      <c r="E7" s="139">
        <f t="shared" si="0"/>
        <v>45906</v>
      </c>
      <c r="F7" s="139">
        <f t="shared" si="1"/>
        <v>45917</v>
      </c>
      <c r="G7" s="139">
        <v>45917</v>
      </c>
      <c r="H7" s="139">
        <v>45916</v>
      </c>
      <c r="I7" s="139" t="s">
        <v>75</v>
      </c>
      <c r="J7" s="140" t="s">
        <v>83</v>
      </c>
      <c r="K7" s="141">
        <f t="shared" si="2"/>
        <v>-1</v>
      </c>
      <c r="L7" s="141">
        <v>1140038</v>
      </c>
      <c r="M7" s="140" t="s">
        <v>15</v>
      </c>
      <c r="N7" s="140">
        <v>802824</v>
      </c>
      <c r="O7" s="140" t="s">
        <v>246</v>
      </c>
      <c r="P7" s="143">
        <v>45914</v>
      </c>
      <c r="Q7" s="143">
        <v>45928</v>
      </c>
      <c r="R7" s="137" t="s">
        <v>211</v>
      </c>
      <c r="S7" s="144" t="s">
        <v>84</v>
      </c>
      <c r="T7" s="145">
        <v>1</v>
      </c>
      <c r="U7" s="137" t="s">
        <v>82</v>
      </c>
      <c r="V7" s="146">
        <v>9</v>
      </c>
      <c r="W7" s="146">
        <v>9</v>
      </c>
      <c r="X7" s="147">
        <v>0</v>
      </c>
      <c r="Y7" s="146">
        <v>0</v>
      </c>
      <c r="Z7" s="146">
        <v>0</v>
      </c>
      <c r="AA7" s="146">
        <v>0</v>
      </c>
      <c r="AB7" s="146">
        <v>8</v>
      </c>
      <c r="AC7" s="146">
        <v>8</v>
      </c>
      <c r="AD7" s="146">
        <v>0</v>
      </c>
      <c r="AE7" s="146">
        <v>0</v>
      </c>
      <c r="AF7" s="146">
        <v>0</v>
      </c>
      <c r="AG7" s="146">
        <v>0</v>
      </c>
      <c r="AH7" s="146">
        <v>1</v>
      </c>
      <c r="AI7" s="146">
        <v>1</v>
      </c>
      <c r="AJ7" s="146">
        <v>0</v>
      </c>
      <c r="AK7" s="146">
        <v>0</v>
      </c>
      <c r="AL7" s="146">
        <v>0</v>
      </c>
      <c r="AM7" s="146">
        <v>0</v>
      </c>
      <c r="AN7" s="146">
        <v>1</v>
      </c>
      <c r="AO7" s="146">
        <v>1</v>
      </c>
      <c r="AP7" s="146">
        <v>1</v>
      </c>
      <c r="AQ7" s="146">
        <v>1</v>
      </c>
      <c r="AR7" s="146">
        <v>0</v>
      </c>
      <c r="AS7" s="146">
        <v>0</v>
      </c>
      <c r="AT7" s="146">
        <v>1</v>
      </c>
      <c r="AU7" s="146">
        <v>1</v>
      </c>
      <c r="AV7" s="146">
        <v>0</v>
      </c>
      <c r="AW7" s="146">
        <v>0</v>
      </c>
      <c r="AX7" s="146">
        <f t="shared" si="3"/>
        <v>2206</v>
      </c>
      <c r="AY7" s="146">
        <f t="shared" si="4"/>
        <v>2206</v>
      </c>
      <c r="AZ7" s="140" t="s">
        <v>562</v>
      </c>
      <c r="BA7" s="140" t="s">
        <v>562</v>
      </c>
      <c r="BB7" s="140">
        <v>1</v>
      </c>
      <c r="BC7" s="148">
        <v>3</v>
      </c>
      <c r="BD7" s="149"/>
      <c r="BE7" s="145"/>
      <c r="BF7" s="150"/>
      <c r="BG7" s="151">
        <v>45901</v>
      </c>
      <c r="BH7" s="151" t="s">
        <v>15</v>
      </c>
      <c r="BI7" s="140" t="s">
        <v>562</v>
      </c>
    </row>
    <row r="8" spans="1:705" s="41" customFormat="1" ht="42" hidden="1" x14ac:dyDescent="0.3">
      <c r="A8" s="26">
        <v>4</v>
      </c>
      <c r="B8" s="137">
        <v>239465</v>
      </c>
      <c r="C8" s="138">
        <v>4</v>
      </c>
      <c r="D8" s="139">
        <v>45907</v>
      </c>
      <c r="E8" s="139">
        <f t="shared" si="0"/>
        <v>45906</v>
      </c>
      <c r="F8" s="139">
        <f t="shared" si="1"/>
        <v>45917</v>
      </c>
      <c r="G8" s="139">
        <v>45917</v>
      </c>
      <c r="H8" s="139">
        <v>45917</v>
      </c>
      <c r="I8" s="139" t="s">
        <v>75</v>
      </c>
      <c r="J8" s="140" t="s">
        <v>86</v>
      </c>
      <c r="K8" s="141">
        <f t="shared" si="2"/>
        <v>0</v>
      </c>
      <c r="L8" s="142">
        <v>1140052</v>
      </c>
      <c r="M8" s="140" t="s">
        <v>15</v>
      </c>
      <c r="N8" s="140">
        <v>802825</v>
      </c>
      <c r="O8" s="140" t="s">
        <v>246</v>
      </c>
      <c r="P8" s="143">
        <v>45913</v>
      </c>
      <c r="Q8" s="143">
        <v>45929</v>
      </c>
      <c r="R8" s="137" t="s">
        <v>211</v>
      </c>
      <c r="S8" s="144" t="s">
        <v>88</v>
      </c>
      <c r="T8" s="145">
        <v>1</v>
      </c>
      <c r="U8" s="137" t="s">
        <v>87</v>
      </c>
      <c r="V8" s="146">
        <v>8</v>
      </c>
      <c r="W8" s="146">
        <v>8</v>
      </c>
      <c r="X8" s="147">
        <v>0</v>
      </c>
      <c r="Y8" s="146">
        <v>0</v>
      </c>
      <c r="Z8" s="146">
        <v>0</v>
      </c>
      <c r="AA8" s="146">
        <v>0</v>
      </c>
      <c r="AB8" s="146">
        <v>8</v>
      </c>
      <c r="AC8" s="146">
        <v>8</v>
      </c>
      <c r="AD8" s="146">
        <v>0</v>
      </c>
      <c r="AE8" s="146">
        <v>0</v>
      </c>
      <c r="AF8" s="146">
        <v>0</v>
      </c>
      <c r="AG8" s="146">
        <v>0</v>
      </c>
      <c r="AH8" s="146">
        <v>1</v>
      </c>
      <c r="AI8" s="146">
        <v>1</v>
      </c>
      <c r="AJ8" s="146">
        <v>0</v>
      </c>
      <c r="AK8" s="146">
        <v>0</v>
      </c>
      <c r="AL8" s="146">
        <v>0</v>
      </c>
      <c r="AM8" s="146">
        <v>0</v>
      </c>
      <c r="AN8" s="146">
        <v>1</v>
      </c>
      <c r="AO8" s="146">
        <v>1</v>
      </c>
      <c r="AP8" s="146">
        <v>1</v>
      </c>
      <c r="AQ8" s="146">
        <v>1</v>
      </c>
      <c r="AR8" s="146">
        <v>0</v>
      </c>
      <c r="AS8" s="146">
        <v>0</v>
      </c>
      <c r="AT8" s="146">
        <v>1</v>
      </c>
      <c r="AU8" s="146">
        <v>1</v>
      </c>
      <c r="AV8" s="146">
        <v>0</v>
      </c>
      <c r="AW8" s="146">
        <v>0</v>
      </c>
      <c r="AX8" s="146">
        <f t="shared" si="3"/>
        <v>2146</v>
      </c>
      <c r="AY8" s="146">
        <f t="shared" si="4"/>
        <v>2146</v>
      </c>
      <c r="AZ8" s="140" t="s">
        <v>562</v>
      </c>
      <c r="BA8" s="140" t="s">
        <v>562</v>
      </c>
      <c r="BB8" s="140">
        <v>1</v>
      </c>
      <c r="BC8" s="148">
        <v>4</v>
      </c>
      <c r="BD8" s="149"/>
      <c r="BE8" s="145"/>
      <c r="BF8" s="150"/>
      <c r="BG8" s="151">
        <v>45901</v>
      </c>
      <c r="BH8" s="151" t="s">
        <v>15</v>
      </c>
      <c r="BI8" s="140" t="s">
        <v>562</v>
      </c>
    </row>
    <row r="9" spans="1:705" s="41" customFormat="1" ht="42" hidden="1" x14ac:dyDescent="0.3">
      <c r="A9" s="26">
        <v>5</v>
      </c>
      <c r="B9" s="137">
        <v>239466</v>
      </c>
      <c r="C9" s="138">
        <v>5</v>
      </c>
      <c r="D9" s="139">
        <v>45907</v>
      </c>
      <c r="E9" s="139">
        <f t="shared" si="0"/>
        <v>45906</v>
      </c>
      <c r="F9" s="139">
        <f t="shared" si="1"/>
        <v>45917</v>
      </c>
      <c r="G9" s="139">
        <v>45917</v>
      </c>
      <c r="H9" s="139">
        <v>45916</v>
      </c>
      <c r="I9" s="139" t="s">
        <v>75</v>
      </c>
      <c r="J9" s="140" t="s">
        <v>89</v>
      </c>
      <c r="K9" s="141">
        <f t="shared" si="2"/>
        <v>-1</v>
      </c>
      <c r="L9" s="142">
        <v>1140094</v>
      </c>
      <c r="M9" s="140" t="s">
        <v>15</v>
      </c>
      <c r="N9" s="140">
        <v>802824</v>
      </c>
      <c r="O9" s="140" t="s">
        <v>246</v>
      </c>
      <c r="P9" s="143">
        <v>45914</v>
      </c>
      <c r="Q9" s="143">
        <v>45928</v>
      </c>
      <c r="R9" s="137" t="s">
        <v>211</v>
      </c>
      <c r="S9" s="144" t="s">
        <v>90</v>
      </c>
      <c r="T9" s="145">
        <v>1</v>
      </c>
      <c r="U9" s="137" t="s">
        <v>82</v>
      </c>
      <c r="V9" s="146">
        <v>8</v>
      </c>
      <c r="W9" s="146">
        <v>8</v>
      </c>
      <c r="X9" s="147">
        <v>0</v>
      </c>
      <c r="Y9" s="146">
        <v>0</v>
      </c>
      <c r="Z9" s="146">
        <v>0</v>
      </c>
      <c r="AA9" s="146">
        <v>0</v>
      </c>
      <c r="AB9" s="146">
        <v>8</v>
      </c>
      <c r="AC9" s="146">
        <v>8</v>
      </c>
      <c r="AD9" s="146">
        <v>0</v>
      </c>
      <c r="AE9" s="146">
        <v>0</v>
      </c>
      <c r="AF9" s="146">
        <v>0</v>
      </c>
      <c r="AG9" s="146">
        <v>0</v>
      </c>
      <c r="AH9" s="146">
        <v>1</v>
      </c>
      <c r="AI9" s="146">
        <v>1</v>
      </c>
      <c r="AJ9" s="146">
        <v>0</v>
      </c>
      <c r="AK9" s="146">
        <v>0</v>
      </c>
      <c r="AL9" s="146">
        <v>0</v>
      </c>
      <c r="AM9" s="146">
        <v>0</v>
      </c>
      <c r="AN9" s="146">
        <v>0</v>
      </c>
      <c r="AO9" s="146">
        <v>0</v>
      </c>
      <c r="AP9" s="146">
        <v>1</v>
      </c>
      <c r="AQ9" s="146">
        <v>1</v>
      </c>
      <c r="AR9" s="146">
        <v>0</v>
      </c>
      <c r="AS9" s="146">
        <v>0</v>
      </c>
      <c r="AT9" s="146">
        <v>1</v>
      </c>
      <c r="AU9" s="146">
        <v>1</v>
      </c>
      <c r="AV9" s="146">
        <v>0</v>
      </c>
      <c r="AW9" s="146">
        <v>0</v>
      </c>
      <c r="AX9" s="146">
        <f t="shared" si="3"/>
        <v>2086</v>
      </c>
      <c r="AY9" s="146">
        <f t="shared" si="4"/>
        <v>2086</v>
      </c>
      <c r="AZ9" s="140" t="s">
        <v>562</v>
      </c>
      <c r="BA9" s="140" t="s">
        <v>562</v>
      </c>
      <c r="BB9" s="140">
        <v>1</v>
      </c>
      <c r="BC9" s="148">
        <v>5</v>
      </c>
      <c r="BD9" s="149"/>
      <c r="BE9" s="145"/>
      <c r="BF9" s="150"/>
      <c r="BG9" s="151">
        <v>45901</v>
      </c>
      <c r="BH9" s="151" t="s">
        <v>15</v>
      </c>
      <c r="BI9" s="140" t="s">
        <v>562</v>
      </c>
    </row>
    <row r="10" spans="1:705" s="41" customFormat="1" ht="21" hidden="1" x14ac:dyDescent="0.3">
      <c r="A10" s="26">
        <v>6</v>
      </c>
      <c r="B10" s="137">
        <v>239467</v>
      </c>
      <c r="C10" s="138">
        <v>6</v>
      </c>
      <c r="D10" s="139">
        <v>45907</v>
      </c>
      <c r="E10" s="139">
        <f t="shared" si="0"/>
        <v>45906</v>
      </c>
      <c r="F10" s="139">
        <f t="shared" si="1"/>
        <v>45917</v>
      </c>
      <c r="G10" s="139">
        <v>45917</v>
      </c>
      <c r="H10" s="139">
        <v>45921</v>
      </c>
      <c r="I10" s="139" t="s">
        <v>75</v>
      </c>
      <c r="J10" s="140" t="s">
        <v>91</v>
      </c>
      <c r="K10" s="141">
        <f t="shared" si="2"/>
        <v>4</v>
      </c>
      <c r="L10" s="142">
        <v>1140107</v>
      </c>
      <c r="M10" s="140" t="s">
        <v>15</v>
      </c>
      <c r="N10" s="140">
        <v>803227</v>
      </c>
      <c r="O10" s="140" t="s">
        <v>246</v>
      </c>
      <c r="P10" s="143">
        <v>45917</v>
      </c>
      <c r="Q10" s="143">
        <v>45932</v>
      </c>
      <c r="R10" s="137" t="s">
        <v>211</v>
      </c>
      <c r="S10" s="144" t="s">
        <v>93</v>
      </c>
      <c r="T10" s="145">
        <v>1</v>
      </c>
      <c r="U10" s="137" t="s">
        <v>92</v>
      </c>
      <c r="V10" s="146">
        <v>5</v>
      </c>
      <c r="W10" s="146">
        <v>5</v>
      </c>
      <c r="X10" s="147">
        <v>0</v>
      </c>
      <c r="Y10" s="146">
        <v>0</v>
      </c>
      <c r="Z10" s="146">
        <v>0</v>
      </c>
      <c r="AA10" s="146">
        <v>0</v>
      </c>
      <c r="AB10" s="146">
        <v>5</v>
      </c>
      <c r="AC10" s="146">
        <v>5</v>
      </c>
      <c r="AD10" s="146">
        <v>0</v>
      </c>
      <c r="AE10" s="146">
        <v>0</v>
      </c>
      <c r="AF10" s="146">
        <v>0</v>
      </c>
      <c r="AG10" s="146">
        <v>0</v>
      </c>
      <c r="AH10" s="146">
        <v>1</v>
      </c>
      <c r="AI10" s="146">
        <v>1</v>
      </c>
      <c r="AJ10" s="146">
        <v>0</v>
      </c>
      <c r="AK10" s="146">
        <v>0</v>
      </c>
      <c r="AL10" s="146">
        <v>0</v>
      </c>
      <c r="AM10" s="146">
        <v>0</v>
      </c>
      <c r="AN10" s="146">
        <v>0</v>
      </c>
      <c r="AO10" s="146">
        <v>0</v>
      </c>
      <c r="AP10" s="146">
        <v>1</v>
      </c>
      <c r="AQ10" s="146">
        <v>1</v>
      </c>
      <c r="AR10" s="146">
        <v>0</v>
      </c>
      <c r="AS10" s="146">
        <v>0</v>
      </c>
      <c r="AT10" s="146">
        <v>1</v>
      </c>
      <c r="AU10" s="146">
        <v>1</v>
      </c>
      <c r="AV10" s="146">
        <v>0</v>
      </c>
      <c r="AW10" s="146">
        <v>0</v>
      </c>
      <c r="AX10" s="146">
        <f t="shared" si="3"/>
        <v>1735</v>
      </c>
      <c r="AY10" s="146">
        <f t="shared" si="4"/>
        <v>1735</v>
      </c>
      <c r="AZ10" s="140" t="s">
        <v>562</v>
      </c>
      <c r="BA10" s="140" t="s">
        <v>562</v>
      </c>
      <c r="BB10" s="140">
        <v>3</v>
      </c>
      <c r="BC10" s="148">
        <v>6</v>
      </c>
      <c r="BD10" s="149"/>
      <c r="BE10" s="145"/>
      <c r="BF10" s="150"/>
      <c r="BG10" s="151">
        <v>45901</v>
      </c>
      <c r="BH10" s="151" t="s">
        <v>15</v>
      </c>
      <c r="BI10" s="140" t="s">
        <v>562</v>
      </c>
    </row>
    <row r="11" spans="1:705" s="41" customFormat="1" ht="42" hidden="1" x14ac:dyDescent="0.3">
      <c r="A11" s="26">
        <v>7</v>
      </c>
      <c r="B11" s="137">
        <v>239486</v>
      </c>
      <c r="C11" s="138">
        <v>7</v>
      </c>
      <c r="D11" s="139">
        <v>45907</v>
      </c>
      <c r="E11" s="139">
        <f t="shared" si="0"/>
        <v>45906</v>
      </c>
      <c r="F11" s="139">
        <f t="shared" si="1"/>
        <v>45917</v>
      </c>
      <c r="G11" s="139">
        <v>45917</v>
      </c>
      <c r="H11" s="139">
        <v>45916</v>
      </c>
      <c r="I11" s="139" t="s">
        <v>75</v>
      </c>
      <c r="J11" s="140" t="s">
        <v>94</v>
      </c>
      <c r="K11" s="141">
        <f t="shared" si="2"/>
        <v>-1</v>
      </c>
      <c r="L11" s="141">
        <v>1140402</v>
      </c>
      <c r="M11" s="140" t="s">
        <v>15</v>
      </c>
      <c r="N11" s="140">
        <v>802824</v>
      </c>
      <c r="O11" s="140" t="s">
        <v>246</v>
      </c>
      <c r="P11" s="143">
        <v>45914</v>
      </c>
      <c r="Q11" s="143">
        <v>45928</v>
      </c>
      <c r="R11" s="137" t="s">
        <v>211</v>
      </c>
      <c r="S11" s="144" t="s">
        <v>95</v>
      </c>
      <c r="T11" s="145">
        <v>1</v>
      </c>
      <c r="U11" s="137" t="s">
        <v>82</v>
      </c>
      <c r="V11" s="146">
        <v>29</v>
      </c>
      <c r="W11" s="146">
        <v>29</v>
      </c>
      <c r="X11" s="147"/>
      <c r="Y11" s="146"/>
      <c r="Z11" s="146"/>
      <c r="AA11" s="146"/>
      <c r="AB11" s="146">
        <v>29</v>
      </c>
      <c r="AC11" s="146">
        <v>29</v>
      </c>
      <c r="AD11" s="146">
        <v>0</v>
      </c>
      <c r="AE11" s="146">
        <v>0</v>
      </c>
      <c r="AF11" s="146">
        <v>0</v>
      </c>
      <c r="AG11" s="146">
        <v>0</v>
      </c>
      <c r="AH11" s="146">
        <v>1</v>
      </c>
      <c r="AI11" s="146">
        <v>1</v>
      </c>
      <c r="AJ11" s="146">
        <v>0</v>
      </c>
      <c r="AK11" s="146">
        <v>0</v>
      </c>
      <c r="AL11" s="146">
        <v>0</v>
      </c>
      <c r="AM11" s="146">
        <v>0</v>
      </c>
      <c r="AN11" s="146">
        <v>0</v>
      </c>
      <c r="AO11" s="146">
        <v>0</v>
      </c>
      <c r="AP11" s="146">
        <v>1</v>
      </c>
      <c r="AQ11" s="146">
        <v>1</v>
      </c>
      <c r="AR11" s="146"/>
      <c r="AS11" s="146"/>
      <c r="AT11" s="146">
        <v>1</v>
      </c>
      <c r="AU11" s="146">
        <v>1</v>
      </c>
      <c r="AV11" s="146">
        <v>0</v>
      </c>
      <c r="AW11" s="146">
        <v>0</v>
      </c>
      <c r="AX11" s="146">
        <f t="shared" si="3"/>
        <v>4543</v>
      </c>
      <c r="AY11" s="146">
        <f t="shared" si="4"/>
        <v>4543</v>
      </c>
      <c r="AZ11" s="140" t="s">
        <v>562</v>
      </c>
      <c r="BA11" s="140" t="s">
        <v>562</v>
      </c>
      <c r="BB11" s="140">
        <v>1</v>
      </c>
      <c r="BC11" s="148">
        <v>7</v>
      </c>
      <c r="BD11" s="149"/>
      <c r="BE11" s="145"/>
      <c r="BF11" s="150"/>
      <c r="BG11" s="151">
        <v>45901</v>
      </c>
      <c r="BH11" s="151" t="s">
        <v>15</v>
      </c>
      <c r="BI11" s="140" t="s">
        <v>562</v>
      </c>
    </row>
    <row r="12" spans="1:705" s="41" customFormat="1" ht="42" hidden="1" x14ac:dyDescent="0.3">
      <c r="A12" s="26">
        <v>8</v>
      </c>
      <c r="B12" s="137">
        <v>239473</v>
      </c>
      <c r="C12" s="138">
        <v>8</v>
      </c>
      <c r="D12" s="139">
        <v>45907</v>
      </c>
      <c r="E12" s="139">
        <f t="shared" si="0"/>
        <v>45906</v>
      </c>
      <c r="F12" s="139">
        <f t="shared" si="1"/>
        <v>45917</v>
      </c>
      <c r="G12" s="139">
        <v>45917</v>
      </c>
      <c r="H12" s="139">
        <v>45922</v>
      </c>
      <c r="I12" s="139" t="s">
        <v>75</v>
      </c>
      <c r="J12" s="140" t="s">
        <v>96</v>
      </c>
      <c r="K12" s="141">
        <f t="shared" si="2"/>
        <v>5</v>
      </c>
      <c r="L12" s="142">
        <v>1140358</v>
      </c>
      <c r="M12" s="140" t="s">
        <v>15</v>
      </c>
      <c r="N12" s="140">
        <v>803255</v>
      </c>
      <c r="O12" s="140" t="s">
        <v>246</v>
      </c>
      <c r="P12" s="143">
        <v>45917</v>
      </c>
      <c r="Q12" s="143">
        <v>45932</v>
      </c>
      <c r="R12" s="137" t="s">
        <v>211</v>
      </c>
      <c r="S12" s="144" t="s">
        <v>97</v>
      </c>
      <c r="T12" s="145">
        <v>1</v>
      </c>
      <c r="U12" s="137" t="s">
        <v>98</v>
      </c>
      <c r="V12" s="146">
        <v>4</v>
      </c>
      <c r="W12" s="146">
        <v>4</v>
      </c>
      <c r="X12" s="147">
        <v>0</v>
      </c>
      <c r="Y12" s="146">
        <v>0</v>
      </c>
      <c r="Z12" s="146">
        <v>0</v>
      </c>
      <c r="AA12" s="146">
        <v>0</v>
      </c>
      <c r="AB12" s="146">
        <v>4</v>
      </c>
      <c r="AC12" s="146">
        <v>4</v>
      </c>
      <c r="AD12" s="146">
        <v>0</v>
      </c>
      <c r="AE12" s="146">
        <v>0</v>
      </c>
      <c r="AF12" s="146">
        <v>0</v>
      </c>
      <c r="AG12" s="146">
        <v>0</v>
      </c>
      <c r="AH12" s="146">
        <v>1</v>
      </c>
      <c r="AI12" s="146">
        <v>1</v>
      </c>
      <c r="AJ12" s="146">
        <v>0</v>
      </c>
      <c r="AK12" s="146">
        <v>0</v>
      </c>
      <c r="AL12" s="146">
        <v>0</v>
      </c>
      <c r="AM12" s="146">
        <v>0</v>
      </c>
      <c r="AN12" s="146">
        <v>1</v>
      </c>
      <c r="AO12" s="146">
        <v>1</v>
      </c>
      <c r="AP12" s="146">
        <v>1</v>
      </c>
      <c r="AQ12" s="146">
        <v>1</v>
      </c>
      <c r="AR12" s="146">
        <v>0</v>
      </c>
      <c r="AS12" s="146">
        <v>0</v>
      </c>
      <c r="AT12" s="146">
        <v>1</v>
      </c>
      <c r="AU12" s="146">
        <v>1</v>
      </c>
      <c r="AV12" s="146">
        <v>0</v>
      </c>
      <c r="AW12" s="146">
        <v>0</v>
      </c>
      <c r="AX12" s="146">
        <f t="shared" si="3"/>
        <v>1678</v>
      </c>
      <c r="AY12" s="146">
        <f t="shared" si="4"/>
        <v>1678</v>
      </c>
      <c r="AZ12" s="140" t="s">
        <v>562</v>
      </c>
      <c r="BA12" s="140" t="s">
        <v>562</v>
      </c>
      <c r="BB12" s="140">
        <v>1</v>
      </c>
      <c r="BC12" s="148">
        <v>8</v>
      </c>
      <c r="BD12" s="149"/>
      <c r="BE12" s="145"/>
      <c r="BF12" s="150"/>
      <c r="BG12" s="151">
        <v>45901</v>
      </c>
      <c r="BH12" s="151" t="s">
        <v>15</v>
      </c>
      <c r="BI12" s="140" t="s">
        <v>562</v>
      </c>
    </row>
    <row r="13" spans="1:705" s="41" customFormat="1" ht="42" hidden="1" x14ac:dyDescent="0.3">
      <c r="A13" s="26">
        <v>9</v>
      </c>
      <c r="B13" s="137">
        <v>239474</v>
      </c>
      <c r="C13" s="138">
        <v>9</v>
      </c>
      <c r="D13" s="139">
        <v>45907</v>
      </c>
      <c r="E13" s="139">
        <f t="shared" si="0"/>
        <v>45906</v>
      </c>
      <c r="F13" s="139">
        <f t="shared" si="1"/>
        <v>45917</v>
      </c>
      <c r="G13" s="139">
        <v>45917</v>
      </c>
      <c r="H13" s="139">
        <v>45922</v>
      </c>
      <c r="I13" s="139" t="s">
        <v>75</v>
      </c>
      <c r="J13" s="140" t="s">
        <v>99</v>
      </c>
      <c r="K13" s="141">
        <f t="shared" si="2"/>
        <v>5</v>
      </c>
      <c r="L13" s="141">
        <v>1140359</v>
      </c>
      <c r="M13" s="140" t="s">
        <v>15</v>
      </c>
      <c r="N13" s="140">
        <v>803255</v>
      </c>
      <c r="O13" s="140" t="s">
        <v>246</v>
      </c>
      <c r="P13" s="143">
        <v>45917</v>
      </c>
      <c r="Q13" s="143">
        <v>45932</v>
      </c>
      <c r="R13" s="137" t="s">
        <v>211</v>
      </c>
      <c r="S13" s="144" t="s">
        <v>100</v>
      </c>
      <c r="T13" s="145">
        <v>1</v>
      </c>
      <c r="U13" s="137" t="s">
        <v>98</v>
      </c>
      <c r="V13" s="146">
        <v>4</v>
      </c>
      <c r="W13" s="146">
        <v>4</v>
      </c>
      <c r="X13" s="147">
        <v>0</v>
      </c>
      <c r="Y13" s="146">
        <v>0</v>
      </c>
      <c r="Z13" s="146">
        <v>0</v>
      </c>
      <c r="AA13" s="146">
        <v>0</v>
      </c>
      <c r="AB13" s="146">
        <v>4</v>
      </c>
      <c r="AC13" s="146">
        <v>4</v>
      </c>
      <c r="AD13" s="146">
        <v>0</v>
      </c>
      <c r="AE13" s="146">
        <v>0</v>
      </c>
      <c r="AF13" s="146">
        <v>0</v>
      </c>
      <c r="AG13" s="146">
        <v>0</v>
      </c>
      <c r="AH13" s="146">
        <v>1</v>
      </c>
      <c r="AI13" s="146">
        <v>1</v>
      </c>
      <c r="AJ13" s="146">
        <v>0</v>
      </c>
      <c r="AK13" s="146">
        <v>0</v>
      </c>
      <c r="AL13" s="146">
        <v>0</v>
      </c>
      <c r="AM13" s="146">
        <v>0</v>
      </c>
      <c r="AN13" s="146">
        <v>1</v>
      </c>
      <c r="AO13" s="146">
        <v>1</v>
      </c>
      <c r="AP13" s="146">
        <v>1</v>
      </c>
      <c r="AQ13" s="146">
        <v>1</v>
      </c>
      <c r="AR13" s="146">
        <v>0</v>
      </c>
      <c r="AS13" s="146">
        <v>0</v>
      </c>
      <c r="AT13" s="146">
        <v>1</v>
      </c>
      <c r="AU13" s="146">
        <v>1</v>
      </c>
      <c r="AV13" s="146">
        <v>0</v>
      </c>
      <c r="AW13" s="146">
        <v>0</v>
      </c>
      <c r="AX13" s="146">
        <f t="shared" si="3"/>
        <v>1678</v>
      </c>
      <c r="AY13" s="146">
        <f t="shared" si="4"/>
        <v>1678</v>
      </c>
      <c r="AZ13" s="140" t="s">
        <v>562</v>
      </c>
      <c r="BA13" s="140" t="s">
        <v>562</v>
      </c>
      <c r="BB13" s="140">
        <v>1</v>
      </c>
      <c r="BC13" s="148">
        <v>9</v>
      </c>
      <c r="BD13" s="149"/>
      <c r="BE13" s="145"/>
      <c r="BF13" s="150"/>
      <c r="BG13" s="151">
        <v>45901</v>
      </c>
      <c r="BH13" s="151" t="s">
        <v>15</v>
      </c>
      <c r="BI13" s="140" t="s">
        <v>562</v>
      </c>
    </row>
    <row r="14" spans="1:705" s="41" customFormat="1" ht="42" hidden="1" x14ac:dyDescent="0.3">
      <c r="A14" s="26">
        <v>10</v>
      </c>
      <c r="B14" s="137">
        <v>239475</v>
      </c>
      <c r="C14" s="138">
        <v>10</v>
      </c>
      <c r="D14" s="139">
        <v>45907</v>
      </c>
      <c r="E14" s="139">
        <f t="shared" si="0"/>
        <v>45906</v>
      </c>
      <c r="F14" s="139">
        <f t="shared" si="1"/>
        <v>45917</v>
      </c>
      <c r="G14" s="139">
        <v>45917</v>
      </c>
      <c r="H14" s="139">
        <v>45925</v>
      </c>
      <c r="I14" s="139" t="s">
        <v>75</v>
      </c>
      <c r="J14" s="141" t="s">
        <v>103</v>
      </c>
      <c r="K14" s="141">
        <f t="shared" si="2"/>
        <v>8</v>
      </c>
      <c r="L14" s="141">
        <v>1140361</v>
      </c>
      <c r="M14" s="140" t="s">
        <v>15</v>
      </c>
      <c r="N14" s="140">
        <v>803229</v>
      </c>
      <c r="O14" s="140" t="s">
        <v>246</v>
      </c>
      <c r="P14" s="143">
        <v>45920</v>
      </c>
      <c r="Q14" s="143">
        <v>45935</v>
      </c>
      <c r="R14" s="137" t="s">
        <v>211</v>
      </c>
      <c r="S14" s="144" t="s">
        <v>101</v>
      </c>
      <c r="T14" s="145">
        <v>1</v>
      </c>
      <c r="U14" s="137" t="s">
        <v>102</v>
      </c>
      <c r="V14" s="146">
        <v>10</v>
      </c>
      <c r="W14" s="146">
        <v>10</v>
      </c>
      <c r="X14" s="147"/>
      <c r="Y14" s="146"/>
      <c r="Z14" s="146"/>
      <c r="AA14" s="146"/>
      <c r="AB14" s="146">
        <v>0</v>
      </c>
      <c r="AC14" s="146">
        <v>0</v>
      </c>
      <c r="AD14" s="146"/>
      <c r="AE14" s="146"/>
      <c r="AF14" s="146"/>
      <c r="AG14" s="146"/>
      <c r="AH14" s="146">
        <v>1</v>
      </c>
      <c r="AI14" s="146">
        <v>1</v>
      </c>
      <c r="AJ14" s="146">
        <v>0</v>
      </c>
      <c r="AK14" s="146">
        <v>0</v>
      </c>
      <c r="AL14" s="146">
        <v>1</v>
      </c>
      <c r="AM14" s="146">
        <v>1</v>
      </c>
      <c r="AN14" s="146">
        <v>1</v>
      </c>
      <c r="AO14" s="146">
        <v>1</v>
      </c>
      <c r="AP14" s="146">
        <v>1</v>
      </c>
      <c r="AQ14" s="146">
        <v>1</v>
      </c>
      <c r="AR14" s="146">
        <v>0</v>
      </c>
      <c r="AS14" s="146">
        <v>0</v>
      </c>
      <c r="AT14" s="146">
        <v>1</v>
      </c>
      <c r="AU14" s="146">
        <v>1</v>
      </c>
      <c r="AV14" s="146"/>
      <c r="AW14" s="146"/>
      <c r="AX14" s="146">
        <f t="shared" si="3"/>
        <v>2400</v>
      </c>
      <c r="AY14" s="146">
        <f t="shared" si="4"/>
        <v>2400</v>
      </c>
      <c r="AZ14" s="140" t="s">
        <v>562</v>
      </c>
      <c r="BA14" s="140" t="s">
        <v>562</v>
      </c>
      <c r="BB14" s="140">
        <v>2</v>
      </c>
      <c r="BC14" s="148">
        <v>10</v>
      </c>
      <c r="BD14" s="149"/>
      <c r="BE14" s="145"/>
      <c r="BF14" s="150"/>
      <c r="BG14" s="151">
        <v>45901</v>
      </c>
      <c r="BH14" s="151" t="s">
        <v>15</v>
      </c>
      <c r="BI14" s="140" t="s">
        <v>562</v>
      </c>
    </row>
    <row r="15" spans="1:705" s="42" customFormat="1" ht="21" hidden="1" x14ac:dyDescent="0.3">
      <c r="A15" s="26">
        <v>11</v>
      </c>
      <c r="B15" s="137">
        <v>239476</v>
      </c>
      <c r="C15" s="138">
        <v>11</v>
      </c>
      <c r="D15" s="139">
        <v>45907</v>
      </c>
      <c r="E15" s="139">
        <f t="shared" si="0"/>
        <v>45906</v>
      </c>
      <c r="F15" s="139">
        <f t="shared" si="1"/>
        <v>45917</v>
      </c>
      <c r="G15" s="139">
        <v>45917</v>
      </c>
      <c r="H15" s="139">
        <v>45921</v>
      </c>
      <c r="I15" s="139" t="s">
        <v>75</v>
      </c>
      <c r="J15" s="141" t="s">
        <v>104</v>
      </c>
      <c r="K15" s="141">
        <f t="shared" si="2"/>
        <v>4</v>
      </c>
      <c r="L15" s="141">
        <v>1140371</v>
      </c>
      <c r="M15" s="140" t="s">
        <v>15</v>
      </c>
      <c r="N15" s="140">
        <v>803039</v>
      </c>
      <c r="O15" s="140" t="s">
        <v>246</v>
      </c>
      <c r="P15" s="143">
        <v>45915</v>
      </c>
      <c r="Q15" s="143">
        <v>45930</v>
      </c>
      <c r="R15" s="137" t="s">
        <v>211</v>
      </c>
      <c r="S15" s="144" t="s">
        <v>105</v>
      </c>
      <c r="T15" s="145">
        <v>1</v>
      </c>
      <c r="U15" s="137" t="s">
        <v>106</v>
      </c>
      <c r="V15" s="146">
        <v>5</v>
      </c>
      <c r="W15" s="146">
        <v>5</v>
      </c>
      <c r="X15" s="147">
        <v>0</v>
      </c>
      <c r="Y15" s="146">
        <v>0</v>
      </c>
      <c r="Z15" s="146">
        <v>0</v>
      </c>
      <c r="AA15" s="146">
        <v>0</v>
      </c>
      <c r="AB15" s="146">
        <v>0</v>
      </c>
      <c r="AC15" s="146">
        <v>0</v>
      </c>
      <c r="AD15" s="146">
        <v>0</v>
      </c>
      <c r="AE15" s="146">
        <v>0</v>
      </c>
      <c r="AF15" s="146">
        <v>0</v>
      </c>
      <c r="AG15" s="146">
        <v>0</v>
      </c>
      <c r="AH15" s="146">
        <v>1</v>
      </c>
      <c r="AI15" s="146">
        <v>1</v>
      </c>
      <c r="AJ15" s="146">
        <v>0</v>
      </c>
      <c r="AK15" s="146">
        <v>0</v>
      </c>
      <c r="AL15" s="146">
        <v>0</v>
      </c>
      <c r="AM15" s="146">
        <v>0</v>
      </c>
      <c r="AN15" s="146">
        <v>0</v>
      </c>
      <c r="AO15" s="146">
        <v>0</v>
      </c>
      <c r="AP15" s="146">
        <v>1</v>
      </c>
      <c r="AQ15" s="146">
        <v>1</v>
      </c>
      <c r="AR15" s="146">
        <v>0</v>
      </c>
      <c r="AS15" s="146">
        <v>0</v>
      </c>
      <c r="AT15" s="146">
        <v>1</v>
      </c>
      <c r="AU15" s="146">
        <v>1</v>
      </c>
      <c r="AV15" s="146">
        <v>0</v>
      </c>
      <c r="AW15" s="146">
        <v>0</v>
      </c>
      <c r="AX15" s="146">
        <f t="shared" si="3"/>
        <v>1450</v>
      </c>
      <c r="AY15" s="146">
        <f t="shared" si="4"/>
        <v>1450</v>
      </c>
      <c r="AZ15" s="140" t="s">
        <v>562</v>
      </c>
      <c r="BA15" s="140" t="s">
        <v>562</v>
      </c>
      <c r="BB15" s="140">
        <v>2</v>
      </c>
      <c r="BC15" s="148">
        <v>11</v>
      </c>
      <c r="BD15" s="149"/>
      <c r="BE15" s="145"/>
      <c r="BF15" s="150"/>
      <c r="BG15" s="151">
        <v>45901</v>
      </c>
      <c r="BH15" s="151" t="s">
        <v>15</v>
      </c>
      <c r="BI15" s="140" t="s">
        <v>562</v>
      </c>
      <c r="CC15" s="41"/>
      <c r="CD15" s="41"/>
      <c r="CE15" s="41"/>
      <c r="CF15" s="41"/>
      <c r="CG15" s="41"/>
      <c r="CH15" s="41"/>
      <c r="CI15" s="41"/>
      <c r="CJ15" s="41"/>
      <c r="CK15" s="41"/>
      <c r="CL15" s="41"/>
      <c r="CM15" s="41"/>
      <c r="CN15" s="41"/>
      <c r="CO15" s="41"/>
      <c r="CP15" s="41"/>
      <c r="CQ15" s="41"/>
      <c r="CR15" s="41"/>
      <c r="CS15" s="41"/>
      <c r="CT15" s="41"/>
      <c r="CU15" s="41"/>
      <c r="CV15" s="41"/>
      <c r="CW15" s="41"/>
      <c r="CX15" s="41"/>
      <c r="CY15" s="41"/>
      <c r="CZ15" s="41"/>
      <c r="DA15" s="41"/>
      <c r="DB15" s="41"/>
      <c r="DC15" s="41"/>
      <c r="DD15" s="41"/>
      <c r="DE15" s="41"/>
      <c r="DF15" s="41"/>
      <c r="DG15" s="41"/>
      <c r="DH15" s="41"/>
      <c r="DI15" s="41"/>
      <c r="DJ15" s="41"/>
      <c r="DK15" s="41"/>
      <c r="DL15" s="41"/>
      <c r="DM15" s="41"/>
      <c r="DN15" s="41"/>
      <c r="DO15" s="41"/>
      <c r="DP15" s="41"/>
      <c r="DQ15" s="41"/>
      <c r="DR15" s="41"/>
      <c r="DS15" s="41"/>
      <c r="DT15" s="41"/>
      <c r="DU15" s="41"/>
      <c r="DV15" s="41"/>
      <c r="DW15" s="41"/>
      <c r="DX15" s="41"/>
      <c r="DY15" s="41"/>
      <c r="DZ15" s="41"/>
      <c r="EA15" s="41"/>
      <c r="EB15" s="41"/>
      <c r="EC15" s="41"/>
      <c r="ED15" s="41"/>
      <c r="EE15" s="41"/>
      <c r="EF15" s="41"/>
      <c r="EG15" s="41"/>
      <c r="EH15" s="41"/>
      <c r="EI15" s="41"/>
      <c r="EJ15" s="41"/>
      <c r="EK15" s="41"/>
      <c r="EL15" s="41"/>
      <c r="EM15" s="41"/>
      <c r="EN15" s="41"/>
      <c r="EO15" s="41"/>
      <c r="EP15" s="41"/>
      <c r="EQ15" s="41"/>
      <c r="ER15" s="41"/>
      <c r="ES15" s="41"/>
      <c r="ET15" s="41"/>
      <c r="EU15" s="41"/>
      <c r="EV15" s="41"/>
      <c r="EW15" s="41"/>
      <c r="EX15" s="41"/>
      <c r="EY15" s="41"/>
      <c r="EZ15" s="41"/>
      <c r="FA15" s="41"/>
      <c r="FB15" s="41"/>
      <c r="FC15" s="41"/>
      <c r="FD15" s="41"/>
      <c r="FE15" s="41"/>
      <c r="FF15" s="41"/>
      <c r="FG15" s="41"/>
      <c r="FH15" s="41"/>
      <c r="FI15" s="41"/>
      <c r="FJ15" s="41"/>
      <c r="FK15" s="41"/>
      <c r="FL15" s="41"/>
      <c r="FM15" s="41"/>
      <c r="FN15" s="41"/>
      <c r="FO15" s="41"/>
      <c r="FP15" s="41"/>
      <c r="FQ15" s="41"/>
      <c r="FR15" s="41"/>
      <c r="FS15" s="41"/>
      <c r="FT15" s="41"/>
      <c r="FU15" s="41"/>
      <c r="FV15" s="41"/>
      <c r="FW15" s="41"/>
      <c r="FX15" s="41"/>
      <c r="FY15" s="41"/>
      <c r="FZ15" s="41"/>
      <c r="GA15" s="41"/>
      <c r="GB15" s="41"/>
      <c r="GC15" s="41"/>
      <c r="GD15" s="41"/>
      <c r="GE15" s="41"/>
      <c r="GF15" s="41"/>
      <c r="GG15" s="41"/>
      <c r="GH15" s="41"/>
      <c r="GI15" s="41"/>
      <c r="GJ15" s="41"/>
      <c r="GK15" s="41"/>
      <c r="GL15" s="41"/>
      <c r="GM15" s="41"/>
      <c r="GN15" s="41"/>
      <c r="GO15" s="41"/>
      <c r="GP15" s="41"/>
      <c r="GQ15" s="41"/>
      <c r="GR15" s="41"/>
      <c r="GS15" s="41"/>
      <c r="GT15" s="41"/>
      <c r="GU15" s="41"/>
      <c r="GV15" s="41"/>
      <c r="GW15" s="41"/>
      <c r="GX15" s="41"/>
      <c r="GY15" s="41"/>
      <c r="GZ15" s="41"/>
      <c r="HA15" s="41"/>
      <c r="HB15" s="41"/>
      <c r="HC15" s="41"/>
      <c r="HD15" s="41"/>
      <c r="HE15" s="41"/>
      <c r="HF15" s="41"/>
      <c r="HG15" s="41"/>
      <c r="HH15" s="41"/>
      <c r="HI15" s="41"/>
      <c r="HJ15" s="41"/>
      <c r="HK15" s="41"/>
      <c r="HL15" s="41"/>
      <c r="HM15" s="41"/>
      <c r="HN15" s="41"/>
      <c r="HO15" s="41"/>
      <c r="HP15" s="41"/>
      <c r="HQ15" s="41"/>
      <c r="HR15" s="41"/>
      <c r="HS15" s="41"/>
      <c r="HT15" s="41"/>
      <c r="HU15" s="41"/>
      <c r="HV15" s="41"/>
      <c r="HW15" s="41"/>
      <c r="HX15" s="41"/>
      <c r="HY15" s="41"/>
      <c r="HZ15" s="41"/>
      <c r="IA15" s="41"/>
      <c r="IB15" s="41"/>
      <c r="IC15" s="41"/>
      <c r="ID15" s="41"/>
      <c r="IE15" s="41"/>
      <c r="IF15" s="41"/>
      <c r="IG15" s="41"/>
      <c r="IH15" s="41"/>
      <c r="II15" s="41"/>
      <c r="IJ15" s="41"/>
      <c r="IK15" s="41"/>
      <c r="IL15" s="41"/>
      <c r="IM15" s="41"/>
      <c r="IN15" s="41"/>
      <c r="IO15" s="41"/>
      <c r="IP15" s="41"/>
      <c r="IQ15" s="41"/>
      <c r="IR15" s="41"/>
      <c r="IS15" s="41"/>
      <c r="IT15" s="41"/>
      <c r="IU15" s="41"/>
      <c r="IV15" s="41"/>
      <c r="IW15" s="41"/>
      <c r="IX15" s="41"/>
      <c r="IY15" s="41"/>
      <c r="IZ15" s="41"/>
      <c r="JA15" s="41"/>
      <c r="JB15" s="41"/>
      <c r="JC15" s="41"/>
      <c r="JD15" s="41"/>
      <c r="JE15" s="41"/>
      <c r="JF15" s="41"/>
      <c r="JG15" s="41"/>
      <c r="JH15" s="41"/>
      <c r="JI15" s="41"/>
      <c r="JJ15" s="41"/>
      <c r="JK15" s="41"/>
      <c r="JL15" s="41"/>
      <c r="JM15" s="41"/>
      <c r="JN15" s="41"/>
      <c r="JO15" s="41"/>
      <c r="JP15" s="41"/>
      <c r="JQ15" s="41"/>
      <c r="JR15" s="41"/>
      <c r="JS15" s="41"/>
      <c r="JT15" s="41"/>
      <c r="JU15" s="41"/>
      <c r="JV15" s="41"/>
      <c r="JW15" s="41"/>
      <c r="JX15" s="41"/>
      <c r="JY15" s="41"/>
      <c r="JZ15" s="41"/>
      <c r="KA15" s="41"/>
      <c r="KB15" s="41"/>
      <c r="KC15" s="41"/>
      <c r="KD15" s="41"/>
      <c r="KE15" s="41"/>
      <c r="KF15" s="41"/>
      <c r="KG15" s="41"/>
      <c r="KH15" s="41"/>
      <c r="KI15" s="41"/>
      <c r="KJ15" s="41"/>
      <c r="KK15" s="41"/>
      <c r="KL15" s="41"/>
      <c r="KM15" s="41"/>
      <c r="KN15" s="41"/>
      <c r="KO15" s="41"/>
      <c r="KP15" s="41"/>
      <c r="KQ15" s="41"/>
      <c r="KR15" s="41"/>
      <c r="KS15" s="41"/>
      <c r="KT15" s="41"/>
      <c r="KU15" s="41"/>
      <c r="KV15" s="41"/>
      <c r="KW15" s="41"/>
      <c r="KX15" s="41"/>
      <c r="KY15" s="41"/>
      <c r="KZ15" s="41"/>
      <c r="LA15" s="41"/>
      <c r="LB15" s="41"/>
      <c r="LC15" s="41"/>
      <c r="LD15" s="41"/>
      <c r="LE15" s="41"/>
      <c r="LF15" s="41"/>
      <c r="LG15" s="41"/>
      <c r="LH15" s="41"/>
      <c r="LI15" s="41"/>
      <c r="LJ15" s="41"/>
      <c r="LK15" s="41"/>
      <c r="LL15" s="41"/>
      <c r="LM15" s="41"/>
      <c r="LN15" s="41"/>
      <c r="LO15" s="41"/>
      <c r="LP15" s="41"/>
      <c r="LQ15" s="41"/>
      <c r="LR15" s="41"/>
      <c r="LS15" s="41"/>
      <c r="LT15" s="41"/>
      <c r="LU15" s="41"/>
      <c r="LV15" s="41"/>
      <c r="LW15" s="41"/>
      <c r="LX15" s="41"/>
      <c r="LY15" s="41"/>
      <c r="LZ15" s="41"/>
      <c r="MA15" s="41"/>
      <c r="MB15" s="41"/>
      <c r="MC15" s="41"/>
      <c r="MD15" s="41"/>
      <c r="ME15" s="41"/>
      <c r="MF15" s="41"/>
      <c r="MG15" s="41"/>
      <c r="MH15" s="41"/>
      <c r="MI15" s="41"/>
      <c r="MJ15" s="41"/>
      <c r="MK15" s="41"/>
      <c r="ML15" s="41"/>
      <c r="MM15" s="41"/>
      <c r="MN15" s="41"/>
      <c r="MO15" s="41"/>
      <c r="MP15" s="41"/>
      <c r="MQ15" s="41"/>
      <c r="MR15" s="41"/>
      <c r="MS15" s="41"/>
      <c r="MT15" s="41"/>
      <c r="MU15" s="41"/>
      <c r="MV15" s="41"/>
      <c r="MW15" s="41"/>
      <c r="MX15" s="41"/>
      <c r="MY15" s="41"/>
      <c r="MZ15" s="41"/>
      <c r="NA15" s="41"/>
      <c r="NB15" s="41"/>
      <c r="NC15" s="41"/>
      <c r="ND15" s="41"/>
      <c r="NE15" s="41"/>
      <c r="NF15" s="41"/>
      <c r="NG15" s="41"/>
      <c r="NH15" s="41"/>
      <c r="NI15" s="41"/>
      <c r="NJ15" s="41"/>
      <c r="NK15" s="41"/>
      <c r="NL15" s="41"/>
      <c r="NM15" s="41"/>
      <c r="NN15" s="41"/>
      <c r="NO15" s="41"/>
      <c r="NP15" s="41"/>
      <c r="NQ15" s="41"/>
      <c r="NR15" s="41"/>
      <c r="NS15" s="41"/>
      <c r="NT15" s="41"/>
      <c r="NU15" s="41"/>
      <c r="NV15" s="41"/>
      <c r="NW15" s="41"/>
      <c r="NX15" s="41"/>
      <c r="NY15" s="41"/>
      <c r="NZ15" s="41"/>
      <c r="OA15" s="41"/>
      <c r="OB15" s="41"/>
      <c r="OC15" s="41"/>
      <c r="OD15" s="41"/>
      <c r="OE15" s="41"/>
      <c r="OF15" s="41"/>
      <c r="OG15" s="41"/>
      <c r="OH15" s="41"/>
      <c r="OI15" s="41"/>
      <c r="OJ15" s="41"/>
      <c r="OK15" s="41"/>
      <c r="OL15" s="41"/>
      <c r="OM15" s="41"/>
      <c r="ON15" s="41"/>
      <c r="OO15" s="41"/>
      <c r="OP15" s="41"/>
      <c r="OQ15" s="41"/>
      <c r="OR15" s="41"/>
      <c r="OS15" s="41"/>
      <c r="OT15" s="41"/>
      <c r="OU15" s="41"/>
      <c r="OV15" s="41"/>
      <c r="OW15" s="41"/>
      <c r="OX15" s="41"/>
      <c r="OY15" s="41"/>
      <c r="OZ15" s="41"/>
      <c r="PA15" s="41"/>
      <c r="PB15" s="41"/>
      <c r="PC15" s="41"/>
      <c r="PD15" s="41"/>
      <c r="PE15" s="41"/>
      <c r="PF15" s="41"/>
      <c r="PG15" s="41"/>
      <c r="PH15" s="41"/>
      <c r="PI15" s="41"/>
      <c r="PJ15" s="41"/>
      <c r="PK15" s="41"/>
      <c r="PL15" s="41"/>
      <c r="PM15" s="41"/>
      <c r="PN15" s="41"/>
      <c r="PO15" s="41"/>
      <c r="PP15" s="41"/>
      <c r="PQ15" s="41"/>
      <c r="PR15" s="41"/>
      <c r="PS15" s="41"/>
      <c r="PT15" s="41"/>
      <c r="PU15" s="41"/>
      <c r="PV15" s="41"/>
      <c r="PW15" s="41"/>
      <c r="PX15" s="41"/>
      <c r="PY15" s="41"/>
      <c r="PZ15" s="41"/>
      <c r="QA15" s="41"/>
      <c r="QB15" s="41"/>
      <c r="QC15" s="41"/>
      <c r="QD15" s="41"/>
      <c r="QE15" s="41"/>
      <c r="QF15" s="41"/>
      <c r="QG15" s="41"/>
      <c r="QH15" s="41"/>
      <c r="QI15" s="41"/>
      <c r="QJ15" s="41"/>
      <c r="QK15" s="41"/>
      <c r="QL15" s="41"/>
      <c r="QM15" s="41"/>
      <c r="QN15" s="41"/>
      <c r="QO15" s="41"/>
      <c r="QP15" s="41"/>
      <c r="QQ15" s="41"/>
      <c r="QR15" s="41"/>
      <c r="QS15" s="41"/>
      <c r="QT15" s="41"/>
      <c r="QU15" s="41"/>
      <c r="QV15" s="41"/>
      <c r="QW15" s="41"/>
      <c r="QX15" s="41"/>
      <c r="QY15" s="41"/>
      <c r="QZ15" s="41"/>
      <c r="RA15" s="41"/>
      <c r="RB15" s="41"/>
      <c r="RC15" s="41"/>
      <c r="RD15" s="41"/>
      <c r="RE15" s="41"/>
      <c r="RF15" s="41"/>
      <c r="RG15" s="41"/>
      <c r="RH15" s="41"/>
      <c r="RI15" s="41"/>
      <c r="RJ15" s="41"/>
      <c r="RK15" s="41"/>
      <c r="RL15" s="41"/>
      <c r="RM15" s="41"/>
      <c r="RN15" s="41"/>
      <c r="RO15" s="41"/>
      <c r="RP15" s="41"/>
      <c r="RQ15" s="41"/>
      <c r="RR15" s="41"/>
      <c r="RS15" s="41"/>
      <c r="RT15" s="41"/>
      <c r="RU15" s="41"/>
      <c r="RV15" s="41"/>
      <c r="RW15" s="41"/>
      <c r="RX15" s="41"/>
      <c r="RY15" s="41"/>
      <c r="RZ15" s="41"/>
      <c r="SA15" s="41"/>
      <c r="SB15" s="41"/>
      <c r="SC15" s="41"/>
      <c r="SD15" s="41"/>
      <c r="SE15" s="41"/>
      <c r="SF15" s="41"/>
      <c r="SG15" s="41"/>
      <c r="SH15" s="41"/>
      <c r="SI15" s="41"/>
      <c r="SJ15" s="41"/>
      <c r="SK15" s="41"/>
      <c r="SL15" s="41"/>
      <c r="SM15" s="41"/>
      <c r="SN15" s="41"/>
      <c r="SO15" s="41"/>
      <c r="SP15" s="41"/>
      <c r="SQ15" s="41"/>
      <c r="SR15" s="41"/>
      <c r="SS15" s="41"/>
      <c r="ST15" s="41"/>
      <c r="SU15" s="41"/>
      <c r="SV15" s="41"/>
      <c r="SW15" s="41"/>
      <c r="SX15" s="41"/>
      <c r="SY15" s="41"/>
      <c r="SZ15" s="41"/>
      <c r="TA15" s="41"/>
      <c r="TB15" s="41"/>
      <c r="TC15" s="41"/>
      <c r="TD15" s="41"/>
      <c r="TE15" s="41"/>
      <c r="TF15" s="41"/>
      <c r="TG15" s="41"/>
      <c r="TH15" s="41"/>
      <c r="TI15" s="41"/>
      <c r="TJ15" s="41"/>
      <c r="TK15" s="41"/>
      <c r="TL15" s="41"/>
      <c r="TM15" s="41"/>
      <c r="TN15" s="41"/>
      <c r="TO15" s="41"/>
      <c r="TP15" s="41"/>
      <c r="TQ15" s="41"/>
      <c r="TR15" s="41"/>
      <c r="TS15" s="41"/>
      <c r="TT15" s="41"/>
      <c r="TU15" s="41"/>
      <c r="TV15" s="41"/>
      <c r="TW15" s="41"/>
      <c r="TX15" s="41"/>
      <c r="TY15" s="41"/>
      <c r="TZ15" s="41"/>
      <c r="UA15" s="41"/>
      <c r="UB15" s="41"/>
      <c r="UC15" s="41"/>
      <c r="UD15" s="41"/>
      <c r="UE15" s="41"/>
      <c r="UF15" s="41"/>
      <c r="UG15" s="41"/>
      <c r="UH15" s="41"/>
      <c r="UI15" s="41"/>
      <c r="UJ15" s="41"/>
      <c r="UK15" s="41"/>
      <c r="UL15" s="41"/>
      <c r="UM15" s="41"/>
      <c r="UN15" s="41"/>
      <c r="UO15" s="41"/>
      <c r="UP15" s="41"/>
      <c r="UQ15" s="41"/>
      <c r="UR15" s="41"/>
      <c r="US15" s="41"/>
      <c r="UT15" s="41"/>
      <c r="UU15" s="41"/>
      <c r="UV15" s="41"/>
      <c r="UW15" s="41"/>
      <c r="UX15" s="41"/>
      <c r="UY15" s="41"/>
      <c r="UZ15" s="41"/>
      <c r="VA15" s="41"/>
      <c r="VB15" s="41"/>
      <c r="VC15" s="41"/>
      <c r="VD15" s="41"/>
      <c r="VE15" s="41"/>
      <c r="VF15" s="41"/>
      <c r="VG15" s="41"/>
      <c r="VH15" s="41"/>
      <c r="VI15" s="41"/>
      <c r="VJ15" s="41"/>
      <c r="VK15" s="41"/>
      <c r="VL15" s="41"/>
      <c r="VM15" s="41"/>
      <c r="VN15" s="41"/>
      <c r="VO15" s="41"/>
      <c r="VP15" s="41"/>
      <c r="VQ15" s="41"/>
      <c r="VR15" s="41"/>
      <c r="VS15" s="41"/>
      <c r="VT15" s="41"/>
      <c r="VU15" s="41"/>
      <c r="VV15" s="41"/>
      <c r="VW15" s="41"/>
      <c r="VX15" s="41"/>
      <c r="VY15" s="41"/>
      <c r="VZ15" s="41"/>
      <c r="WA15" s="41"/>
      <c r="WB15" s="41"/>
      <c r="WC15" s="41"/>
      <c r="WD15" s="41"/>
      <c r="WE15" s="41"/>
      <c r="WF15" s="41"/>
      <c r="WG15" s="41"/>
      <c r="WH15" s="41"/>
      <c r="WI15" s="41"/>
      <c r="WJ15" s="41"/>
      <c r="WK15" s="41"/>
      <c r="WL15" s="41"/>
      <c r="WM15" s="41"/>
      <c r="WN15" s="41"/>
      <c r="WO15" s="41"/>
      <c r="WP15" s="41"/>
      <c r="WQ15" s="41"/>
      <c r="WR15" s="41"/>
      <c r="WS15" s="41"/>
      <c r="WT15" s="41"/>
      <c r="WU15" s="41"/>
      <c r="WV15" s="41"/>
      <c r="WW15" s="41"/>
      <c r="WX15" s="41"/>
      <c r="WY15" s="41"/>
      <c r="WZ15" s="41"/>
      <c r="XA15" s="41"/>
      <c r="XB15" s="41"/>
      <c r="XC15" s="41"/>
      <c r="XD15" s="41"/>
      <c r="XE15" s="41"/>
      <c r="XF15" s="41"/>
      <c r="XG15" s="41"/>
      <c r="XH15" s="41"/>
      <c r="XI15" s="41"/>
      <c r="XJ15" s="41"/>
      <c r="XK15" s="41"/>
      <c r="XL15" s="41"/>
      <c r="XM15" s="41"/>
      <c r="XN15" s="41"/>
      <c r="XO15" s="41"/>
      <c r="XP15" s="41"/>
      <c r="XQ15" s="41"/>
      <c r="XR15" s="41"/>
      <c r="XS15" s="41"/>
      <c r="XT15" s="41"/>
      <c r="XU15" s="41"/>
      <c r="XV15" s="41"/>
      <c r="XW15" s="41"/>
      <c r="XX15" s="41"/>
      <c r="XY15" s="41"/>
      <c r="XZ15" s="41"/>
      <c r="YA15" s="41"/>
      <c r="YB15" s="41"/>
      <c r="YC15" s="41"/>
      <c r="YD15" s="41"/>
      <c r="YE15" s="41"/>
      <c r="YF15" s="41"/>
      <c r="YG15" s="41"/>
      <c r="YH15" s="41"/>
      <c r="YI15" s="41"/>
      <c r="YJ15" s="41"/>
      <c r="YK15" s="41"/>
      <c r="YL15" s="41"/>
      <c r="YM15" s="41"/>
      <c r="YN15" s="41"/>
      <c r="YO15" s="41"/>
      <c r="YP15" s="41"/>
      <c r="YQ15" s="41"/>
      <c r="YR15" s="41"/>
      <c r="YS15" s="41"/>
      <c r="YT15" s="41"/>
      <c r="YU15" s="41"/>
      <c r="YV15" s="41"/>
      <c r="YW15" s="41"/>
      <c r="YX15" s="41"/>
      <c r="YY15" s="41"/>
      <c r="YZ15" s="41"/>
      <c r="ZA15" s="41"/>
      <c r="ZB15" s="41"/>
      <c r="ZC15" s="41"/>
      <c r="ZD15" s="41"/>
      <c r="ZE15" s="41"/>
      <c r="ZF15" s="41"/>
      <c r="ZG15" s="41"/>
      <c r="ZH15" s="41"/>
      <c r="ZI15" s="41"/>
      <c r="ZJ15" s="41"/>
      <c r="ZK15" s="41"/>
      <c r="ZL15" s="41"/>
      <c r="ZM15" s="41"/>
      <c r="ZN15" s="41"/>
      <c r="ZO15" s="41"/>
      <c r="ZP15" s="41"/>
      <c r="ZQ15" s="41"/>
      <c r="ZR15" s="41"/>
      <c r="ZS15" s="41"/>
      <c r="ZT15" s="41"/>
      <c r="ZU15" s="41"/>
      <c r="ZV15" s="41"/>
      <c r="ZW15" s="41"/>
      <c r="ZX15" s="41"/>
      <c r="ZY15" s="41"/>
      <c r="ZZ15" s="41"/>
      <c r="AAA15" s="41"/>
      <c r="AAB15" s="41"/>
      <c r="AAC15" s="41"/>
    </row>
    <row r="16" spans="1:705" s="42" customFormat="1" ht="21" hidden="1" x14ac:dyDescent="0.3">
      <c r="A16" s="26">
        <v>12</v>
      </c>
      <c r="B16" s="137">
        <v>239477</v>
      </c>
      <c r="C16" s="138">
        <v>12</v>
      </c>
      <c r="D16" s="139">
        <v>45907</v>
      </c>
      <c r="E16" s="139">
        <f t="shared" si="0"/>
        <v>45906</v>
      </c>
      <c r="F16" s="139">
        <f t="shared" si="1"/>
        <v>45917</v>
      </c>
      <c r="G16" s="139">
        <v>45917</v>
      </c>
      <c r="H16" s="139">
        <v>45921</v>
      </c>
      <c r="I16" s="139" t="s">
        <v>75</v>
      </c>
      <c r="J16" s="140" t="s">
        <v>107</v>
      </c>
      <c r="K16" s="141">
        <f t="shared" si="2"/>
        <v>4</v>
      </c>
      <c r="L16" s="141">
        <v>1140375</v>
      </c>
      <c r="M16" s="140" t="s">
        <v>15</v>
      </c>
      <c r="N16" s="140">
        <v>803039</v>
      </c>
      <c r="O16" s="140" t="s">
        <v>246</v>
      </c>
      <c r="P16" s="143">
        <v>45915</v>
      </c>
      <c r="Q16" s="143">
        <v>45930</v>
      </c>
      <c r="R16" s="137" t="s">
        <v>211</v>
      </c>
      <c r="S16" s="144" t="s">
        <v>108</v>
      </c>
      <c r="T16" s="145">
        <v>1</v>
      </c>
      <c r="U16" s="137" t="s">
        <v>106</v>
      </c>
      <c r="V16" s="146">
        <v>4</v>
      </c>
      <c r="W16" s="146">
        <v>4</v>
      </c>
      <c r="X16" s="147">
        <v>0</v>
      </c>
      <c r="Y16" s="146">
        <v>0</v>
      </c>
      <c r="Z16" s="146">
        <v>0</v>
      </c>
      <c r="AA16" s="146">
        <v>0</v>
      </c>
      <c r="AB16" s="146">
        <v>0</v>
      </c>
      <c r="AC16" s="146">
        <v>0</v>
      </c>
      <c r="AD16" s="146">
        <v>0</v>
      </c>
      <c r="AE16" s="146">
        <v>0</v>
      </c>
      <c r="AF16" s="146">
        <v>0</v>
      </c>
      <c r="AG16" s="146">
        <v>0</v>
      </c>
      <c r="AH16" s="146">
        <v>1</v>
      </c>
      <c r="AI16" s="146">
        <v>1</v>
      </c>
      <c r="AJ16" s="146">
        <v>0</v>
      </c>
      <c r="AK16" s="146">
        <v>0</v>
      </c>
      <c r="AL16" s="146">
        <v>0</v>
      </c>
      <c r="AM16" s="146">
        <v>0</v>
      </c>
      <c r="AN16" s="146">
        <v>0</v>
      </c>
      <c r="AO16" s="146">
        <v>0</v>
      </c>
      <c r="AP16" s="146">
        <v>1</v>
      </c>
      <c r="AQ16" s="146">
        <v>1</v>
      </c>
      <c r="AR16" s="146">
        <v>0</v>
      </c>
      <c r="AS16" s="146">
        <v>0</v>
      </c>
      <c r="AT16" s="146">
        <v>1</v>
      </c>
      <c r="AU16" s="146">
        <v>1</v>
      </c>
      <c r="AV16" s="146">
        <v>0</v>
      </c>
      <c r="AW16" s="146">
        <v>0</v>
      </c>
      <c r="AX16" s="146">
        <f t="shared" si="3"/>
        <v>1390</v>
      </c>
      <c r="AY16" s="146">
        <f t="shared" si="4"/>
        <v>1390</v>
      </c>
      <c r="AZ16" s="140" t="s">
        <v>562</v>
      </c>
      <c r="BA16" s="140" t="s">
        <v>562</v>
      </c>
      <c r="BB16" s="140">
        <v>2</v>
      </c>
      <c r="BC16" s="148">
        <v>12</v>
      </c>
      <c r="BD16" s="149"/>
      <c r="BE16" s="145"/>
      <c r="BF16" s="150"/>
      <c r="BG16" s="151">
        <v>45901</v>
      </c>
      <c r="BH16" s="151" t="s">
        <v>15</v>
      </c>
      <c r="BI16" s="140" t="s">
        <v>562</v>
      </c>
      <c r="CC16" s="41"/>
      <c r="CD16" s="41"/>
      <c r="CE16" s="41"/>
      <c r="CF16" s="41"/>
      <c r="CG16" s="41"/>
      <c r="CH16" s="41"/>
      <c r="CI16" s="41"/>
      <c r="CJ16" s="41"/>
      <c r="CK16" s="41"/>
      <c r="CL16" s="41"/>
      <c r="CM16" s="41"/>
      <c r="CN16" s="41"/>
      <c r="CO16" s="41"/>
      <c r="CP16" s="41"/>
      <c r="CQ16" s="41"/>
      <c r="CR16" s="41"/>
      <c r="CS16" s="41"/>
      <c r="CT16" s="41"/>
      <c r="CU16" s="41"/>
      <c r="CV16" s="41"/>
      <c r="CW16" s="41"/>
      <c r="CX16" s="41"/>
      <c r="CY16" s="41"/>
      <c r="CZ16" s="41"/>
      <c r="DA16" s="41"/>
      <c r="DB16" s="41"/>
      <c r="DC16" s="41"/>
      <c r="DD16" s="41"/>
      <c r="DE16" s="41"/>
      <c r="DF16" s="41"/>
      <c r="DG16" s="41"/>
      <c r="DH16" s="41"/>
      <c r="DI16" s="41"/>
      <c r="DJ16" s="41"/>
      <c r="DK16" s="41"/>
      <c r="DL16" s="41"/>
      <c r="DM16" s="41"/>
      <c r="DN16" s="41"/>
      <c r="DO16" s="41"/>
      <c r="DP16" s="41"/>
      <c r="DQ16" s="41"/>
      <c r="DR16" s="41"/>
      <c r="DS16" s="41"/>
      <c r="DT16" s="41"/>
      <c r="DU16" s="41"/>
      <c r="DV16" s="41"/>
      <c r="DW16" s="41"/>
      <c r="DX16" s="41"/>
      <c r="DY16" s="41"/>
      <c r="DZ16" s="41"/>
      <c r="EA16" s="41"/>
      <c r="EB16" s="41"/>
      <c r="EC16" s="41"/>
      <c r="ED16" s="41"/>
      <c r="EE16" s="41"/>
      <c r="EF16" s="41"/>
      <c r="EG16" s="41"/>
      <c r="EH16" s="41"/>
      <c r="EI16" s="41"/>
      <c r="EJ16" s="41"/>
      <c r="EK16" s="41"/>
      <c r="EL16" s="41"/>
      <c r="EM16" s="41"/>
      <c r="EN16" s="41"/>
      <c r="EO16" s="41"/>
      <c r="EP16" s="41"/>
      <c r="EQ16" s="41"/>
      <c r="ER16" s="41"/>
      <c r="ES16" s="41"/>
      <c r="ET16" s="41"/>
      <c r="EU16" s="41"/>
      <c r="EV16" s="41"/>
      <c r="EW16" s="41"/>
      <c r="EX16" s="41"/>
      <c r="EY16" s="41"/>
      <c r="EZ16" s="41"/>
      <c r="FA16" s="41"/>
      <c r="FB16" s="41"/>
      <c r="FC16" s="41"/>
      <c r="FD16" s="41"/>
      <c r="FE16" s="41"/>
      <c r="FF16" s="41"/>
      <c r="FG16" s="41"/>
      <c r="FH16" s="41"/>
      <c r="FI16" s="41"/>
      <c r="FJ16" s="41"/>
      <c r="FK16" s="41"/>
      <c r="FL16" s="41"/>
      <c r="FM16" s="41"/>
      <c r="FN16" s="41"/>
      <c r="FO16" s="41"/>
      <c r="FP16" s="41"/>
      <c r="FQ16" s="41"/>
      <c r="FR16" s="41"/>
      <c r="FS16" s="41"/>
      <c r="FT16" s="41"/>
      <c r="FU16" s="41"/>
      <c r="FV16" s="41"/>
      <c r="FW16" s="41"/>
      <c r="FX16" s="41"/>
      <c r="FY16" s="41"/>
      <c r="FZ16" s="41"/>
      <c r="GA16" s="41"/>
      <c r="GB16" s="41"/>
      <c r="GC16" s="41"/>
      <c r="GD16" s="41"/>
      <c r="GE16" s="41"/>
      <c r="GF16" s="41"/>
      <c r="GG16" s="41"/>
      <c r="GH16" s="41"/>
      <c r="GI16" s="41"/>
      <c r="GJ16" s="41"/>
      <c r="GK16" s="41"/>
      <c r="GL16" s="41"/>
      <c r="GM16" s="41"/>
      <c r="GN16" s="41"/>
      <c r="GO16" s="41"/>
      <c r="GP16" s="41"/>
      <c r="GQ16" s="41"/>
      <c r="GR16" s="41"/>
      <c r="GS16" s="41"/>
      <c r="GT16" s="41"/>
      <c r="GU16" s="41"/>
      <c r="GV16" s="41"/>
      <c r="GW16" s="41"/>
      <c r="GX16" s="41"/>
      <c r="GY16" s="41"/>
      <c r="GZ16" s="41"/>
      <c r="HA16" s="41"/>
      <c r="HB16" s="41"/>
      <c r="HC16" s="41"/>
      <c r="HD16" s="41"/>
      <c r="HE16" s="41"/>
      <c r="HF16" s="41"/>
      <c r="HG16" s="41"/>
      <c r="HH16" s="41"/>
      <c r="HI16" s="41"/>
      <c r="HJ16" s="41"/>
      <c r="HK16" s="41"/>
      <c r="HL16" s="41"/>
      <c r="HM16" s="41"/>
      <c r="HN16" s="41"/>
      <c r="HO16" s="41"/>
      <c r="HP16" s="41"/>
      <c r="HQ16" s="41"/>
      <c r="HR16" s="41"/>
      <c r="HS16" s="41"/>
      <c r="HT16" s="41"/>
      <c r="HU16" s="41"/>
      <c r="HV16" s="41"/>
      <c r="HW16" s="41"/>
      <c r="HX16" s="41"/>
      <c r="HY16" s="41"/>
      <c r="HZ16" s="41"/>
      <c r="IA16" s="41"/>
      <c r="IB16" s="41"/>
      <c r="IC16" s="41"/>
      <c r="ID16" s="41"/>
      <c r="IE16" s="41"/>
      <c r="IF16" s="41"/>
      <c r="IG16" s="41"/>
      <c r="IH16" s="41"/>
      <c r="II16" s="41"/>
      <c r="IJ16" s="41"/>
      <c r="IK16" s="41"/>
      <c r="IL16" s="41"/>
      <c r="IM16" s="41"/>
      <c r="IN16" s="41"/>
      <c r="IO16" s="41"/>
      <c r="IP16" s="41"/>
      <c r="IQ16" s="41"/>
      <c r="IR16" s="41"/>
      <c r="IS16" s="41"/>
      <c r="IT16" s="41"/>
      <c r="IU16" s="41"/>
      <c r="IV16" s="41"/>
      <c r="IW16" s="41"/>
      <c r="IX16" s="41"/>
      <c r="IY16" s="41"/>
      <c r="IZ16" s="41"/>
      <c r="JA16" s="41"/>
      <c r="JB16" s="41"/>
      <c r="JC16" s="41"/>
      <c r="JD16" s="41"/>
      <c r="JE16" s="41"/>
      <c r="JF16" s="41"/>
      <c r="JG16" s="41"/>
      <c r="JH16" s="41"/>
      <c r="JI16" s="41"/>
      <c r="JJ16" s="41"/>
      <c r="JK16" s="41"/>
      <c r="JL16" s="41"/>
      <c r="JM16" s="41"/>
      <c r="JN16" s="41"/>
      <c r="JO16" s="41"/>
      <c r="JP16" s="41"/>
      <c r="JQ16" s="41"/>
      <c r="JR16" s="41"/>
      <c r="JS16" s="41"/>
      <c r="JT16" s="41"/>
      <c r="JU16" s="41"/>
      <c r="JV16" s="41"/>
      <c r="JW16" s="41"/>
      <c r="JX16" s="41"/>
      <c r="JY16" s="41"/>
      <c r="JZ16" s="41"/>
      <c r="KA16" s="41"/>
      <c r="KB16" s="41"/>
      <c r="KC16" s="41"/>
      <c r="KD16" s="41"/>
      <c r="KE16" s="41"/>
      <c r="KF16" s="41"/>
      <c r="KG16" s="41"/>
      <c r="KH16" s="41"/>
      <c r="KI16" s="41"/>
      <c r="KJ16" s="41"/>
      <c r="KK16" s="41"/>
      <c r="KL16" s="41"/>
      <c r="KM16" s="41"/>
      <c r="KN16" s="41"/>
      <c r="KO16" s="41"/>
      <c r="KP16" s="41"/>
      <c r="KQ16" s="41"/>
      <c r="KR16" s="41"/>
      <c r="KS16" s="41"/>
      <c r="KT16" s="41"/>
      <c r="KU16" s="41"/>
      <c r="KV16" s="41"/>
      <c r="KW16" s="41"/>
      <c r="KX16" s="41"/>
      <c r="KY16" s="41"/>
      <c r="KZ16" s="41"/>
      <c r="LA16" s="41"/>
      <c r="LB16" s="41"/>
      <c r="LC16" s="41"/>
      <c r="LD16" s="41"/>
      <c r="LE16" s="41"/>
      <c r="LF16" s="41"/>
      <c r="LG16" s="41"/>
      <c r="LH16" s="41"/>
      <c r="LI16" s="41"/>
      <c r="LJ16" s="41"/>
      <c r="LK16" s="41"/>
      <c r="LL16" s="41"/>
      <c r="LM16" s="41"/>
      <c r="LN16" s="41"/>
      <c r="LO16" s="41"/>
      <c r="LP16" s="41"/>
      <c r="LQ16" s="41"/>
      <c r="LR16" s="41"/>
      <c r="LS16" s="41"/>
      <c r="LT16" s="41"/>
      <c r="LU16" s="41"/>
      <c r="LV16" s="41"/>
      <c r="LW16" s="41"/>
      <c r="LX16" s="41"/>
      <c r="LY16" s="41"/>
      <c r="LZ16" s="41"/>
      <c r="MA16" s="41"/>
      <c r="MB16" s="41"/>
      <c r="MC16" s="41"/>
      <c r="MD16" s="41"/>
      <c r="ME16" s="41"/>
      <c r="MF16" s="41"/>
      <c r="MG16" s="41"/>
      <c r="MH16" s="41"/>
      <c r="MI16" s="41"/>
      <c r="MJ16" s="41"/>
      <c r="MK16" s="41"/>
      <c r="ML16" s="41"/>
      <c r="MM16" s="41"/>
      <c r="MN16" s="41"/>
      <c r="MO16" s="41"/>
      <c r="MP16" s="41"/>
      <c r="MQ16" s="41"/>
      <c r="MR16" s="41"/>
      <c r="MS16" s="41"/>
      <c r="MT16" s="41"/>
      <c r="MU16" s="41"/>
      <c r="MV16" s="41"/>
      <c r="MW16" s="41"/>
      <c r="MX16" s="41"/>
      <c r="MY16" s="41"/>
      <c r="MZ16" s="41"/>
      <c r="NA16" s="41"/>
      <c r="NB16" s="41"/>
      <c r="NC16" s="41"/>
      <c r="ND16" s="41"/>
      <c r="NE16" s="41"/>
      <c r="NF16" s="41"/>
      <c r="NG16" s="41"/>
      <c r="NH16" s="41"/>
      <c r="NI16" s="41"/>
      <c r="NJ16" s="41"/>
      <c r="NK16" s="41"/>
      <c r="NL16" s="41"/>
      <c r="NM16" s="41"/>
      <c r="NN16" s="41"/>
      <c r="NO16" s="41"/>
      <c r="NP16" s="41"/>
      <c r="NQ16" s="41"/>
      <c r="NR16" s="41"/>
      <c r="NS16" s="41"/>
      <c r="NT16" s="41"/>
      <c r="NU16" s="41"/>
      <c r="NV16" s="41"/>
      <c r="NW16" s="41"/>
      <c r="NX16" s="41"/>
      <c r="NY16" s="41"/>
      <c r="NZ16" s="41"/>
      <c r="OA16" s="41"/>
      <c r="OB16" s="41"/>
      <c r="OC16" s="41"/>
      <c r="OD16" s="41"/>
      <c r="OE16" s="41"/>
      <c r="OF16" s="41"/>
      <c r="OG16" s="41"/>
      <c r="OH16" s="41"/>
      <c r="OI16" s="41"/>
      <c r="OJ16" s="41"/>
      <c r="OK16" s="41"/>
      <c r="OL16" s="41"/>
      <c r="OM16" s="41"/>
      <c r="ON16" s="41"/>
      <c r="OO16" s="41"/>
      <c r="OP16" s="41"/>
      <c r="OQ16" s="41"/>
      <c r="OR16" s="41"/>
      <c r="OS16" s="41"/>
      <c r="OT16" s="41"/>
      <c r="OU16" s="41"/>
      <c r="OV16" s="41"/>
      <c r="OW16" s="41"/>
      <c r="OX16" s="41"/>
      <c r="OY16" s="41"/>
      <c r="OZ16" s="41"/>
      <c r="PA16" s="41"/>
      <c r="PB16" s="41"/>
      <c r="PC16" s="41"/>
      <c r="PD16" s="41"/>
      <c r="PE16" s="41"/>
      <c r="PF16" s="41"/>
      <c r="PG16" s="41"/>
      <c r="PH16" s="41"/>
      <c r="PI16" s="41"/>
      <c r="PJ16" s="41"/>
      <c r="PK16" s="41"/>
      <c r="PL16" s="41"/>
      <c r="PM16" s="41"/>
      <c r="PN16" s="41"/>
      <c r="PO16" s="41"/>
      <c r="PP16" s="41"/>
      <c r="PQ16" s="41"/>
      <c r="PR16" s="41"/>
      <c r="PS16" s="41"/>
      <c r="PT16" s="41"/>
      <c r="PU16" s="41"/>
      <c r="PV16" s="41"/>
      <c r="PW16" s="41"/>
      <c r="PX16" s="41"/>
      <c r="PY16" s="41"/>
      <c r="PZ16" s="41"/>
      <c r="QA16" s="41"/>
      <c r="QB16" s="41"/>
      <c r="QC16" s="41"/>
      <c r="QD16" s="41"/>
      <c r="QE16" s="41"/>
      <c r="QF16" s="41"/>
      <c r="QG16" s="41"/>
      <c r="QH16" s="41"/>
      <c r="QI16" s="41"/>
      <c r="QJ16" s="41"/>
      <c r="QK16" s="41"/>
      <c r="QL16" s="41"/>
      <c r="QM16" s="41"/>
      <c r="QN16" s="41"/>
      <c r="QO16" s="41"/>
      <c r="QP16" s="41"/>
      <c r="QQ16" s="41"/>
      <c r="QR16" s="41"/>
      <c r="QS16" s="41"/>
      <c r="QT16" s="41"/>
      <c r="QU16" s="41"/>
      <c r="QV16" s="41"/>
      <c r="QW16" s="41"/>
      <c r="QX16" s="41"/>
      <c r="QY16" s="41"/>
      <c r="QZ16" s="41"/>
      <c r="RA16" s="41"/>
      <c r="RB16" s="41"/>
      <c r="RC16" s="41"/>
      <c r="RD16" s="41"/>
      <c r="RE16" s="41"/>
      <c r="RF16" s="41"/>
      <c r="RG16" s="41"/>
      <c r="RH16" s="41"/>
      <c r="RI16" s="41"/>
      <c r="RJ16" s="41"/>
      <c r="RK16" s="41"/>
      <c r="RL16" s="41"/>
      <c r="RM16" s="41"/>
      <c r="RN16" s="41"/>
      <c r="RO16" s="41"/>
      <c r="RP16" s="41"/>
      <c r="RQ16" s="41"/>
      <c r="RR16" s="41"/>
      <c r="RS16" s="41"/>
      <c r="RT16" s="41"/>
      <c r="RU16" s="41"/>
      <c r="RV16" s="41"/>
      <c r="RW16" s="41"/>
      <c r="RX16" s="41"/>
      <c r="RY16" s="41"/>
      <c r="RZ16" s="41"/>
      <c r="SA16" s="41"/>
      <c r="SB16" s="41"/>
      <c r="SC16" s="41"/>
      <c r="SD16" s="41"/>
      <c r="SE16" s="41"/>
      <c r="SF16" s="41"/>
      <c r="SG16" s="41"/>
      <c r="SH16" s="41"/>
      <c r="SI16" s="41"/>
      <c r="SJ16" s="41"/>
      <c r="SK16" s="41"/>
      <c r="SL16" s="41"/>
      <c r="SM16" s="41"/>
      <c r="SN16" s="41"/>
      <c r="SO16" s="41"/>
      <c r="SP16" s="41"/>
      <c r="SQ16" s="41"/>
      <c r="SR16" s="41"/>
      <c r="SS16" s="41"/>
      <c r="ST16" s="41"/>
      <c r="SU16" s="41"/>
      <c r="SV16" s="41"/>
      <c r="SW16" s="41"/>
      <c r="SX16" s="41"/>
      <c r="SY16" s="41"/>
      <c r="SZ16" s="41"/>
      <c r="TA16" s="41"/>
      <c r="TB16" s="41"/>
      <c r="TC16" s="41"/>
      <c r="TD16" s="41"/>
      <c r="TE16" s="41"/>
      <c r="TF16" s="41"/>
      <c r="TG16" s="41"/>
      <c r="TH16" s="41"/>
      <c r="TI16" s="41"/>
      <c r="TJ16" s="41"/>
      <c r="TK16" s="41"/>
      <c r="TL16" s="41"/>
      <c r="TM16" s="41"/>
      <c r="TN16" s="41"/>
      <c r="TO16" s="41"/>
      <c r="TP16" s="41"/>
      <c r="TQ16" s="41"/>
      <c r="TR16" s="41"/>
      <c r="TS16" s="41"/>
      <c r="TT16" s="41"/>
      <c r="TU16" s="41"/>
      <c r="TV16" s="41"/>
      <c r="TW16" s="41"/>
      <c r="TX16" s="41"/>
      <c r="TY16" s="41"/>
      <c r="TZ16" s="41"/>
      <c r="UA16" s="41"/>
      <c r="UB16" s="41"/>
      <c r="UC16" s="41"/>
      <c r="UD16" s="41"/>
      <c r="UE16" s="41"/>
      <c r="UF16" s="41"/>
      <c r="UG16" s="41"/>
      <c r="UH16" s="41"/>
      <c r="UI16" s="41"/>
      <c r="UJ16" s="41"/>
      <c r="UK16" s="41"/>
      <c r="UL16" s="41"/>
      <c r="UM16" s="41"/>
      <c r="UN16" s="41"/>
      <c r="UO16" s="41"/>
      <c r="UP16" s="41"/>
      <c r="UQ16" s="41"/>
      <c r="UR16" s="41"/>
      <c r="US16" s="41"/>
      <c r="UT16" s="41"/>
      <c r="UU16" s="41"/>
      <c r="UV16" s="41"/>
      <c r="UW16" s="41"/>
      <c r="UX16" s="41"/>
      <c r="UY16" s="41"/>
      <c r="UZ16" s="41"/>
      <c r="VA16" s="41"/>
      <c r="VB16" s="41"/>
      <c r="VC16" s="41"/>
      <c r="VD16" s="41"/>
      <c r="VE16" s="41"/>
      <c r="VF16" s="41"/>
      <c r="VG16" s="41"/>
      <c r="VH16" s="41"/>
      <c r="VI16" s="41"/>
      <c r="VJ16" s="41"/>
      <c r="VK16" s="41"/>
      <c r="VL16" s="41"/>
      <c r="VM16" s="41"/>
      <c r="VN16" s="41"/>
      <c r="VO16" s="41"/>
      <c r="VP16" s="41"/>
      <c r="VQ16" s="41"/>
      <c r="VR16" s="41"/>
      <c r="VS16" s="41"/>
      <c r="VT16" s="41"/>
      <c r="VU16" s="41"/>
      <c r="VV16" s="41"/>
      <c r="VW16" s="41"/>
      <c r="VX16" s="41"/>
      <c r="VY16" s="41"/>
      <c r="VZ16" s="41"/>
      <c r="WA16" s="41"/>
      <c r="WB16" s="41"/>
      <c r="WC16" s="41"/>
      <c r="WD16" s="41"/>
      <c r="WE16" s="41"/>
      <c r="WF16" s="41"/>
      <c r="WG16" s="41"/>
      <c r="WH16" s="41"/>
      <c r="WI16" s="41"/>
      <c r="WJ16" s="41"/>
      <c r="WK16" s="41"/>
      <c r="WL16" s="41"/>
      <c r="WM16" s="41"/>
      <c r="WN16" s="41"/>
      <c r="WO16" s="41"/>
      <c r="WP16" s="41"/>
      <c r="WQ16" s="41"/>
      <c r="WR16" s="41"/>
      <c r="WS16" s="41"/>
      <c r="WT16" s="41"/>
      <c r="WU16" s="41"/>
      <c r="WV16" s="41"/>
      <c r="WW16" s="41"/>
      <c r="WX16" s="41"/>
      <c r="WY16" s="41"/>
      <c r="WZ16" s="41"/>
      <c r="XA16" s="41"/>
      <c r="XB16" s="41"/>
      <c r="XC16" s="41"/>
      <c r="XD16" s="41"/>
      <c r="XE16" s="41"/>
      <c r="XF16" s="41"/>
      <c r="XG16" s="41"/>
      <c r="XH16" s="41"/>
      <c r="XI16" s="41"/>
      <c r="XJ16" s="41"/>
      <c r="XK16" s="41"/>
      <c r="XL16" s="41"/>
      <c r="XM16" s="41"/>
      <c r="XN16" s="41"/>
      <c r="XO16" s="41"/>
      <c r="XP16" s="41"/>
      <c r="XQ16" s="41"/>
      <c r="XR16" s="41"/>
      <c r="XS16" s="41"/>
      <c r="XT16" s="41"/>
      <c r="XU16" s="41"/>
      <c r="XV16" s="41"/>
      <c r="XW16" s="41"/>
      <c r="XX16" s="41"/>
      <c r="XY16" s="41"/>
      <c r="XZ16" s="41"/>
      <c r="YA16" s="41"/>
      <c r="YB16" s="41"/>
      <c r="YC16" s="41"/>
      <c r="YD16" s="41"/>
      <c r="YE16" s="41"/>
      <c r="YF16" s="41"/>
      <c r="YG16" s="41"/>
      <c r="YH16" s="41"/>
      <c r="YI16" s="41"/>
      <c r="YJ16" s="41"/>
      <c r="YK16" s="41"/>
      <c r="YL16" s="41"/>
      <c r="YM16" s="41"/>
      <c r="YN16" s="41"/>
      <c r="YO16" s="41"/>
      <c r="YP16" s="41"/>
      <c r="YQ16" s="41"/>
      <c r="YR16" s="41"/>
      <c r="YS16" s="41"/>
      <c r="YT16" s="41"/>
      <c r="YU16" s="41"/>
      <c r="YV16" s="41"/>
      <c r="YW16" s="41"/>
      <c r="YX16" s="41"/>
      <c r="YY16" s="41"/>
      <c r="YZ16" s="41"/>
      <c r="ZA16" s="41"/>
      <c r="ZB16" s="41"/>
      <c r="ZC16" s="41"/>
      <c r="ZD16" s="41"/>
      <c r="ZE16" s="41"/>
      <c r="ZF16" s="41"/>
      <c r="ZG16" s="41"/>
      <c r="ZH16" s="41"/>
      <c r="ZI16" s="41"/>
      <c r="ZJ16" s="41"/>
      <c r="ZK16" s="41"/>
      <c r="ZL16" s="41"/>
      <c r="ZM16" s="41"/>
      <c r="ZN16" s="41"/>
      <c r="ZO16" s="41"/>
      <c r="ZP16" s="41"/>
      <c r="ZQ16" s="41"/>
      <c r="ZR16" s="41"/>
      <c r="ZS16" s="41"/>
      <c r="ZT16" s="41"/>
      <c r="ZU16" s="41"/>
      <c r="ZV16" s="41"/>
      <c r="ZW16" s="41"/>
      <c r="ZX16" s="41"/>
      <c r="ZY16" s="41"/>
      <c r="ZZ16" s="41"/>
      <c r="AAA16" s="41"/>
      <c r="AAB16" s="41"/>
      <c r="AAC16" s="41"/>
    </row>
    <row r="17" spans="1:705" s="41" customFormat="1" ht="33.6" hidden="1" customHeight="1" x14ac:dyDescent="0.3">
      <c r="A17" s="26">
        <v>13</v>
      </c>
      <c r="B17" s="137">
        <v>239479</v>
      </c>
      <c r="C17" s="138">
        <v>13</v>
      </c>
      <c r="D17" s="139">
        <v>45907</v>
      </c>
      <c r="E17" s="139">
        <f t="shared" si="0"/>
        <v>45906</v>
      </c>
      <c r="F17" s="139">
        <f t="shared" si="1"/>
        <v>45917</v>
      </c>
      <c r="G17" s="139">
        <v>45917</v>
      </c>
      <c r="H17" s="139">
        <f ca="1">TODAY()</f>
        <v>46277</v>
      </c>
      <c r="I17" s="139" t="s">
        <v>75</v>
      </c>
      <c r="J17" s="140" t="s">
        <v>109</v>
      </c>
      <c r="K17" s="141">
        <f t="shared" ca="1" si="2"/>
        <v>360</v>
      </c>
      <c r="L17" s="141">
        <v>1140382</v>
      </c>
      <c r="M17" s="140" t="s">
        <v>15</v>
      </c>
      <c r="N17" s="140">
        <v>803246</v>
      </c>
      <c r="O17" s="140" t="s">
        <v>246</v>
      </c>
      <c r="P17" s="143">
        <v>45928</v>
      </c>
      <c r="Q17" s="143">
        <v>45943</v>
      </c>
      <c r="R17" s="137" t="s">
        <v>211</v>
      </c>
      <c r="S17" s="144" t="s">
        <v>110</v>
      </c>
      <c r="T17" s="145">
        <v>1</v>
      </c>
      <c r="U17" s="137" t="s">
        <v>106</v>
      </c>
      <c r="V17" s="146">
        <v>5</v>
      </c>
      <c r="W17" s="146">
        <v>5</v>
      </c>
      <c r="X17" s="147"/>
      <c r="Y17" s="146"/>
      <c r="Z17" s="146"/>
      <c r="AA17" s="146"/>
      <c r="AB17" s="146">
        <v>5</v>
      </c>
      <c r="AC17" s="146">
        <v>5</v>
      </c>
      <c r="AD17" s="146">
        <v>0</v>
      </c>
      <c r="AE17" s="146">
        <v>0</v>
      </c>
      <c r="AF17" s="146">
        <v>0</v>
      </c>
      <c r="AG17" s="146">
        <v>0</v>
      </c>
      <c r="AH17" s="146">
        <v>1</v>
      </c>
      <c r="AI17" s="146">
        <v>1</v>
      </c>
      <c r="AJ17" s="146">
        <v>0</v>
      </c>
      <c r="AK17" s="146">
        <v>0</v>
      </c>
      <c r="AL17" s="146">
        <v>0</v>
      </c>
      <c r="AM17" s="146">
        <v>0</v>
      </c>
      <c r="AN17" s="146">
        <v>0</v>
      </c>
      <c r="AO17" s="146">
        <v>0</v>
      </c>
      <c r="AP17" s="146">
        <v>1</v>
      </c>
      <c r="AQ17" s="146">
        <v>1</v>
      </c>
      <c r="AR17" s="146">
        <v>0</v>
      </c>
      <c r="AS17" s="146">
        <v>0</v>
      </c>
      <c r="AT17" s="146">
        <v>1</v>
      </c>
      <c r="AU17" s="146">
        <v>1</v>
      </c>
      <c r="AV17" s="146">
        <v>0</v>
      </c>
      <c r="AW17" s="146">
        <v>0</v>
      </c>
      <c r="AX17" s="146">
        <f t="shared" si="3"/>
        <v>1735</v>
      </c>
      <c r="AY17" s="146">
        <f t="shared" si="4"/>
        <v>1735</v>
      </c>
      <c r="AZ17" s="140" t="s">
        <v>562</v>
      </c>
      <c r="BA17" s="140" t="s">
        <v>562</v>
      </c>
      <c r="BB17" s="140">
        <v>4</v>
      </c>
      <c r="BC17" s="148">
        <v>13</v>
      </c>
      <c r="BD17" s="149"/>
      <c r="BE17" s="145"/>
      <c r="BF17" s="150"/>
      <c r="BG17" s="151">
        <v>45901</v>
      </c>
      <c r="BH17" s="151" t="s">
        <v>15</v>
      </c>
      <c r="BI17" s="140" t="s">
        <v>562</v>
      </c>
    </row>
    <row r="18" spans="1:705" s="41" customFormat="1" ht="42" hidden="1" x14ac:dyDescent="0.3">
      <c r="A18" s="26">
        <v>14</v>
      </c>
      <c r="B18" s="137">
        <v>239480</v>
      </c>
      <c r="C18" s="138">
        <v>14</v>
      </c>
      <c r="D18" s="139">
        <v>45907</v>
      </c>
      <c r="E18" s="139">
        <f t="shared" si="0"/>
        <v>45906</v>
      </c>
      <c r="F18" s="139">
        <f t="shared" si="1"/>
        <v>45917</v>
      </c>
      <c r="G18" s="139">
        <v>45917</v>
      </c>
      <c r="H18" s="139">
        <v>45925</v>
      </c>
      <c r="I18" s="139" t="s">
        <v>75</v>
      </c>
      <c r="J18" s="137" t="s">
        <v>111</v>
      </c>
      <c r="K18" s="141">
        <f t="shared" si="2"/>
        <v>8</v>
      </c>
      <c r="L18" s="142">
        <v>1140386</v>
      </c>
      <c r="M18" s="140" t="s">
        <v>15</v>
      </c>
      <c r="N18" s="140">
        <v>803226</v>
      </c>
      <c r="O18" s="140" t="s">
        <v>246</v>
      </c>
      <c r="P18" s="143">
        <v>45918</v>
      </c>
      <c r="Q18" s="143">
        <v>45933</v>
      </c>
      <c r="R18" s="137" t="s">
        <v>211</v>
      </c>
      <c r="S18" s="144" t="s">
        <v>112</v>
      </c>
      <c r="T18" s="145">
        <v>1</v>
      </c>
      <c r="U18" s="137" t="s">
        <v>81</v>
      </c>
      <c r="V18" s="146">
        <v>8</v>
      </c>
      <c r="W18" s="146">
        <v>8</v>
      </c>
      <c r="X18" s="147">
        <v>0</v>
      </c>
      <c r="Y18" s="146">
        <v>0</v>
      </c>
      <c r="Z18" s="146">
        <v>0</v>
      </c>
      <c r="AA18" s="146">
        <v>0</v>
      </c>
      <c r="AB18" s="146">
        <v>8</v>
      </c>
      <c r="AC18" s="146">
        <v>8</v>
      </c>
      <c r="AD18" s="146">
        <v>0</v>
      </c>
      <c r="AE18" s="146">
        <v>0</v>
      </c>
      <c r="AF18" s="146">
        <v>0</v>
      </c>
      <c r="AG18" s="146">
        <v>0</v>
      </c>
      <c r="AH18" s="146">
        <v>1</v>
      </c>
      <c r="AI18" s="146">
        <v>1</v>
      </c>
      <c r="AJ18" s="146">
        <v>0</v>
      </c>
      <c r="AK18" s="146"/>
      <c r="AL18" s="146">
        <v>0</v>
      </c>
      <c r="AM18" s="146">
        <v>0</v>
      </c>
      <c r="AN18" s="146">
        <v>1</v>
      </c>
      <c r="AO18" s="146">
        <v>1</v>
      </c>
      <c r="AP18" s="146">
        <v>1</v>
      </c>
      <c r="AQ18" s="146">
        <v>1</v>
      </c>
      <c r="AR18" s="146">
        <v>0</v>
      </c>
      <c r="AS18" s="146">
        <v>0</v>
      </c>
      <c r="AT18" s="146">
        <v>1</v>
      </c>
      <c r="AU18" s="146">
        <v>1</v>
      </c>
      <c r="AV18" s="146">
        <v>0</v>
      </c>
      <c r="AW18" s="146">
        <v>0</v>
      </c>
      <c r="AX18" s="146">
        <f t="shared" si="3"/>
        <v>2146</v>
      </c>
      <c r="AY18" s="146">
        <f t="shared" si="4"/>
        <v>2146</v>
      </c>
      <c r="AZ18" s="140" t="s">
        <v>562</v>
      </c>
      <c r="BA18" s="140" t="s">
        <v>562</v>
      </c>
      <c r="BB18" s="140">
        <v>1</v>
      </c>
      <c r="BC18" s="148">
        <v>14</v>
      </c>
      <c r="BD18" s="149"/>
      <c r="BE18" s="145"/>
      <c r="BF18" s="150"/>
      <c r="BG18" s="151">
        <v>45901</v>
      </c>
      <c r="BH18" s="151" t="s">
        <v>15</v>
      </c>
      <c r="BI18" s="137" t="s">
        <v>562</v>
      </c>
    </row>
    <row r="19" spans="1:705" s="41" customFormat="1" ht="42" hidden="1" x14ac:dyDescent="0.3">
      <c r="A19" s="26">
        <v>15</v>
      </c>
      <c r="B19" s="137">
        <v>239481</v>
      </c>
      <c r="C19" s="138">
        <v>15</v>
      </c>
      <c r="D19" s="139">
        <v>45907</v>
      </c>
      <c r="E19" s="139">
        <f t="shared" si="0"/>
        <v>45906</v>
      </c>
      <c r="F19" s="139">
        <f t="shared" si="1"/>
        <v>45917</v>
      </c>
      <c r="G19" s="139">
        <v>45917</v>
      </c>
      <c r="H19" s="139">
        <v>45922</v>
      </c>
      <c r="I19" s="139" t="s">
        <v>75</v>
      </c>
      <c r="J19" s="141" t="s">
        <v>113</v>
      </c>
      <c r="K19" s="141">
        <f t="shared" si="2"/>
        <v>5</v>
      </c>
      <c r="L19" s="141">
        <v>1140387</v>
      </c>
      <c r="M19" s="140" t="s">
        <v>15</v>
      </c>
      <c r="N19" s="140">
        <v>803255</v>
      </c>
      <c r="O19" s="140" t="s">
        <v>246</v>
      </c>
      <c r="P19" s="143">
        <v>45917</v>
      </c>
      <c r="Q19" s="143">
        <v>45932</v>
      </c>
      <c r="R19" s="137" t="s">
        <v>211</v>
      </c>
      <c r="S19" s="144" t="s">
        <v>114</v>
      </c>
      <c r="T19" s="145">
        <v>1</v>
      </c>
      <c r="U19" s="137" t="s">
        <v>98</v>
      </c>
      <c r="V19" s="146">
        <v>7</v>
      </c>
      <c r="W19" s="146">
        <v>7</v>
      </c>
      <c r="X19" s="147">
        <v>0</v>
      </c>
      <c r="Y19" s="146">
        <v>0</v>
      </c>
      <c r="Z19" s="146">
        <v>0</v>
      </c>
      <c r="AA19" s="146">
        <v>0</v>
      </c>
      <c r="AB19" s="146">
        <v>7</v>
      </c>
      <c r="AC19" s="146">
        <v>7</v>
      </c>
      <c r="AD19" s="146">
        <v>0</v>
      </c>
      <c r="AE19" s="146">
        <v>0</v>
      </c>
      <c r="AF19" s="146">
        <v>0</v>
      </c>
      <c r="AG19" s="146">
        <v>0</v>
      </c>
      <c r="AH19" s="146">
        <v>1</v>
      </c>
      <c r="AI19" s="146">
        <v>1</v>
      </c>
      <c r="AJ19" s="146">
        <v>0</v>
      </c>
      <c r="AK19" s="146">
        <v>0</v>
      </c>
      <c r="AL19" s="146">
        <v>0</v>
      </c>
      <c r="AM19" s="146">
        <v>0</v>
      </c>
      <c r="AN19" s="146">
        <v>0</v>
      </c>
      <c r="AO19" s="146">
        <v>0</v>
      </c>
      <c r="AP19" s="146">
        <v>1</v>
      </c>
      <c r="AQ19" s="146">
        <v>1</v>
      </c>
      <c r="AR19" s="146">
        <v>0</v>
      </c>
      <c r="AS19" s="146">
        <v>0</v>
      </c>
      <c r="AT19" s="146">
        <v>1</v>
      </c>
      <c r="AU19" s="146">
        <v>1</v>
      </c>
      <c r="AV19" s="146">
        <v>0</v>
      </c>
      <c r="AW19" s="146">
        <v>0</v>
      </c>
      <c r="AX19" s="146">
        <f t="shared" si="3"/>
        <v>1969</v>
      </c>
      <c r="AY19" s="146">
        <f t="shared" si="4"/>
        <v>1969</v>
      </c>
      <c r="AZ19" s="140" t="s">
        <v>562</v>
      </c>
      <c r="BA19" s="140" t="s">
        <v>562</v>
      </c>
      <c r="BB19" s="140">
        <v>2</v>
      </c>
      <c r="BC19" s="148">
        <v>15</v>
      </c>
      <c r="BD19" s="149"/>
      <c r="BE19" s="145"/>
      <c r="BF19" s="150"/>
      <c r="BG19" s="151">
        <v>45901</v>
      </c>
      <c r="BH19" s="151" t="s">
        <v>15</v>
      </c>
      <c r="BI19" s="137" t="s">
        <v>562</v>
      </c>
    </row>
    <row r="20" spans="1:705" s="42" customFormat="1" ht="42" hidden="1" x14ac:dyDescent="0.3">
      <c r="A20" s="26">
        <v>16</v>
      </c>
      <c r="B20" s="137">
        <v>239482</v>
      </c>
      <c r="C20" s="138">
        <v>16</v>
      </c>
      <c r="D20" s="139">
        <v>45907</v>
      </c>
      <c r="E20" s="139">
        <f t="shared" si="0"/>
        <v>45906</v>
      </c>
      <c r="F20" s="139">
        <f t="shared" si="1"/>
        <v>45917</v>
      </c>
      <c r="G20" s="139">
        <v>45917</v>
      </c>
      <c r="H20" s="139">
        <v>45917</v>
      </c>
      <c r="I20" s="139" t="s">
        <v>75</v>
      </c>
      <c r="J20" s="140" t="s">
        <v>115</v>
      </c>
      <c r="K20" s="141">
        <f t="shared" si="2"/>
        <v>0</v>
      </c>
      <c r="L20" s="141">
        <v>1140388</v>
      </c>
      <c r="M20" s="140" t="s">
        <v>15</v>
      </c>
      <c r="N20" s="140">
        <v>802824</v>
      </c>
      <c r="O20" s="140" t="s">
        <v>246</v>
      </c>
      <c r="P20" s="143">
        <v>45914</v>
      </c>
      <c r="Q20" s="143">
        <v>45928</v>
      </c>
      <c r="R20" s="137" t="s">
        <v>211</v>
      </c>
      <c r="S20" s="144" t="s">
        <v>116</v>
      </c>
      <c r="T20" s="145">
        <v>1</v>
      </c>
      <c r="U20" s="137" t="s">
        <v>82</v>
      </c>
      <c r="V20" s="146">
        <v>8</v>
      </c>
      <c r="W20" s="146">
        <v>8</v>
      </c>
      <c r="X20" s="147">
        <v>0</v>
      </c>
      <c r="Y20" s="146">
        <v>0</v>
      </c>
      <c r="Z20" s="146">
        <v>0</v>
      </c>
      <c r="AA20" s="146">
        <v>0</v>
      </c>
      <c r="AB20" s="146">
        <v>0</v>
      </c>
      <c r="AC20" s="146"/>
      <c r="AD20" s="146">
        <v>0</v>
      </c>
      <c r="AE20" s="146">
        <v>0</v>
      </c>
      <c r="AF20" s="146">
        <v>0</v>
      </c>
      <c r="AG20" s="146">
        <v>0</v>
      </c>
      <c r="AH20" s="146">
        <v>1</v>
      </c>
      <c r="AI20" s="146">
        <v>1</v>
      </c>
      <c r="AJ20" s="146">
        <v>0</v>
      </c>
      <c r="AK20" s="146"/>
      <c r="AL20" s="146">
        <v>0</v>
      </c>
      <c r="AM20" s="146">
        <v>0</v>
      </c>
      <c r="AN20" s="146">
        <v>0</v>
      </c>
      <c r="AO20" s="146">
        <v>0</v>
      </c>
      <c r="AP20" s="146">
        <v>1</v>
      </c>
      <c r="AQ20" s="146">
        <v>1</v>
      </c>
      <c r="AR20" s="146">
        <v>0</v>
      </c>
      <c r="AS20" s="146">
        <v>0</v>
      </c>
      <c r="AT20" s="146">
        <v>1</v>
      </c>
      <c r="AU20" s="146">
        <v>1</v>
      </c>
      <c r="AV20" s="146">
        <v>0</v>
      </c>
      <c r="AW20" s="146">
        <v>0</v>
      </c>
      <c r="AX20" s="146">
        <f t="shared" si="3"/>
        <v>1630</v>
      </c>
      <c r="AY20" s="146">
        <f t="shared" si="4"/>
        <v>1630</v>
      </c>
      <c r="AZ20" s="140" t="s">
        <v>562</v>
      </c>
      <c r="BA20" s="140" t="s">
        <v>562</v>
      </c>
      <c r="BB20" s="140">
        <v>2</v>
      </c>
      <c r="BC20" s="148">
        <v>16</v>
      </c>
      <c r="BD20" s="149"/>
      <c r="BE20" s="145"/>
      <c r="BF20" s="150"/>
      <c r="BG20" s="151">
        <v>45901</v>
      </c>
      <c r="BH20" s="151" t="s">
        <v>15</v>
      </c>
      <c r="BI20" s="137" t="s">
        <v>562</v>
      </c>
      <c r="CC20" s="41"/>
      <c r="CD20" s="41"/>
      <c r="CE20" s="41"/>
      <c r="CF20" s="41"/>
      <c r="CG20" s="41"/>
      <c r="CH20" s="41"/>
      <c r="CI20" s="41"/>
      <c r="CJ20" s="41"/>
      <c r="CK20" s="41"/>
      <c r="CL20" s="41"/>
      <c r="CM20" s="41"/>
      <c r="CN20" s="41"/>
      <c r="CO20" s="41"/>
      <c r="CP20" s="41"/>
      <c r="CQ20" s="41"/>
      <c r="CR20" s="41"/>
      <c r="CS20" s="41"/>
      <c r="CT20" s="41"/>
      <c r="CU20" s="41"/>
      <c r="CV20" s="41"/>
      <c r="CW20" s="41"/>
      <c r="CX20" s="41"/>
      <c r="CY20" s="41"/>
      <c r="CZ20" s="41"/>
      <c r="DA20" s="41"/>
      <c r="DB20" s="41"/>
      <c r="DC20" s="41"/>
      <c r="DD20" s="41"/>
      <c r="DE20" s="41"/>
      <c r="DF20" s="41"/>
      <c r="DG20" s="41"/>
      <c r="DH20" s="41"/>
      <c r="DI20" s="41"/>
      <c r="DJ20" s="41"/>
      <c r="DK20" s="41"/>
      <c r="DL20" s="41"/>
      <c r="DM20" s="41"/>
      <c r="DN20" s="41"/>
      <c r="DO20" s="41"/>
      <c r="DP20" s="41"/>
      <c r="DQ20" s="41"/>
      <c r="DR20" s="41"/>
      <c r="DS20" s="41"/>
      <c r="DT20" s="41"/>
      <c r="DU20" s="41"/>
      <c r="DV20" s="41"/>
      <c r="DW20" s="41"/>
      <c r="DX20" s="41"/>
      <c r="DY20" s="41"/>
      <c r="DZ20" s="41"/>
      <c r="EA20" s="41"/>
      <c r="EB20" s="41"/>
      <c r="EC20" s="41"/>
      <c r="ED20" s="41"/>
      <c r="EE20" s="41"/>
      <c r="EF20" s="41"/>
      <c r="EG20" s="41"/>
      <c r="EH20" s="41"/>
      <c r="EI20" s="41"/>
      <c r="EJ20" s="41"/>
      <c r="EK20" s="41"/>
      <c r="EL20" s="41"/>
      <c r="EM20" s="41"/>
      <c r="EN20" s="41"/>
      <c r="EO20" s="41"/>
      <c r="EP20" s="41"/>
      <c r="EQ20" s="41"/>
      <c r="ER20" s="41"/>
      <c r="ES20" s="41"/>
      <c r="ET20" s="41"/>
      <c r="EU20" s="41"/>
      <c r="EV20" s="41"/>
      <c r="EW20" s="41"/>
      <c r="EX20" s="41"/>
      <c r="EY20" s="41"/>
      <c r="EZ20" s="41"/>
      <c r="FA20" s="41"/>
      <c r="FB20" s="41"/>
      <c r="FC20" s="41"/>
      <c r="FD20" s="41"/>
      <c r="FE20" s="41"/>
      <c r="FF20" s="41"/>
      <c r="FG20" s="41"/>
      <c r="FH20" s="41"/>
      <c r="FI20" s="41"/>
      <c r="FJ20" s="41"/>
      <c r="FK20" s="41"/>
      <c r="FL20" s="41"/>
      <c r="FM20" s="41"/>
      <c r="FN20" s="41"/>
      <c r="FO20" s="41"/>
      <c r="FP20" s="41"/>
      <c r="FQ20" s="41"/>
      <c r="FR20" s="41"/>
      <c r="FS20" s="41"/>
      <c r="FT20" s="41"/>
      <c r="FU20" s="41"/>
      <c r="FV20" s="41"/>
      <c r="FW20" s="41"/>
      <c r="FX20" s="41"/>
      <c r="FY20" s="41"/>
      <c r="FZ20" s="41"/>
      <c r="GA20" s="41"/>
      <c r="GB20" s="41"/>
      <c r="GC20" s="41"/>
      <c r="GD20" s="41"/>
      <c r="GE20" s="41"/>
      <c r="GF20" s="41"/>
      <c r="GG20" s="41"/>
      <c r="GH20" s="41"/>
      <c r="GI20" s="41"/>
      <c r="GJ20" s="41"/>
      <c r="GK20" s="41"/>
      <c r="GL20" s="41"/>
      <c r="GM20" s="41"/>
      <c r="GN20" s="41"/>
      <c r="GO20" s="41"/>
      <c r="GP20" s="41"/>
      <c r="GQ20" s="41"/>
      <c r="GR20" s="41"/>
      <c r="GS20" s="41"/>
      <c r="GT20" s="41"/>
      <c r="GU20" s="41"/>
      <c r="GV20" s="41"/>
      <c r="GW20" s="41"/>
      <c r="GX20" s="41"/>
      <c r="GY20" s="41"/>
      <c r="GZ20" s="41"/>
      <c r="HA20" s="41"/>
      <c r="HB20" s="41"/>
      <c r="HC20" s="41"/>
      <c r="HD20" s="41"/>
      <c r="HE20" s="41"/>
      <c r="HF20" s="41"/>
      <c r="HG20" s="41"/>
      <c r="HH20" s="41"/>
      <c r="HI20" s="41"/>
      <c r="HJ20" s="41"/>
      <c r="HK20" s="41"/>
      <c r="HL20" s="41"/>
      <c r="HM20" s="41"/>
      <c r="HN20" s="41"/>
      <c r="HO20" s="41"/>
      <c r="HP20" s="41"/>
      <c r="HQ20" s="41"/>
      <c r="HR20" s="41"/>
      <c r="HS20" s="41"/>
      <c r="HT20" s="41"/>
      <c r="HU20" s="41"/>
      <c r="HV20" s="41"/>
      <c r="HW20" s="41"/>
      <c r="HX20" s="41"/>
      <c r="HY20" s="41"/>
      <c r="HZ20" s="41"/>
      <c r="IA20" s="41"/>
      <c r="IB20" s="41"/>
      <c r="IC20" s="41"/>
      <c r="ID20" s="41"/>
      <c r="IE20" s="41"/>
      <c r="IF20" s="41"/>
      <c r="IG20" s="41"/>
      <c r="IH20" s="41"/>
      <c r="II20" s="41"/>
      <c r="IJ20" s="41"/>
      <c r="IK20" s="41"/>
      <c r="IL20" s="41"/>
      <c r="IM20" s="41"/>
      <c r="IN20" s="41"/>
      <c r="IO20" s="41"/>
      <c r="IP20" s="41"/>
      <c r="IQ20" s="41"/>
      <c r="IR20" s="41"/>
      <c r="IS20" s="41"/>
      <c r="IT20" s="41"/>
      <c r="IU20" s="41"/>
      <c r="IV20" s="41"/>
      <c r="IW20" s="41"/>
      <c r="IX20" s="41"/>
      <c r="IY20" s="41"/>
      <c r="IZ20" s="41"/>
      <c r="JA20" s="41"/>
      <c r="JB20" s="41"/>
      <c r="JC20" s="41"/>
      <c r="JD20" s="41"/>
      <c r="JE20" s="41"/>
      <c r="JF20" s="41"/>
      <c r="JG20" s="41"/>
      <c r="JH20" s="41"/>
      <c r="JI20" s="41"/>
      <c r="JJ20" s="41"/>
      <c r="JK20" s="41"/>
      <c r="JL20" s="41"/>
      <c r="JM20" s="41"/>
      <c r="JN20" s="41"/>
      <c r="JO20" s="41"/>
      <c r="JP20" s="41"/>
      <c r="JQ20" s="41"/>
      <c r="JR20" s="41"/>
      <c r="JS20" s="41"/>
      <c r="JT20" s="41"/>
      <c r="JU20" s="41"/>
      <c r="JV20" s="41"/>
      <c r="JW20" s="41"/>
      <c r="JX20" s="41"/>
      <c r="JY20" s="41"/>
      <c r="JZ20" s="41"/>
      <c r="KA20" s="41"/>
      <c r="KB20" s="41"/>
      <c r="KC20" s="41"/>
      <c r="KD20" s="41"/>
      <c r="KE20" s="41"/>
      <c r="KF20" s="41"/>
      <c r="KG20" s="41"/>
      <c r="KH20" s="41"/>
      <c r="KI20" s="41"/>
      <c r="KJ20" s="41"/>
      <c r="KK20" s="41"/>
      <c r="KL20" s="41"/>
      <c r="KM20" s="41"/>
      <c r="KN20" s="41"/>
      <c r="KO20" s="41"/>
      <c r="KP20" s="41"/>
      <c r="KQ20" s="41"/>
      <c r="KR20" s="41"/>
      <c r="KS20" s="41"/>
      <c r="KT20" s="41"/>
      <c r="KU20" s="41"/>
      <c r="KV20" s="41"/>
      <c r="KW20" s="41"/>
      <c r="KX20" s="41"/>
      <c r="KY20" s="41"/>
      <c r="KZ20" s="41"/>
      <c r="LA20" s="41"/>
      <c r="LB20" s="41"/>
      <c r="LC20" s="41"/>
      <c r="LD20" s="41"/>
      <c r="LE20" s="41"/>
      <c r="LF20" s="41"/>
      <c r="LG20" s="41"/>
      <c r="LH20" s="41"/>
      <c r="LI20" s="41"/>
      <c r="LJ20" s="41"/>
      <c r="LK20" s="41"/>
      <c r="LL20" s="41"/>
      <c r="LM20" s="41"/>
      <c r="LN20" s="41"/>
      <c r="LO20" s="41"/>
      <c r="LP20" s="41"/>
      <c r="LQ20" s="41"/>
      <c r="LR20" s="41"/>
      <c r="LS20" s="41"/>
      <c r="LT20" s="41"/>
      <c r="LU20" s="41"/>
      <c r="LV20" s="41"/>
      <c r="LW20" s="41"/>
      <c r="LX20" s="41"/>
      <c r="LY20" s="41"/>
      <c r="LZ20" s="41"/>
      <c r="MA20" s="41"/>
      <c r="MB20" s="41"/>
      <c r="MC20" s="41"/>
      <c r="MD20" s="41"/>
      <c r="ME20" s="41"/>
      <c r="MF20" s="41"/>
      <c r="MG20" s="41"/>
      <c r="MH20" s="41"/>
      <c r="MI20" s="41"/>
      <c r="MJ20" s="41"/>
      <c r="MK20" s="41"/>
      <c r="ML20" s="41"/>
      <c r="MM20" s="41"/>
      <c r="MN20" s="41"/>
      <c r="MO20" s="41"/>
      <c r="MP20" s="41"/>
      <c r="MQ20" s="41"/>
      <c r="MR20" s="41"/>
      <c r="MS20" s="41"/>
      <c r="MT20" s="41"/>
      <c r="MU20" s="41"/>
      <c r="MV20" s="41"/>
      <c r="MW20" s="41"/>
      <c r="MX20" s="41"/>
      <c r="MY20" s="41"/>
      <c r="MZ20" s="41"/>
      <c r="NA20" s="41"/>
      <c r="NB20" s="41"/>
      <c r="NC20" s="41"/>
      <c r="ND20" s="41"/>
      <c r="NE20" s="41"/>
      <c r="NF20" s="41"/>
      <c r="NG20" s="41"/>
      <c r="NH20" s="41"/>
      <c r="NI20" s="41"/>
      <c r="NJ20" s="41"/>
      <c r="NK20" s="41"/>
      <c r="NL20" s="41"/>
      <c r="NM20" s="41"/>
      <c r="NN20" s="41"/>
      <c r="NO20" s="41"/>
      <c r="NP20" s="41"/>
      <c r="NQ20" s="41"/>
      <c r="NR20" s="41"/>
      <c r="NS20" s="41"/>
      <c r="NT20" s="41"/>
      <c r="NU20" s="41"/>
      <c r="NV20" s="41"/>
      <c r="NW20" s="41"/>
      <c r="NX20" s="41"/>
      <c r="NY20" s="41"/>
      <c r="NZ20" s="41"/>
      <c r="OA20" s="41"/>
      <c r="OB20" s="41"/>
      <c r="OC20" s="41"/>
      <c r="OD20" s="41"/>
      <c r="OE20" s="41"/>
      <c r="OF20" s="41"/>
      <c r="OG20" s="41"/>
      <c r="OH20" s="41"/>
      <c r="OI20" s="41"/>
      <c r="OJ20" s="41"/>
      <c r="OK20" s="41"/>
      <c r="OL20" s="41"/>
      <c r="OM20" s="41"/>
      <c r="ON20" s="41"/>
      <c r="OO20" s="41"/>
      <c r="OP20" s="41"/>
      <c r="OQ20" s="41"/>
      <c r="OR20" s="41"/>
      <c r="OS20" s="41"/>
      <c r="OT20" s="41"/>
      <c r="OU20" s="41"/>
      <c r="OV20" s="41"/>
      <c r="OW20" s="41"/>
      <c r="OX20" s="41"/>
      <c r="OY20" s="41"/>
      <c r="OZ20" s="41"/>
      <c r="PA20" s="41"/>
      <c r="PB20" s="41"/>
      <c r="PC20" s="41"/>
      <c r="PD20" s="41"/>
      <c r="PE20" s="41"/>
      <c r="PF20" s="41"/>
      <c r="PG20" s="41"/>
      <c r="PH20" s="41"/>
      <c r="PI20" s="41"/>
      <c r="PJ20" s="41"/>
      <c r="PK20" s="41"/>
      <c r="PL20" s="41"/>
      <c r="PM20" s="41"/>
      <c r="PN20" s="41"/>
      <c r="PO20" s="41"/>
      <c r="PP20" s="41"/>
      <c r="PQ20" s="41"/>
      <c r="PR20" s="41"/>
      <c r="PS20" s="41"/>
      <c r="PT20" s="41"/>
      <c r="PU20" s="41"/>
      <c r="PV20" s="41"/>
      <c r="PW20" s="41"/>
      <c r="PX20" s="41"/>
      <c r="PY20" s="41"/>
      <c r="PZ20" s="41"/>
      <c r="QA20" s="41"/>
      <c r="QB20" s="41"/>
      <c r="QC20" s="41"/>
      <c r="QD20" s="41"/>
      <c r="QE20" s="41"/>
      <c r="QF20" s="41"/>
      <c r="QG20" s="41"/>
      <c r="QH20" s="41"/>
      <c r="QI20" s="41"/>
      <c r="QJ20" s="41"/>
      <c r="QK20" s="41"/>
      <c r="QL20" s="41"/>
      <c r="QM20" s="41"/>
      <c r="QN20" s="41"/>
      <c r="QO20" s="41"/>
      <c r="QP20" s="41"/>
      <c r="QQ20" s="41"/>
      <c r="QR20" s="41"/>
      <c r="QS20" s="41"/>
      <c r="QT20" s="41"/>
      <c r="QU20" s="41"/>
      <c r="QV20" s="41"/>
      <c r="QW20" s="41"/>
      <c r="QX20" s="41"/>
      <c r="QY20" s="41"/>
      <c r="QZ20" s="41"/>
      <c r="RA20" s="41"/>
      <c r="RB20" s="41"/>
      <c r="RC20" s="41"/>
      <c r="RD20" s="41"/>
      <c r="RE20" s="41"/>
      <c r="RF20" s="41"/>
      <c r="RG20" s="41"/>
      <c r="RH20" s="41"/>
      <c r="RI20" s="41"/>
      <c r="RJ20" s="41"/>
      <c r="RK20" s="41"/>
      <c r="RL20" s="41"/>
      <c r="RM20" s="41"/>
      <c r="RN20" s="41"/>
      <c r="RO20" s="41"/>
      <c r="RP20" s="41"/>
      <c r="RQ20" s="41"/>
      <c r="RR20" s="41"/>
      <c r="RS20" s="41"/>
      <c r="RT20" s="41"/>
      <c r="RU20" s="41"/>
      <c r="RV20" s="41"/>
      <c r="RW20" s="41"/>
      <c r="RX20" s="41"/>
      <c r="RY20" s="41"/>
      <c r="RZ20" s="41"/>
      <c r="SA20" s="41"/>
      <c r="SB20" s="41"/>
      <c r="SC20" s="41"/>
      <c r="SD20" s="41"/>
      <c r="SE20" s="41"/>
      <c r="SF20" s="41"/>
      <c r="SG20" s="41"/>
      <c r="SH20" s="41"/>
      <c r="SI20" s="41"/>
      <c r="SJ20" s="41"/>
      <c r="SK20" s="41"/>
      <c r="SL20" s="41"/>
      <c r="SM20" s="41"/>
      <c r="SN20" s="41"/>
      <c r="SO20" s="41"/>
      <c r="SP20" s="41"/>
      <c r="SQ20" s="41"/>
      <c r="SR20" s="41"/>
      <c r="SS20" s="41"/>
      <c r="ST20" s="41"/>
      <c r="SU20" s="41"/>
      <c r="SV20" s="41"/>
      <c r="SW20" s="41"/>
      <c r="SX20" s="41"/>
      <c r="SY20" s="41"/>
      <c r="SZ20" s="41"/>
      <c r="TA20" s="41"/>
      <c r="TB20" s="41"/>
      <c r="TC20" s="41"/>
      <c r="TD20" s="41"/>
      <c r="TE20" s="41"/>
      <c r="TF20" s="41"/>
      <c r="TG20" s="41"/>
      <c r="TH20" s="41"/>
      <c r="TI20" s="41"/>
      <c r="TJ20" s="41"/>
      <c r="TK20" s="41"/>
      <c r="TL20" s="41"/>
      <c r="TM20" s="41"/>
      <c r="TN20" s="41"/>
      <c r="TO20" s="41"/>
      <c r="TP20" s="41"/>
      <c r="TQ20" s="41"/>
      <c r="TR20" s="41"/>
      <c r="TS20" s="41"/>
      <c r="TT20" s="41"/>
      <c r="TU20" s="41"/>
      <c r="TV20" s="41"/>
      <c r="TW20" s="41"/>
      <c r="TX20" s="41"/>
      <c r="TY20" s="41"/>
      <c r="TZ20" s="41"/>
      <c r="UA20" s="41"/>
      <c r="UB20" s="41"/>
      <c r="UC20" s="41"/>
      <c r="UD20" s="41"/>
      <c r="UE20" s="41"/>
      <c r="UF20" s="41"/>
      <c r="UG20" s="41"/>
      <c r="UH20" s="41"/>
      <c r="UI20" s="41"/>
      <c r="UJ20" s="41"/>
      <c r="UK20" s="41"/>
      <c r="UL20" s="41"/>
      <c r="UM20" s="41"/>
      <c r="UN20" s="41"/>
      <c r="UO20" s="41"/>
      <c r="UP20" s="41"/>
      <c r="UQ20" s="41"/>
      <c r="UR20" s="41"/>
      <c r="US20" s="41"/>
      <c r="UT20" s="41"/>
      <c r="UU20" s="41"/>
      <c r="UV20" s="41"/>
      <c r="UW20" s="41"/>
      <c r="UX20" s="41"/>
      <c r="UY20" s="41"/>
      <c r="UZ20" s="41"/>
      <c r="VA20" s="41"/>
      <c r="VB20" s="41"/>
      <c r="VC20" s="41"/>
      <c r="VD20" s="41"/>
      <c r="VE20" s="41"/>
      <c r="VF20" s="41"/>
      <c r="VG20" s="41"/>
      <c r="VH20" s="41"/>
      <c r="VI20" s="41"/>
      <c r="VJ20" s="41"/>
      <c r="VK20" s="41"/>
      <c r="VL20" s="41"/>
      <c r="VM20" s="41"/>
      <c r="VN20" s="41"/>
      <c r="VO20" s="41"/>
      <c r="VP20" s="41"/>
      <c r="VQ20" s="41"/>
      <c r="VR20" s="41"/>
      <c r="VS20" s="41"/>
      <c r="VT20" s="41"/>
      <c r="VU20" s="41"/>
      <c r="VV20" s="41"/>
      <c r="VW20" s="41"/>
      <c r="VX20" s="41"/>
      <c r="VY20" s="41"/>
      <c r="VZ20" s="41"/>
      <c r="WA20" s="41"/>
      <c r="WB20" s="41"/>
      <c r="WC20" s="41"/>
      <c r="WD20" s="41"/>
      <c r="WE20" s="41"/>
      <c r="WF20" s="41"/>
      <c r="WG20" s="41"/>
      <c r="WH20" s="41"/>
      <c r="WI20" s="41"/>
      <c r="WJ20" s="41"/>
      <c r="WK20" s="41"/>
      <c r="WL20" s="41"/>
      <c r="WM20" s="41"/>
      <c r="WN20" s="41"/>
      <c r="WO20" s="41"/>
      <c r="WP20" s="41"/>
      <c r="WQ20" s="41"/>
      <c r="WR20" s="41"/>
      <c r="WS20" s="41"/>
      <c r="WT20" s="41"/>
      <c r="WU20" s="41"/>
      <c r="WV20" s="41"/>
      <c r="WW20" s="41"/>
      <c r="WX20" s="41"/>
      <c r="WY20" s="41"/>
      <c r="WZ20" s="41"/>
      <c r="XA20" s="41"/>
      <c r="XB20" s="41"/>
      <c r="XC20" s="41"/>
      <c r="XD20" s="41"/>
      <c r="XE20" s="41"/>
      <c r="XF20" s="41"/>
      <c r="XG20" s="41"/>
      <c r="XH20" s="41"/>
      <c r="XI20" s="41"/>
      <c r="XJ20" s="41"/>
      <c r="XK20" s="41"/>
      <c r="XL20" s="41"/>
      <c r="XM20" s="41"/>
      <c r="XN20" s="41"/>
      <c r="XO20" s="41"/>
      <c r="XP20" s="41"/>
      <c r="XQ20" s="41"/>
      <c r="XR20" s="41"/>
      <c r="XS20" s="41"/>
      <c r="XT20" s="41"/>
      <c r="XU20" s="41"/>
      <c r="XV20" s="41"/>
      <c r="XW20" s="41"/>
      <c r="XX20" s="41"/>
      <c r="XY20" s="41"/>
      <c r="XZ20" s="41"/>
      <c r="YA20" s="41"/>
      <c r="YB20" s="41"/>
      <c r="YC20" s="41"/>
      <c r="YD20" s="41"/>
      <c r="YE20" s="41"/>
      <c r="YF20" s="41"/>
      <c r="YG20" s="41"/>
      <c r="YH20" s="41"/>
      <c r="YI20" s="41"/>
      <c r="YJ20" s="41"/>
      <c r="YK20" s="41"/>
      <c r="YL20" s="41"/>
      <c r="YM20" s="41"/>
      <c r="YN20" s="41"/>
      <c r="YO20" s="41"/>
      <c r="YP20" s="41"/>
      <c r="YQ20" s="41"/>
      <c r="YR20" s="41"/>
      <c r="YS20" s="41"/>
      <c r="YT20" s="41"/>
      <c r="YU20" s="41"/>
      <c r="YV20" s="41"/>
      <c r="YW20" s="41"/>
      <c r="YX20" s="41"/>
      <c r="YY20" s="41"/>
      <c r="YZ20" s="41"/>
      <c r="ZA20" s="41"/>
      <c r="ZB20" s="41"/>
      <c r="ZC20" s="41"/>
      <c r="ZD20" s="41"/>
      <c r="ZE20" s="41"/>
      <c r="ZF20" s="41"/>
      <c r="ZG20" s="41"/>
      <c r="ZH20" s="41"/>
      <c r="ZI20" s="41"/>
      <c r="ZJ20" s="41"/>
      <c r="ZK20" s="41"/>
      <c r="ZL20" s="41"/>
      <c r="ZM20" s="41"/>
      <c r="ZN20" s="41"/>
      <c r="ZO20" s="41"/>
      <c r="ZP20" s="41"/>
      <c r="ZQ20" s="41"/>
      <c r="ZR20" s="41"/>
      <c r="ZS20" s="41"/>
      <c r="ZT20" s="41"/>
      <c r="ZU20" s="41"/>
      <c r="ZV20" s="41"/>
      <c r="ZW20" s="41"/>
      <c r="ZX20" s="41"/>
      <c r="ZY20" s="41"/>
      <c r="ZZ20" s="41"/>
      <c r="AAA20" s="41"/>
      <c r="AAB20" s="41"/>
      <c r="AAC20" s="41"/>
    </row>
    <row r="21" spans="1:705" s="134" customFormat="1" ht="40.200000000000003" hidden="1" customHeight="1" x14ac:dyDescent="0.3">
      <c r="A21" s="26">
        <v>17</v>
      </c>
      <c r="B21" s="137">
        <v>239491</v>
      </c>
      <c r="C21" s="138">
        <v>17</v>
      </c>
      <c r="D21" s="139">
        <v>45907</v>
      </c>
      <c r="E21" s="139">
        <f t="shared" si="0"/>
        <v>45906</v>
      </c>
      <c r="F21" s="139">
        <f t="shared" si="1"/>
        <v>45917</v>
      </c>
      <c r="G21" s="139">
        <v>45917</v>
      </c>
      <c r="H21" s="139">
        <v>45936</v>
      </c>
      <c r="I21" s="139" t="s">
        <v>75</v>
      </c>
      <c r="J21" s="140" t="s">
        <v>117</v>
      </c>
      <c r="K21" s="141">
        <f t="shared" si="2"/>
        <v>19</v>
      </c>
      <c r="L21" s="141">
        <v>1140430</v>
      </c>
      <c r="M21" s="140" t="s">
        <v>535</v>
      </c>
      <c r="N21" s="140" t="s">
        <v>388</v>
      </c>
      <c r="O21" s="140" t="s">
        <v>246</v>
      </c>
      <c r="P21" s="143">
        <v>45923</v>
      </c>
      <c r="Q21" s="143">
        <v>46121</v>
      </c>
      <c r="R21" s="137" t="s">
        <v>211</v>
      </c>
      <c r="S21" s="144" t="s">
        <v>118</v>
      </c>
      <c r="T21" s="145">
        <v>1</v>
      </c>
      <c r="U21" s="137" t="s">
        <v>119</v>
      </c>
      <c r="V21" s="146">
        <v>19</v>
      </c>
      <c r="W21" s="146">
        <v>19</v>
      </c>
      <c r="X21" s="147">
        <v>0</v>
      </c>
      <c r="Y21" s="146">
        <v>0</v>
      </c>
      <c r="Z21" s="146">
        <v>0</v>
      </c>
      <c r="AA21" s="146">
        <v>0</v>
      </c>
      <c r="AB21" s="146">
        <v>10</v>
      </c>
      <c r="AC21" s="146">
        <v>10</v>
      </c>
      <c r="AD21" s="146">
        <v>0</v>
      </c>
      <c r="AE21" s="146">
        <v>0</v>
      </c>
      <c r="AF21" s="146">
        <v>0</v>
      </c>
      <c r="AG21" s="146">
        <v>0</v>
      </c>
      <c r="AH21" s="146">
        <v>1</v>
      </c>
      <c r="AI21" s="146">
        <v>1</v>
      </c>
      <c r="AJ21" s="146">
        <v>0</v>
      </c>
      <c r="AK21" s="146">
        <v>0</v>
      </c>
      <c r="AL21" s="146"/>
      <c r="AM21" s="146"/>
      <c r="AN21" s="146">
        <v>1</v>
      </c>
      <c r="AO21" s="146">
        <v>1</v>
      </c>
      <c r="AP21" s="146">
        <v>2</v>
      </c>
      <c r="AQ21" s="146">
        <v>2</v>
      </c>
      <c r="AR21" s="146">
        <v>0</v>
      </c>
      <c r="AS21" s="146">
        <v>0</v>
      </c>
      <c r="AT21" s="146"/>
      <c r="AU21" s="146"/>
      <c r="AV21" s="146">
        <v>1</v>
      </c>
      <c r="AW21" s="146">
        <v>1</v>
      </c>
      <c r="AX21" s="146">
        <f t="shared" si="3"/>
        <v>4150</v>
      </c>
      <c r="AY21" s="146">
        <f t="shared" si="4"/>
        <v>4150</v>
      </c>
      <c r="AZ21" s="140" t="s">
        <v>562</v>
      </c>
      <c r="BA21" s="140" t="s">
        <v>562</v>
      </c>
      <c r="BB21" s="137">
        <v>10</v>
      </c>
      <c r="BC21" s="148">
        <v>17</v>
      </c>
      <c r="BD21" s="149"/>
      <c r="BE21" s="145"/>
      <c r="BF21" s="150"/>
      <c r="BG21" s="152">
        <v>46016</v>
      </c>
      <c r="BH21" s="153" t="s">
        <v>15</v>
      </c>
      <c r="BI21" s="153" t="s">
        <v>562</v>
      </c>
      <c r="BJ21" s="42"/>
      <c r="BK21" s="42"/>
      <c r="BL21" s="42"/>
      <c r="BM21" s="42"/>
      <c r="BN21" s="42"/>
      <c r="BO21" s="42"/>
      <c r="BP21" s="42"/>
      <c r="BQ21" s="42"/>
      <c r="BR21" s="42"/>
      <c r="BS21" s="42"/>
      <c r="BT21" s="42"/>
      <c r="BU21" s="42"/>
      <c r="BV21" s="42"/>
      <c r="BW21" s="42"/>
      <c r="BX21" s="42"/>
      <c r="BY21" s="42"/>
      <c r="BZ21" s="42"/>
      <c r="CA21" s="42"/>
      <c r="CB21" s="42"/>
      <c r="CC21" s="42"/>
      <c r="CD21" s="42"/>
      <c r="CE21" s="42"/>
      <c r="CF21" s="42"/>
      <c r="CG21" s="42"/>
      <c r="CH21" s="42"/>
      <c r="CI21" s="42"/>
      <c r="CJ21" s="42"/>
      <c r="CK21" s="42"/>
      <c r="CL21" s="42"/>
      <c r="CM21" s="42"/>
      <c r="CN21" s="42"/>
      <c r="CO21" s="42"/>
      <c r="CP21" s="42"/>
      <c r="CQ21" s="42"/>
      <c r="CR21" s="42"/>
      <c r="CS21" s="42"/>
      <c r="CT21" s="42"/>
      <c r="CU21" s="42"/>
      <c r="CV21" s="42"/>
      <c r="CW21" s="42"/>
      <c r="CX21" s="42"/>
      <c r="CY21" s="42"/>
      <c r="CZ21" s="42"/>
      <c r="DA21" s="42"/>
      <c r="DB21" s="42"/>
      <c r="DC21" s="42"/>
      <c r="DD21" s="42"/>
      <c r="DE21" s="42"/>
      <c r="DF21" s="42"/>
      <c r="DG21" s="42"/>
      <c r="DH21" s="42"/>
      <c r="DI21" s="42"/>
      <c r="DJ21" s="42"/>
      <c r="DK21" s="42"/>
      <c r="DL21" s="42"/>
      <c r="DM21" s="42"/>
      <c r="DN21" s="42"/>
      <c r="DO21" s="42"/>
      <c r="DP21" s="42"/>
      <c r="DQ21" s="42"/>
      <c r="DR21" s="42"/>
      <c r="DS21" s="42"/>
      <c r="DT21" s="42"/>
      <c r="DU21" s="42"/>
      <c r="DV21" s="42"/>
      <c r="DW21" s="42"/>
      <c r="DX21" s="42"/>
      <c r="DY21" s="42"/>
      <c r="DZ21" s="42"/>
      <c r="EA21" s="42"/>
      <c r="EB21" s="42"/>
      <c r="EC21" s="42"/>
      <c r="ED21" s="42"/>
      <c r="EE21" s="42"/>
      <c r="EF21" s="42"/>
      <c r="EG21" s="42"/>
      <c r="EH21" s="42"/>
      <c r="EI21" s="42"/>
      <c r="EJ21" s="42"/>
      <c r="EK21" s="42"/>
      <c r="EL21" s="42"/>
      <c r="EM21" s="42"/>
      <c r="EN21" s="42"/>
      <c r="EO21" s="42"/>
      <c r="EP21" s="42"/>
      <c r="EQ21" s="42"/>
      <c r="ER21" s="42"/>
      <c r="ES21" s="42"/>
      <c r="ET21" s="42"/>
      <c r="EU21" s="42"/>
      <c r="EV21" s="42"/>
      <c r="EW21" s="42"/>
      <c r="EX21" s="42"/>
      <c r="EY21" s="42"/>
      <c r="EZ21" s="42"/>
      <c r="FA21" s="42"/>
      <c r="FB21" s="42"/>
      <c r="FC21" s="42"/>
      <c r="FD21" s="42"/>
      <c r="FE21" s="42"/>
      <c r="FF21" s="42"/>
      <c r="FG21" s="42"/>
      <c r="FH21" s="42"/>
      <c r="FI21" s="42"/>
      <c r="FJ21" s="42"/>
      <c r="FK21" s="42"/>
      <c r="FL21" s="42"/>
      <c r="FM21" s="42"/>
      <c r="FN21" s="42"/>
      <c r="FO21" s="42"/>
      <c r="FP21" s="42"/>
      <c r="FQ21" s="42"/>
      <c r="FR21" s="42"/>
      <c r="FS21" s="42"/>
      <c r="FT21" s="42"/>
      <c r="FU21" s="42"/>
      <c r="FV21" s="42"/>
      <c r="FW21" s="42"/>
      <c r="FX21" s="42"/>
      <c r="FY21" s="42"/>
      <c r="FZ21" s="42"/>
      <c r="GA21" s="42"/>
      <c r="GB21" s="42"/>
      <c r="GC21" s="42"/>
      <c r="GD21" s="42"/>
      <c r="GE21" s="42"/>
      <c r="GF21" s="42"/>
      <c r="GG21" s="42"/>
      <c r="GH21" s="42"/>
      <c r="GI21" s="42"/>
      <c r="GJ21" s="42"/>
      <c r="GK21" s="42"/>
      <c r="GL21" s="42"/>
      <c r="GM21" s="42"/>
      <c r="GN21" s="42"/>
      <c r="GO21" s="42"/>
      <c r="GP21" s="42"/>
      <c r="GQ21" s="42"/>
      <c r="GR21" s="42"/>
      <c r="GS21" s="42"/>
      <c r="GT21" s="42"/>
      <c r="GU21" s="42"/>
      <c r="GV21" s="42"/>
      <c r="GW21" s="42"/>
      <c r="GX21" s="42"/>
      <c r="GY21" s="42"/>
      <c r="GZ21" s="42"/>
      <c r="HA21" s="42"/>
      <c r="HB21" s="42"/>
      <c r="HC21" s="42"/>
      <c r="HD21" s="42"/>
      <c r="HE21" s="42"/>
      <c r="HF21" s="42"/>
      <c r="HG21" s="42"/>
      <c r="HH21" s="42"/>
      <c r="HI21" s="42"/>
      <c r="HJ21" s="42"/>
      <c r="HK21" s="42"/>
      <c r="HL21" s="42"/>
      <c r="HM21" s="42"/>
      <c r="HN21" s="42"/>
      <c r="HO21" s="42"/>
      <c r="HP21" s="42"/>
      <c r="HQ21" s="42"/>
      <c r="HR21" s="42"/>
      <c r="HS21" s="42"/>
      <c r="HT21" s="42"/>
      <c r="HU21" s="42"/>
      <c r="HV21" s="42"/>
      <c r="HW21" s="42"/>
      <c r="HX21" s="42"/>
      <c r="HY21" s="42"/>
      <c r="HZ21" s="42"/>
      <c r="IA21" s="42"/>
      <c r="IB21" s="42"/>
      <c r="IC21" s="42"/>
      <c r="ID21" s="42"/>
      <c r="IE21" s="42"/>
      <c r="IF21" s="42"/>
      <c r="IG21" s="42"/>
      <c r="IH21" s="42"/>
      <c r="II21" s="42"/>
      <c r="IJ21" s="42"/>
      <c r="IK21" s="42"/>
      <c r="IL21" s="42"/>
      <c r="IM21" s="42"/>
      <c r="IN21" s="42"/>
      <c r="IO21" s="42"/>
      <c r="IP21" s="42"/>
      <c r="IQ21" s="42"/>
      <c r="IR21" s="42"/>
      <c r="IS21" s="42"/>
      <c r="IT21" s="42"/>
      <c r="IU21" s="42"/>
      <c r="IV21" s="42"/>
      <c r="IW21" s="42"/>
      <c r="IX21" s="42"/>
      <c r="IY21" s="42"/>
      <c r="IZ21" s="42"/>
      <c r="JA21" s="42"/>
      <c r="JB21" s="42"/>
      <c r="JC21" s="42"/>
      <c r="JD21" s="42"/>
      <c r="JE21" s="42"/>
      <c r="JF21" s="42"/>
      <c r="JG21" s="42"/>
      <c r="JH21" s="42"/>
      <c r="JI21" s="42"/>
      <c r="JJ21" s="42"/>
      <c r="JK21" s="42"/>
      <c r="JL21" s="42"/>
      <c r="JM21" s="42"/>
      <c r="JN21" s="42"/>
      <c r="JO21" s="42"/>
      <c r="JP21" s="42"/>
      <c r="JQ21" s="42"/>
      <c r="JR21" s="42"/>
      <c r="JS21" s="42"/>
      <c r="JT21" s="42"/>
      <c r="JU21" s="42"/>
      <c r="JV21" s="42"/>
      <c r="JW21" s="42"/>
      <c r="JX21" s="42"/>
      <c r="JY21" s="42"/>
      <c r="JZ21" s="42"/>
      <c r="KA21" s="42"/>
      <c r="KB21" s="42"/>
      <c r="KC21" s="42"/>
      <c r="KD21" s="42"/>
      <c r="KE21" s="42"/>
      <c r="KF21" s="42"/>
      <c r="KG21" s="42"/>
      <c r="KH21" s="42"/>
      <c r="KI21" s="42"/>
      <c r="KJ21" s="42"/>
      <c r="KK21" s="42"/>
      <c r="KL21" s="42"/>
      <c r="KM21" s="42"/>
      <c r="KN21" s="42"/>
      <c r="KO21" s="42"/>
      <c r="KP21" s="42"/>
      <c r="KQ21" s="42"/>
      <c r="KR21" s="42"/>
      <c r="KS21" s="42"/>
      <c r="KT21" s="42"/>
      <c r="KU21" s="42"/>
      <c r="KV21" s="42"/>
      <c r="KW21" s="42"/>
      <c r="KX21" s="42"/>
      <c r="KY21" s="42"/>
      <c r="KZ21" s="42"/>
      <c r="LA21" s="42"/>
      <c r="LB21" s="42"/>
      <c r="LC21" s="42"/>
      <c r="LD21" s="42"/>
      <c r="LE21" s="42"/>
      <c r="LF21" s="42"/>
      <c r="LG21" s="42"/>
      <c r="LH21" s="42"/>
      <c r="LI21" s="42"/>
      <c r="LJ21" s="42"/>
      <c r="LK21" s="42"/>
      <c r="LL21" s="42"/>
      <c r="LM21" s="42"/>
      <c r="LN21" s="42"/>
      <c r="LO21" s="42"/>
      <c r="LP21" s="42"/>
      <c r="LQ21" s="42"/>
      <c r="LR21" s="42"/>
      <c r="LS21" s="42"/>
      <c r="LT21" s="42"/>
      <c r="LU21" s="42"/>
      <c r="LV21" s="42"/>
      <c r="LW21" s="42"/>
      <c r="LX21" s="42"/>
      <c r="LY21" s="42"/>
      <c r="LZ21" s="42"/>
      <c r="MA21" s="42"/>
      <c r="MB21" s="42"/>
      <c r="MC21" s="42"/>
      <c r="MD21" s="42"/>
      <c r="ME21" s="42"/>
      <c r="MF21" s="42"/>
      <c r="MG21" s="42"/>
      <c r="MH21" s="42"/>
      <c r="MI21" s="42"/>
      <c r="MJ21" s="42"/>
      <c r="MK21" s="42"/>
      <c r="ML21" s="42"/>
      <c r="MM21" s="42"/>
      <c r="MN21" s="42"/>
      <c r="MO21" s="42"/>
      <c r="MP21" s="42"/>
      <c r="MQ21" s="42"/>
      <c r="MR21" s="42"/>
      <c r="MS21" s="42"/>
      <c r="MT21" s="42"/>
      <c r="MU21" s="42"/>
      <c r="MV21" s="42"/>
      <c r="MW21" s="42"/>
      <c r="MX21" s="42"/>
      <c r="MY21" s="42"/>
      <c r="MZ21" s="42"/>
      <c r="NA21" s="42"/>
      <c r="NB21" s="42"/>
      <c r="NC21" s="42"/>
      <c r="ND21" s="42"/>
      <c r="NE21" s="42"/>
      <c r="NF21" s="42"/>
      <c r="NG21" s="42"/>
      <c r="NH21" s="42"/>
      <c r="NI21" s="42"/>
      <c r="NJ21" s="42"/>
      <c r="NK21" s="42"/>
      <c r="NL21" s="42"/>
      <c r="NM21" s="42"/>
      <c r="NN21" s="42"/>
      <c r="NO21" s="42"/>
      <c r="NP21" s="42"/>
      <c r="NQ21" s="42"/>
      <c r="NR21" s="42"/>
      <c r="NS21" s="42"/>
      <c r="NT21" s="42"/>
      <c r="NU21" s="42"/>
      <c r="NV21" s="42"/>
      <c r="NW21" s="42"/>
      <c r="NX21" s="42"/>
      <c r="NY21" s="42"/>
      <c r="NZ21" s="42"/>
      <c r="OA21" s="42"/>
      <c r="OB21" s="42"/>
      <c r="OC21" s="42"/>
      <c r="OD21" s="42"/>
      <c r="OE21" s="42"/>
      <c r="OF21" s="42"/>
      <c r="OG21" s="42"/>
      <c r="OH21" s="42"/>
      <c r="OI21" s="42"/>
      <c r="OJ21" s="42"/>
      <c r="OK21" s="42"/>
      <c r="OL21" s="42"/>
      <c r="OM21" s="42"/>
      <c r="ON21" s="42"/>
      <c r="OO21" s="42"/>
      <c r="OP21" s="42"/>
      <c r="OQ21" s="42"/>
      <c r="OR21" s="42"/>
      <c r="OS21" s="42"/>
      <c r="OT21" s="42"/>
      <c r="OU21" s="42"/>
      <c r="OV21" s="42"/>
      <c r="OW21" s="42"/>
      <c r="OX21" s="42"/>
      <c r="OY21" s="42"/>
      <c r="OZ21" s="42"/>
      <c r="PA21" s="42"/>
      <c r="PB21" s="42"/>
      <c r="PC21" s="42"/>
      <c r="PD21" s="42"/>
      <c r="PE21" s="42"/>
      <c r="PF21" s="42"/>
      <c r="PG21" s="42"/>
      <c r="PH21" s="42"/>
      <c r="PI21" s="42"/>
      <c r="PJ21" s="42"/>
      <c r="PK21" s="42"/>
      <c r="PL21" s="42"/>
      <c r="PM21" s="42"/>
      <c r="PN21" s="42"/>
      <c r="PO21" s="42"/>
      <c r="PP21" s="42"/>
      <c r="PQ21" s="42"/>
      <c r="PR21" s="42"/>
      <c r="PS21" s="42"/>
      <c r="PT21" s="42"/>
      <c r="PU21" s="42"/>
      <c r="PV21" s="42"/>
      <c r="PW21" s="42"/>
      <c r="PX21" s="42"/>
      <c r="PY21" s="42"/>
      <c r="PZ21" s="42"/>
      <c r="QA21" s="42"/>
      <c r="QB21" s="42"/>
      <c r="QC21" s="42"/>
      <c r="QD21" s="42"/>
      <c r="QE21" s="42"/>
      <c r="QF21" s="42"/>
      <c r="QG21" s="42"/>
      <c r="QH21" s="42"/>
      <c r="QI21" s="42"/>
      <c r="QJ21" s="42"/>
      <c r="QK21" s="42"/>
      <c r="QL21" s="42"/>
      <c r="QM21" s="42"/>
      <c r="QN21" s="42"/>
      <c r="QO21" s="42"/>
      <c r="QP21" s="42"/>
      <c r="QQ21" s="42"/>
      <c r="QR21" s="42"/>
      <c r="QS21" s="42"/>
      <c r="QT21" s="42"/>
      <c r="QU21" s="42"/>
      <c r="QV21" s="42"/>
      <c r="QW21" s="42"/>
      <c r="QX21" s="42"/>
      <c r="QY21" s="42"/>
      <c r="QZ21" s="42"/>
      <c r="RA21" s="42"/>
      <c r="RB21" s="42"/>
      <c r="RC21" s="42"/>
      <c r="RD21" s="42"/>
      <c r="RE21" s="42"/>
      <c r="RF21" s="42"/>
      <c r="RG21" s="42"/>
      <c r="RH21" s="42"/>
      <c r="RI21" s="42"/>
      <c r="RJ21" s="42"/>
      <c r="RK21" s="42"/>
      <c r="RL21" s="42"/>
      <c r="RM21" s="42"/>
      <c r="RN21" s="42"/>
      <c r="RO21" s="42"/>
      <c r="RP21" s="42"/>
      <c r="RQ21" s="42"/>
      <c r="RR21" s="42"/>
      <c r="RS21" s="42"/>
      <c r="RT21" s="42"/>
      <c r="RU21" s="42"/>
      <c r="RV21" s="42"/>
      <c r="RW21" s="42"/>
      <c r="RX21" s="42"/>
      <c r="RY21" s="42"/>
      <c r="RZ21" s="42"/>
      <c r="SA21" s="42"/>
      <c r="SB21" s="42"/>
      <c r="SC21" s="42"/>
      <c r="SD21" s="42"/>
      <c r="SE21" s="42"/>
      <c r="SF21" s="42"/>
      <c r="SG21" s="42"/>
      <c r="SH21" s="42"/>
      <c r="SI21" s="42"/>
      <c r="SJ21" s="42"/>
      <c r="SK21" s="42"/>
      <c r="SL21" s="42"/>
      <c r="SM21" s="42"/>
      <c r="SN21" s="42"/>
      <c r="SO21" s="42"/>
      <c r="SP21" s="42"/>
      <c r="SQ21" s="42"/>
      <c r="SR21" s="42"/>
      <c r="SS21" s="42"/>
      <c r="ST21" s="42"/>
      <c r="SU21" s="42"/>
      <c r="SV21" s="42"/>
      <c r="SW21" s="42"/>
      <c r="SX21" s="42"/>
      <c r="SY21" s="42"/>
      <c r="SZ21" s="42"/>
      <c r="TA21" s="42"/>
      <c r="TB21" s="42"/>
      <c r="TC21" s="42"/>
      <c r="TD21" s="42"/>
      <c r="TE21" s="42"/>
      <c r="TF21" s="42"/>
      <c r="TG21" s="42"/>
      <c r="TH21" s="42"/>
      <c r="TI21" s="42"/>
      <c r="TJ21" s="42"/>
      <c r="TK21" s="42"/>
      <c r="TL21" s="42"/>
      <c r="TM21" s="42"/>
      <c r="TN21" s="42"/>
      <c r="TO21" s="42"/>
      <c r="TP21" s="42"/>
      <c r="TQ21" s="42"/>
      <c r="TR21" s="42"/>
      <c r="TS21" s="42"/>
      <c r="TT21" s="42"/>
      <c r="TU21" s="42"/>
      <c r="TV21" s="42"/>
      <c r="TW21" s="42"/>
      <c r="TX21" s="42"/>
      <c r="TY21" s="42"/>
      <c r="TZ21" s="42"/>
      <c r="UA21" s="42"/>
      <c r="UB21" s="42"/>
      <c r="UC21" s="42"/>
      <c r="UD21" s="42"/>
      <c r="UE21" s="42"/>
      <c r="UF21" s="42"/>
      <c r="UG21" s="42"/>
      <c r="UH21" s="42"/>
      <c r="UI21" s="42"/>
      <c r="UJ21" s="42"/>
      <c r="UK21" s="42"/>
      <c r="UL21" s="42"/>
      <c r="UM21" s="42"/>
      <c r="UN21" s="42"/>
      <c r="UO21" s="42"/>
      <c r="UP21" s="42"/>
      <c r="UQ21" s="42"/>
      <c r="UR21" s="42"/>
      <c r="US21" s="42"/>
      <c r="UT21" s="42"/>
      <c r="UU21" s="42"/>
      <c r="UV21" s="42"/>
      <c r="UW21" s="42"/>
      <c r="UX21" s="42"/>
      <c r="UY21" s="42"/>
      <c r="UZ21" s="42"/>
      <c r="VA21" s="42"/>
      <c r="VB21" s="42"/>
      <c r="VC21" s="42"/>
      <c r="VD21" s="42"/>
      <c r="VE21" s="42"/>
      <c r="VF21" s="42"/>
      <c r="VG21" s="42"/>
      <c r="VH21" s="42"/>
      <c r="VI21" s="42"/>
      <c r="VJ21" s="42"/>
      <c r="VK21" s="42"/>
      <c r="VL21" s="42"/>
      <c r="VM21" s="42"/>
      <c r="VN21" s="42"/>
      <c r="VO21" s="42"/>
      <c r="VP21" s="42"/>
      <c r="VQ21" s="42"/>
      <c r="VR21" s="42"/>
      <c r="VS21" s="42"/>
      <c r="VT21" s="42"/>
      <c r="VU21" s="42"/>
      <c r="VV21" s="42"/>
      <c r="VW21" s="42"/>
      <c r="VX21" s="42"/>
      <c r="VY21" s="42"/>
      <c r="VZ21" s="42"/>
      <c r="WA21" s="42"/>
      <c r="WB21" s="42"/>
      <c r="WC21" s="42"/>
      <c r="WD21" s="42"/>
      <c r="WE21" s="42"/>
      <c r="WF21" s="42"/>
      <c r="WG21" s="42"/>
      <c r="WH21" s="42"/>
      <c r="WI21" s="42"/>
      <c r="WJ21" s="42"/>
      <c r="WK21" s="42"/>
      <c r="WL21" s="42"/>
      <c r="WM21" s="42"/>
      <c r="WN21" s="42"/>
      <c r="WO21" s="42"/>
      <c r="WP21" s="42"/>
      <c r="WQ21" s="42"/>
      <c r="WR21" s="42"/>
      <c r="WS21" s="42"/>
      <c r="WT21" s="42"/>
      <c r="WU21" s="42"/>
      <c r="WV21" s="42"/>
      <c r="WW21" s="42"/>
      <c r="WX21" s="42"/>
      <c r="WY21" s="42"/>
      <c r="WZ21" s="42"/>
      <c r="XA21" s="42"/>
      <c r="XB21" s="42"/>
      <c r="XC21" s="42"/>
      <c r="XD21" s="42"/>
      <c r="XE21" s="42"/>
      <c r="XF21" s="42"/>
      <c r="XG21" s="42"/>
      <c r="XH21" s="42"/>
      <c r="XI21" s="42"/>
      <c r="XJ21" s="42"/>
      <c r="XK21" s="42"/>
      <c r="XL21" s="42"/>
      <c r="XM21" s="42"/>
      <c r="XN21" s="42"/>
      <c r="XO21" s="42"/>
      <c r="XP21" s="42"/>
      <c r="XQ21" s="42"/>
      <c r="XR21" s="42"/>
      <c r="XS21" s="42"/>
      <c r="XT21" s="42"/>
      <c r="XU21" s="42"/>
      <c r="XV21" s="42"/>
      <c r="XW21" s="42"/>
      <c r="XX21" s="42"/>
      <c r="XY21" s="42"/>
      <c r="XZ21" s="42"/>
      <c r="YA21" s="42"/>
      <c r="YB21" s="42"/>
      <c r="YC21" s="42"/>
      <c r="YD21" s="42"/>
      <c r="YE21" s="42"/>
      <c r="YF21" s="42"/>
      <c r="YG21" s="42"/>
      <c r="YH21" s="42"/>
      <c r="YI21" s="42"/>
      <c r="YJ21" s="42"/>
      <c r="YK21" s="42"/>
      <c r="YL21" s="42"/>
      <c r="YM21" s="42"/>
      <c r="YN21" s="42"/>
      <c r="YO21" s="42"/>
      <c r="YP21" s="42"/>
      <c r="YQ21" s="42"/>
      <c r="YR21" s="42"/>
      <c r="YS21" s="42"/>
      <c r="YT21" s="42"/>
      <c r="YU21" s="42"/>
      <c r="YV21" s="42"/>
      <c r="YW21" s="42"/>
      <c r="YX21" s="42"/>
      <c r="YY21" s="42"/>
      <c r="YZ21" s="42"/>
      <c r="ZA21" s="42"/>
      <c r="ZB21" s="42"/>
      <c r="ZC21" s="42"/>
      <c r="ZD21" s="42"/>
      <c r="ZE21" s="42"/>
      <c r="ZF21" s="42"/>
      <c r="ZG21" s="42"/>
      <c r="ZH21" s="42"/>
      <c r="ZI21" s="42"/>
      <c r="ZJ21" s="42"/>
      <c r="ZK21" s="42"/>
      <c r="ZL21" s="42"/>
      <c r="ZM21" s="42"/>
      <c r="ZN21" s="42"/>
      <c r="ZO21" s="42"/>
      <c r="ZP21" s="42"/>
      <c r="ZQ21" s="42"/>
      <c r="ZR21" s="42"/>
      <c r="ZS21" s="42"/>
      <c r="ZT21" s="42"/>
      <c r="ZU21" s="42"/>
      <c r="ZV21" s="42"/>
      <c r="ZW21" s="42"/>
      <c r="ZX21" s="42"/>
      <c r="ZY21" s="42"/>
      <c r="ZZ21" s="42"/>
      <c r="AAA21" s="42"/>
      <c r="AAB21" s="42"/>
      <c r="AAC21" s="42"/>
    </row>
    <row r="22" spans="1:705" s="41" customFormat="1" ht="42" hidden="1" x14ac:dyDescent="0.3">
      <c r="A22" s="26">
        <v>18</v>
      </c>
      <c r="B22" s="137">
        <v>239492</v>
      </c>
      <c r="C22" s="138">
        <v>18</v>
      </c>
      <c r="D22" s="139">
        <v>45907</v>
      </c>
      <c r="E22" s="139">
        <f t="shared" si="0"/>
        <v>45906</v>
      </c>
      <c r="F22" s="139">
        <f t="shared" si="1"/>
        <v>45917</v>
      </c>
      <c r="G22" s="139">
        <v>45917</v>
      </c>
      <c r="H22" s="139">
        <v>45929</v>
      </c>
      <c r="I22" s="139" t="s">
        <v>75</v>
      </c>
      <c r="J22" s="140" t="s">
        <v>120</v>
      </c>
      <c r="K22" s="141">
        <f t="shared" si="2"/>
        <v>12</v>
      </c>
      <c r="L22" s="141">
        <v>1140453</v>
      </c>
      <c r="M22" s="140" t="s">
        <v>15</v>
      </c>
      <c r="N22" s="140">
        <v>803230</v>
      </c>
      <c r="O22" s="140" t="s">
        <v>246</v>
      </c>
      <c r="P22" s="143">
        <v>45920</v>
      </c>
      <c r="Q22" s="143">
        <v>45935</v>
      </c>
      <c r="R22" s="137" t="s">
        <v>211</v>
      </c>
      <c r="S22" s="144" t="s">
        <v>121</v>
      </c>
      <c r="T22" s="145">
        <v>2</v>
      </c>
      <c r="U22" s="137" t="s">
        <v>122</v>
      </c>
      <c r="V22" s="146">
        <v>10</v>
      </c>
      <c r="W22" s="146">
        <v>10</v>
      </c>
      <c r="X22" s="147">
        <v>0</v>
      </c>
      <c r="Y22" s="146">
        <v>0</v>
      </c>
      <c r="Z22" s="146">
        <v>0</v>
      </c>
      <c r="AA22" s="146">
        <v>0</v>
      </c>
      <c r="AB22" s="146">
        <v>0</v>
      </c>
      <c r="AC22" s="146">
        <v>0</v>
      </c>
      <c r="AD22" s="146">
        <v>0</v>
      </c>
      <c r="AE22" s="146">
        <v>0</v>
      </c>
      <c r="AF22" s="146">
        <v>0</v>
      </c>
      <c r="AG22" s="146">
        <v>0</v>
      </c>
      <c r="AH22" s="146">
        <v>2</v>
      </c>
      <c r="AI22" s="146">
        <v>2</v>
      </c>
      <c r="AJ22" s="146">
        <v>0</v>
      </c>
      <c r="AK22" s="146">
        <v>0</v>
      </c>
      <c r="AL22" s="146">
        <v>0</v>
      </c>
      <c r="AM22" s="146"/>
      <c r="AN22" s="146">
        <v>0</v>
      </c>
      <c r="AO22" s="146"/>
      <c r="AP22" s="146">
        <v>2</v>
      </c>
      <c r="AQ22" s="146">
        <v>2</v>
      </c>
      <c r="AR22" s="146">
        <v>0</v>
      </c>
      <c r="AS22" s="146">
        <v>0</v>
      </c>
      <c r="AT22" s="146">
        <v>2</v>
      </c>
      <c r="AU22" s="146">
        <v>2</v>
      </c>
      <c r="AV22" s="146">
        <v>0</v>
      </c>
      <c r="AW22" s="146">
        <v>0</v>
      </c>
      <c r="AX22" s="146">
        <f t="shared" si="3"/>
        <v>2900</v>
      </c>
      <c r="AY22" s="146">
        <f t="shared" si="4"/>
        <v>2900</v>
      </c>
      <c r="AZ22" s="153" t="s">
        <v>562</v>
      </c>
      <c r="BA22" s="140" t="s">
        <v>562</v>
      </c>
      <c r="BB22" s="137">
        <v>5</v>
      </c>
      <c r="BC22" s="148">
        <v>18</v>
      </c>
      <c r="BD22" s="149"/>
      <c r="BE22" s="145"/>
      <c r="BF22" s="150"/>
      <c r="BG22" s="151">
        <v>45901</v>
      </c>
      <c r="BH22" s="153" t="s">
        <v>15</v>
      </c>
      <c r="BI22" s="153" t="s">
        <v>562</v>
      </c>
    </row>
    <row r="23" spans="1:705" s="42" customFormat="1" ht="42" hidden="1" x14ac:dyDescent="0.3">
      <c r="A23" s="26">
        <v>19</v>
      </c>
      <c r="B23" s="137">
        <v>239493</v>
      </c>
      <c r="C23" s="138">
        <v>19</v>
      </c>
      <c r="D23" s="139">
        <v>45907</v>
      </c>
      <c r="E23" s="139">
        <f t="shared" si="0"/>
        <v>45906</v>
      </c>
      <c r="F23" s="139">
        <f t="shared" si="1"/>
        <v>45917</v>
      </c>
      <c r="G23" s="139">
        <v>45968</v>
      </c>
      <c r="H23" s="139">
        <v>45948</v>
      </c>
      <c r="I23" s="139" t="s">
        <v>123</v>
      </c>
      <c r="J23" s="140" t="s">
        <v>124</v>
      </c>
      <c r="K23" s="141">
        <f t="shared" si="2"/>
        <v>31</v>
      </c>
      <c r="L23" s="141">
        <v>1140523</v>
      </c>
      <c r="M23" s="140" t="s">
        <v>15</v>
      </c>
      <c r="N23" s="140">
        <v>803245</v>
      </c>
      <c r="O23" s="140" t="s">
        <v>246</v>
      </c>
      <c r="P23" s="143">
        <v>45937</v>
      </c>
      <c r="Q23" s="143">
        <v>46107</v>
      </c>
      <c r="R23" s="137" t="s">
        <v>211</v>
      </c>
      <c r="S23" s="144" t="s">
        <v>125</v>
      </c>
      <c r="T23" s="145">
        <v>1</v>
      </c>
      <c r="U23" s="137" t="s">
        <v>82</v>
      </c>
      <c r="V23" s="146">
        <v>87</v>
      </c>
      <c r="W23" s="146">
        <v>87</v>
      </c>
      <c r="X23" s="147">
        <v>0</v>
      </c>
      <c r="Y23" s="146">
        <v>0</v>
      </c>
      <c r="Z23" s="146">
        <v>0</v>
      </c>
      <c r="AA23" s="146">
        <v>0</v>
      </c>
      <c r="AB23" s="146">
        <v>0</v>
      </c>
      <c r="AC23" s="146"/>
      <c r="AD23" s="146">
        <v>0</v>
      </c>
      <c r="AE23" s="146">
        <v>0</v>
      </c>
      <c r="AF23" s="146">
        <v>0</v>
      </c>
      <c r="AG23" s="146">
        <v>0</v>
      </c>
      <c r="AH23" s="146">
        <v>1</v>
      </c>
      <c r="AI23" s="146">
        <v>1</v>
      </c>
      <c r="AJ23" s="146">
        <v>0</v>
      </c>
      <c r="AK23" s="146">
        <v>0</v>
      </c>
      <c r="AL23" s="146">
        <v>2</v>
      </c>
      <c r="AM23" s="146">
        <v>2</v>
      </c>
      <c r="AN23" s="146">
        <v>3</v>
      </c>
      <c r="AO23" s="146">
        <v>3</v>
      </c>
      <c r="AP23" s="146">
        <v>1</v>
      </c>
      <c r="AQ23" s="146">
        <v>1</v>
      </c>
      <c r="AR23" s="146">
        <v>0</v>
      </c>
      <c r="AS23" s="146">
        <v>0</v>
      </c>
      <c r="AT23" s="146">
        <v>1</v>
      </c>
      <c r="AU23" s="146">
        <v>1</v>
      </c>
      <c r="AV23" s="146">
        <v>0</v>
      </c>
      <c r="AW23" s="146">
        <v>0</v>
      </c>
      <c r="AX23" s="146">
        <f t="shared" si="3"/>
        <v>7730</v>
      </c>
      <c r="AY23" s="146">
        <f t="shared" si="4"/>
        <v>7730</v>
      </c>
      <c r="AZ23" s="140" t="s">
        <v>562</v>
      </c>
      <c r="BA23" s="140" t="s">
        <v>562</v>
      </c>
      <c r="BB23" s="140">
        <v>3</v>
      </c>
      <c r="BC23" s="148">
        <v>19</v>
      </c>
      <c r="BD23" s="149"/>
      <c r="BE23" s="145"/>
      <c r="BF23" s="150"/>
      <c r="BG23" s="151">
        <v>45931</v>
      </c>
      <c r="BH23" s="137" t="s">
        <v>535</v>
      </c>
      <c r="BI23" s="137" t="s">
        <v>562</v>
      </c>
      <c r="CC23" s="41"/>
      <c r="CD23" s="41"/>
      <c r="CE23" s="41"/>
      <c r="CF23" s="41"/>
      <c r="CG23" s="41"/>
      <c r="CH23" s="41"/>
      <c r="CI23" s="41"/>
      <c r="CJ23" s="41"/>
      <c r="CK23" s="41"/>
      <c r="CL23" s="41"/>
      <c r="CM23" s="41"/>
      <c r="CN23" s="41"/>
      <c r="CO23" s="41"/>
      <c r="CP23" s="41"/>
      <c r="CQ23" s="41"/>
      <c r="CR23" s="41"/>
      <c r="CS23" s="41"/>
      <c r="CT23" s="41"/>
      <c r="CU23" s="41"/>
      <c r="CV23" s="41"/>
      <c r="CW23" s="41"/>
      <c r="CX23" s="41"/>
      <c r="CY23" s="41"/>
      <c r="CZ23" s="41"/>
      <c r="DA23" s="41"/>
      <c r="DB23" s="41"/>
      <c r="DC23" s="41"/>
      <c r="DD23" s="41"/>
      <c r="DE23" s="41"/>
      <c r="DF23" s="41"/>
      <c r="DG23" s="41"/>
      <c r="DH23" s="41"/>
      <c r="DI23" s="41"/>
      <c r="DJ23" s="41"/>
      <c r="DK23" s="41"/>
      <c r="DL23" s="41"/>
      <c r="DM23" s="41"/>
      <c r="DN23" s="41"/>
      <c r="DO23" s="41"/>
      <c r="DP23" s="41"/>
      <c r="DQ23" s="41"/>
      <c r="DR23" s="41"/>
      <c r="DS23" s="41"/>
      <c r="DT23" s="41"/>
      <c r="DU23" s="41"/>
      <c r="DV23" s="41"/>
      <c r="DW23" s="41"/>
      <c r="DX23" s="41"/>
      <c r="DY23" s="41"/>
      <c r="DZ23" s="41"/>
      <c r="EA23" s="41"/>
      <c r="EB23" s="41"/>
      <c r="EC23" s="41"/>
      <c r="ED23" s="41"/>
      <c r="EE23" s="41"/>
      <c r="EF23" s="41"/>
      <c r="EG23" s="41"/>
      <c r="EH23" s="41"/>
      <c r="EI23" s="41"/>
      <c r="EJ23" s="41"/>
      <c r="EK23" s="41"/>
      <c r="EL23" s="41"/>
      <c r="EM23" s="41"/>
      <c r="EN23" s="41"/>
      <c r="EO23" s="41"/>
      <c r="EP23" s="41"/>
      <c r="EQ23" s="41"/>
      <c r="ER23" s="41"/>
      <c r="ES23" s="41"/>
      <c r="ET23" s="41"/>
      <c r="EU23" s="41"/>
      <c r="EV23" s="41"/>
      <c r="EW23" s="41"/>
      <c r="EX23" s="41"/>
      <c r="EY23" s="41"/>
      <c r="EZ23" s="41"/>
      <c r="FA23" s="41"/>
      <c r="FB23" s="41"/>
      <c r="FC23" s="41"/>
      <c r="FD23" s="41"/>
      <c r="FE23" s="41"/>
      <c r="FF23" s="41"/>
      <c r="FG23" s="41"/>
      <c r="FH23" s="41"/>
      <c r="FI23" s="41"/>
      <c r="FJ23" s="41"/>
      <c r="FK23" s="41"/>
      <c r="FL23" s="41"/>
      <c r="FM23" s="41"/>
      <c r="FN23" s="41"/>
      <c r="FO23" s="41"/>
      <c r="FP23" s="41"/>
      <c r="FQ23" s="41"/>
      <c r="FR23" s="41"/>
      <c r="FS23" s="41"/>
      <c r="FT23" s="41"/>
      <c r="FU23" s="41"/>
      <c r="FV23" s="41"/>
      <c r="FW23" s="41"/>
      <c r="FX23" s="41"/>
      <c r="FY23" s="41"/>
      <c r="FZ23" s="41"/>
      <c r="GA23" s="41"/>
      <c r="GB23" s="41"/>
      <c r="GC23" s="41"/>
      <c r="GD23" s="41"/>
      <c r="GE23" s="41"/>
      <c r="GF23" s="41"/>
      <c r="GG23" s="41"/>
      <c r="GH23" s="41"/>
      <c r="GI23" s="41"/>
      <c r="GJ23" s="41"/>
      <c r="GK23" s="41"/>
      <c r="GL23" s="41"/>
      <c r="GM23" s="41"/>
      <c r="GN23" s="41"/>
      <c r="GO23" s="41"/>
      <c r="GP23" s="41"/>
      <c r="GQ23" s="41"/>
      <c r="GR23" s="41"/>
      <c r="GS23" s="41"/>
      <c r="GT23" s="41"/>
      <c r="GU23" s="41"/>
      <c r="GV23" s="41"/>
      <c r="GW23" s="41"/>
      <c r="GX23" s="41"/>
      <c r="GY23" s="41"/>
      <c r="GZ23" s="41"/>
      <c r="HA23" s="41"/>
      <c r="HB23" s="41"/>
      <c r="HC23" s="41"/>
      <c r="HD23" s="41"/>
      <c r="HE23" s="41"/>
      <c r="HF23" s="41"/>
      <c r="HG23" s="41"/>
      <c r="HH23" s="41"/>
      <c r="HI23" s="41"/>
      <c r="HJ23" s="41"/>
      <c r="HK23" s="41"/>
      <c r="HL23" s="41"/>
      <c r="HM23" s="41"/>
      <c r="HN23" s="41"/>
      <c r="HO23" s="41"/>
      <c r="HP23" s="41"/>
      <c r="HQ23" s="41"/>
      <c r="HR23" s="41"/>
      <c r="HS23" s="41"/>
      <c r="HT23" s="41"/>
      <c r="HU23" s="41"/>
      <c r="HV23" s="41"/>
      <c r="HW23" s="41"/>
      <c r="HX23" s="41"/>
      <c r="HY23" s="41"/>
      <c r="HZ23" s="41"/>
      <c r="IA23" s="41"/>
      <c r="IB23" s="41"/>
      <c r="IC23" s="41"/>
      <c r="ID23" s="41"/>
      <c r="IE23" s="41"/>
      <c r="IF23" s="41"/>
      <c r="IG23" s="41"/>
      <c r="IH23" s="41"/>
      <c r="II23" s="41"/>
      <c r="IJ23" s="41"/>
      <c r="IK23" s="41"/>
      <c r="IL23" s="41"/>
      <c r="IM23" s="41"/>
      <c r="IN23" s="41"/>
      <c r="IO23" s="41"/>
      <c r="IP23" s="41"/>
      <c r="IQ23" s="41"/>
      <c r="IR23" s="41"/>
      <c r="IS23" s="41"/>
      <c r="IT23" s="41"/>
      <c r="IU23" s="41"/>
      <c r="IV23" s="41"/>
      <c r="IW23" s="41"/>
      <c r="IX23" s="41"/>
      <c r="IY23" s="41"/>
      <c r="IZ23" s="41"/>
      <c r="JA23" s="41"/>
      <c r="JB23" s="41"/>
      <c r="JC23" s="41"/>
      <c r="JD23" s="41"/>
      <c r="JE23" s="41"/>
      <c r="JF23" s="41"/>
      <c r="JG23" s="41"/>
      <c r="JH23" s="41"/>
      <c r="JI23" s="41"/>
      <c r="JJ23" s="41"/>
      <c r="JK23" s="41"/>
      <c r="JL23" s="41"/>
      <c r="JM23" s="41"/>
      <c r="JN23" s="41"/>
      <c r="JO23" s="41"/>
      <c r="JP23" s="41"/>
      <c r="JQ23" s="41"/>
      <c r="JR23" s="41"/>
      <c r="JS23" s="41"/>
      <c r="JT23" s="41"/>
      <c r="JU23" s="41"/>
      <c r="JV23" s="41"/>
      <c r="JW23" s="41"/>
      <c r="JX23" s="41"/>
      <c r="JY23" s="41"/>
      <c r="JZ23" s="41"/>
      <c r="KA23" s="41"/>
      <c r="KB23" s="41"/>
      <c r="KC23" s="41"/>
      <c r="KD23" s="41"/>
      <c r="KE23" s="41"/>
      <c r="KF23" s="41"/>
      <c r="KG23" s="41"/>
      <c r="KH23" s="41"/>
      <c r="KI23" s="41"/>
      <c r="KJ23" s="41"/>
      <c r="KK23" s="41"/>
      <c r="KL23" s="41"/>
      <c r="KM23" s="41"/>
      <c r="KN23" s="41"/>
      <c r="KO23" s="41"/>
      <c r="KP23" s="41"/>
      <c r="KQ23" s="41"/>
      <c r="KR23" s="41"/>
      <c r="KS23" s="41"/>
      <c r="KT23" s="41"/>
      <c r="KU23" s="41"/>
      <c r="KV23" s="41"/>
      <c r="KW23" s="41"/>
      <c r="KX23" s="41"/>
      <c r="KY23" s="41"/>
      <c r="KZ23" s="41"/>
      <c r="LA23" s="41"/>
      <c r="LB23" s="41"/>
      <c r="LC23" s="41"/>
      <c r="LD23" s="41"/>
      <c r="LE23" s="41"/>
      <c r="LF23" s="41"/>
      <c r="LG23" s="41"/>
      <c r="LH23" s="41"/>
      <c r="LI23" s="41"/>
      <c r="LJ23" s="41"/>
      <c r="LK23" s="41"/>
      <c r="LL23" s="41"/>
      <c r="LM23" s="41"/>
      <c r="LN23" s="41"/>
      <c r="LO23" s="41"/>
      <c r="LP23" s="41"/>
      <c r="LQ23" s="41"/>
      <c r="LR23" s="41"/>
      <c r="LS23" s="41"/>
      <c r="LT23" s="41"/>
      <c r="LU23" s="41"/>
      <c r="LV23" s="41"/>
      <c r="LW23" s="41"/>
      <c r="LX23" s="41"/>
      <c r="LY23" s="41"/>
      <c r="LZ23" s="41"/>
      <c r="MA23" s="41"/>
      <c r="MB23" s="41"/>
      <c r="MC23" s="41"/>
      <c r="MD23" s="41"/>
      <c r="ME23" s="41"/>
      <c r="MF23" s="41"/>
      <c r="MG23" s="41"/>
      <c r="MH23" s="41"/>
      <c r="MI23" s="41"/>
      <c r="MJ23" s="41"/>
      <c r="MK23" s="41"/>
      <c r="ML23" s="41"/>
      <c r="MM23" s="41"/>
      <c r="MN23" s="41"/>
      <c r="MO23" s="41"/>
      <c r="MP23" s="41"/>
      <c r="MQ23" s="41"/>
      <c r="MR23" s="41"/>
      <c r="MS23" s="41"/>
      <c r="MT23" s="41"/>
      <c r="MU23" s="41"/>
      <c r="MV23" s="41"/>
      <c r="MW23" s="41"/>
      <c r="MX23" s="41"/>
      <c r="MY23" s="41"/>
      <c r="MZ23" s="41"/>
      <c r="NA23" s="41"/>
      <c r="NB23" s="41"/>
      <c r="NC23" s="41"/>
      <c r="ND23" s="41"/>
      <c r="NE23" s="41"/>
      <c r="NF23" s="41"/>
      <c r="NG23" s="41"/>
      <c r="NH23" s="41"/>
      <c r="NI23" s="41"/>
      <c r="NJ23" s="41"/>
      <c r="NK23" s="41"/>
      <c r="NL23" s="41"/>
      <c r="NM23" s="41"/>
      <c r="NN23" s="41"/>
      <c r="NO23" s="41"/>
      <c r="NP23" s="41"/>
      <c r="NQ23" s="41"/>
      <c r="NR23" s="41"/>
      <c r="NS23" s="41"/>
      <c r="NT23" s="41"/>
      <c r="NU23" s="41"/>
      <c r="NV23" s="41"/>
      <c r="NW23" s="41"/>
      <c r="NX23" s="41"/>
      <c r="NY23" s="41"/>
      <c r="NZ23" s="41"/>
      <c r="OA23" s="41"/>
      <c r="OB23" s="41"/>
      <c r="OC23" s="41"/>
      <c r="OD23" s="41"/>
      <c r="OE23" s="41"/>
      <c r="OF23" s="41"/>
      <c r="OG23" s="41"/>
      <c r="OH23" s="41"/>
      <c r="OI23" s="41"/>
      <c r="OJ23" s="41"/>
      <c r="OK23" s="41"/>
      <c r="OL23" s="41"/>
      <c r="OM23" s="41"/>
      <c r="ON23" s="41"/>
      <c r="OO23" s="41"/>
      <c r="OP23" s="41"/>
      <c r="OQ23" s="41"/>
      <c r="OR23" s="41"/>
      <c r="OS23" s="41"/>
      <c r="OT23" s="41"/>
      <c r="OU23" s="41"/>
      <c r="OV23" s="41"/>
      <c r="OW23" s="41"/>
      <c r="OX23" s="41"/>
      <c r="OY23" s="41"/>
      <c r="OZ23" s="41"/>
      <c r="PA23" s="41"/>
      <c r="PB23" s="41"/>
      <c r="PC23" s="41"/>
      <c r="PD23" s="41"/>
      <c r="PE23" s="41"/>
      <c r="PF23" s="41"/>
      <c r="PG23" s="41"/>
      <c r="PH23" s="41"/>
      <c r="PI23" s="41"/>
      <c r="PJ23" s="41"/>
      <c r="PK23" s="41"/>
      <c r="PL23" s="41"/>
      <c r="PM23" s="41"/>
      <c r="PN23" s="41"/>
      <c r="PO23" s="41"/>
      <c r="PP23" s="41"/>
      <c r="PQ23" s="41"/>
      <c r="PR23" s="41"/>
      <c r="PS23" s="41"/>
      <c r="PT23" s="41"/>
      <c r="PU23" s="41"/>
      <c r="PV23" s="41"/>
      <c r="PW23" s="41"/>
      <c r="PX23" s="41"/>
      <c r="PY23" s="41"/>
      <c r="PZ23" s="41"/>
      <c r="QA23" s="41"/>
      <c r="QB23" s="41"/>
      <c r="QC23" s="41"/>
      <c r="QD23" s="41"/>
      <c r="QE23" s="41"/>
      <c r="QF23" s="41"/>
      <c r="QG23" s="41"/>
      <c r="QH23" s="41"/>
      <c r="QI23" s="41"/>
      <c r="QJ23" s="41"/>
      <c r="QK23" s="41"/>
      <c r="QL23" s="41"/>
      <c r="QM23" s="41"/>
      <c r="QN23" s="41"/>
      <c r="QO23" s="41"/>
      <c r="QP23" s="41"/>
      <c r="QQ23" s="41"/>
      <c r="QR23" s="41"/>
      <c r="QS23" s="41"/>
      <c r="QT23" s="41"/>
      <c r="QU23" s="41"/>
      <c r="QV23" s="41"/>
      <c r="QW23" s="41"/>
      <c r="QX23" s="41"/>
      <c r="QY23" s="41"/>
      <c r="QZ23" s="41"/>
      <c r="RA23" s="41"/>
      <c r="RB23" s="41"/>
      <c r="RC23" s="41"/>
      <c r="RD23" s="41"/>
      <c r="RE23" s="41"/>
      <c r="RF23" s="41"/>
      <c r="RG23" s="41"/>
      <c r="RH23" s="41"/>
      <c r="RI23" s="41"/>
      <c r="RJ23" s="41"/>
      <c r="RK23" s="41"/>
      <c r="RL23" s="41"/>
      <c r="RM23" s="41"/>
      <c r="RN23" s="41"/>
      <c r="RO23" s="41"/>
      <c r="RP23" s="41"/>
      <c r="RQ23" s="41"/>
      <c r="RR23" s="41"/>
      <c r="RS23" s="41"/>
      <c r="RT23" s="41"/>
      <c r="RU23" s="41"/>
      <c r="RV23" s="41"/>
      <c r="RW23" s="41"/>
      <c r="RX23" s="41"/>
      <c r="RY23" s="41"/>
      <c r="RZ23" s="41"/>
      <c r="SA23" s="41"/>
      <c r="SB23" s="41"/>
      <c r="SC23" s="41"/>
      <c r="SD23" s="41"/>
      <c r="SE23" s="41"/>
      <c r="SF23" s="41"/>
      <c r="SG23" s="41"/>
      <c r="SH23" s="41"/>
      <c r="SI23" s="41"/>
      <c r="SJ23" s="41"/>
      <c r="SK23" s="41"/>
      <c r="SL23" s="41"/>
      <c r="SM23" s="41"/>
      <c r="SN23" s="41"/>
      <c r="SO23" s="41"/>
      <c r="SP23" s="41"/>
      <c r="SQ23" s="41"/>
      <c r="SR23" s="41"/>
      <c r="SS23" s="41"/>
      <c r="ST23" s="41"/>
      <c r="SU23" s="41"/>
      <c r="SV23" s="41"/>
      <c r="SW23" s="41"/>
      <c r="SX23" s="41"/>
      <c r="SY23" s="41"/>
      <c r="SZ23" s="41"/>
      <c r="TA23" s="41"/>
      <c r="TB23" s="41"/>
      <c r="TC23" s="41"/>
      <c r="TD23" s="41"/>
      <c r="TE23" s="41"/>
      <c r="TF23" s="41"/>
      <c r="TG23" s="41"/>
      <c r="TH23" s="41"/>
      <c r="TI23" s="41"/>
      <c r="TJ23" s="41"/>
      <c r="TK23" s="41"/>
      <c r="TL23" s="41"/>
      <c r="TM23" s="41"/>
      <c r="TN23" s="41"/>
      <c r="TO23" s="41"/>
      <c r="TP23" s="41"/>
      <c r="TQ23" s="41"/>
      <c r="TR23" s="41"/>
      <c r="TS23" s="41"/>
      <c r="TT23" s="41"/>
      <c r="TU23" s="41"/>
      <c r="TV23" s="41"/>
      <c r="TW23" s="41"/>
      <c r="TX23" s="41"/>
      <c r="TY23" s="41"/>
      <c r="TZ23" s="41"/>
      <c r="UA23" s="41"/>
      <c r="UB23" s="41"/>
      <c r="UC23" s="41"/>
      <c r="UD23" s="41"/>
      <c r="UE23" s="41"/>
      <c r="UF23" s="41"/>
      <c r="UG23" s="41"/>
      <c r="UH23" s="41"/>
      <c r="UI23" s="41"/>
      <c r="UJ23" s="41"/>
      <c r="UK23" s="41"/>
      <c r="UL23" s="41"/>
      <c r="UM23" s="41"/>
      <c r="UN23" s="41"/>
      <c r="UO23" s="41"/>
      <c r="UP23" s="41"/>
      <c r="UQ23" s="41"/>
      <c r="UR23" s="41"/>
      <c r="US23" s="41"/>
      <c r="UT23" s="41"/>
      <c r="UU23" s="41"/>
      <c r="UV23" s="41"/>
      <c r="UW23" s="41"/>
      <c r="UX23" s="41"/>
      <c r="UY23" s="41"/>
      <c r="UZ23" s="41"/>
      <c r="VA23" s="41"/>
      <c r="VB23" s="41"/>
      <c r="VC23" s="41"/>
      <c r="VD23" s="41"/>
      <c r="VE23" s="41"/>
      <c r="VF23" s="41"/>
      <c r="VG23" s="41"/>
      <c r="VH23" s="41"/>
      <c r="VI23" s="41"/>
      <c r="VJ23" s="41"/>
      <c r="VK23" s="41"/>
      <c r="VL23" s="41"/>
      <c r="VM23" s="41"/>
      <c r="VN23" s="41"/>
      <c r="VO23" s="41"/>
      <c r="VP23" s="41"/>
      <c r="VQ23" s="41"/>
      <c r="VR23" s="41"/>
      <c r="VS23" s="41"/>
      <c r="VT23" s="41"/>
      <c r="VU23" s="41"/>
      <c r="VV23" s="41"/>
      <c r="VW23" s="41"/>
      <c r="VX23" s="41"/>
      <c r="VY23" s="41"/>
      <c r="VZ23" s="41"/>
      <c r="WA23" s="41"/>
      <c r="WB23" s="41"/>
      <c r="WC23" s="41"/>
      <c r="WD23" s="41"/>
      <c r="WE23" s="41"/>
      <c r="WF23" s="41"/>
      <c r="WG23" s="41"/>
      <c r="WH23" s="41"/>
      <c r="WI23" s="41"/>
      <c r="WJ23" s="41"/>
      <c r="WK23" s="41"/>
      <c r="WL23" s="41"/>
      <c r="WM23" s="41"/>
      <c r="WN23" s="41"/>
      <c r="WO23" s="41"/>
      <c r="WP23" s="41"/>
      <c r="WQ23" s="41"/>
      <c r="WR23" s="41"/>
      <c r="WS23" s="41"/>
      <c r="WT23" s="41"/>
      <c r="WU23" s="41"/>
      <c r="WV23" s="41"/>
      <c r="WW23" s="41"/>
      <c r="WX23" s="41"/>
      <c r="WY23" s="41"/>
      <c r="WZ23" s="41"/>
      <c r="XA23" s="41"/>
      <c r="XB23" s="41"/>
      <c r="XC23" s="41"/>
      <c r="XD23" s="41"/>
      <c r="XE23" s="41"/>
      <c r="XF23" s="41"/>
      <c r="XG23" s="41"/>
      <c r="XH23" s="41"/>
      <c r="XI23" s="41"/>
      <c r="XJ23" s="41"/>
      <c r="XK23" s="41"/>
      <c r="XL23" s="41"/>
      <c r="XM23" s="41"/>
      <c r="XN23" s="41"/>
      <c r="XO23" s="41"/>
      <c r="XP23" s="41"/>
      <c r="XQ23" s="41"/>
      <c r="XR23" s="41"/>
      <c r="XS23" s="41"/>
      <c r="XT23" s="41"/>
      <c r="XU23" s="41"/>
      <c r="XV23" s="41"/>
      <c r="XW23" s="41"/>
      <c r="XX23" s="41"/>
      <c r="XY23" s="41"/>
      <c r="XZ23" s="41"/>
      <c r="YA23" s="41"/>
      <c r="YB23" s="41"/>
      <c r="YC23" s="41"/>
      <c r="YD23" s="41"/>
      <c r="YE23" s="41"/>
      <c r="YF23" s="41"/>
      <c r="YG23" s="41"/>
      <c r="YH23" s="41"/>
      <c r="YI23" s="41"/>
      <c r="YJ23" s="41"/>
      <c r="YK23" s="41"/>
      <c r="YL23" s="41"/>
      <c r="YM23" s="41"/>
      <c r="YN23" s="41"/>
      <c r="YO23" s="41"/>
      <c r="YP23" s="41"/>
      <c r="YQ23" s="41"/>
      <c r="YR23" s="41"/>
      <c r="YS23" s="41"/>
      <c r="YT23" s="41"/>
      <c r="YU23" s="41"/>
      <c r="YV23" s="41"/>
      <c r="YW23" s="41"/>
      <c r="YX23" s="41"/>
      <c r="YY23" s="41"/>
      <c r="YZ23" s="41"/>
      <c r="ZA23" s="41"/>
      <c r="ZB23" s="41"/>
      <c r="ZC23" s="41"/>
      <c r="ZD23" s="41"/>
      <c r="ZE23" s="41"/>
      <c r="ZF23" s="41"/>
      <c r="ZG23" s="41"/>
      <c r="ZH23" s="41"/>
      <c r="ZI23" s="41"/>
      <c r="ZJ23" s="41"/>
      <c r="ZK23" s="41"/>
      <c r="ZL23" s="41"/>
      <c r="ZM23" s="41"/>
      <c r="ZN23" s="41"/>
      <c r="ZO23" s="41"/>
      <c r="ZP23" s="41"/>
      <c r="ZQ23" s="41"/>
      <c r="ZR23" s="41"/>
      <c r="ZS23" s="41"/>
      <c r="ZT23" s="41"/>
      <c r="ZU23" s="41"/>
      <c r="ZV23" s="41"/>
      <c r="ZW23" s="41"/>
      <c r="ZX23" s="41"/>
      <c r="ZY23" s="41"/>
      <c r="ZZ23" s="41"/>
      <c r="AAA23" s="41"/>
      <c r="AAB23" s="41"/>
      <c r="AAC23" s="41"/>
    </row>
    <row r="24" spans="1:705" s="41" customFormat="1" ht="21" hidden="1" x14ac:dyDescent="0.3">
      <c r="A24" s="26">
        <v>20</v>
      </c>
      <c r="B24" s="137">
        <v>239494</v>
      </c>
      <c r="C24" s="138">
        <v>20</v>
      </c>
      <c r="D24" s="139">
        <v>45907</v>
      </c>
      <c r="E24" s="139">
        <f t="shared" si="0"/>
        <v>45906</v>
      </c>
      <c r="F24" s="139">
        <f t="shared" si="1"/>
        <v>45917</v>
      </c>
      <c r="G24" s="139">
        <v>45968</v>
      </c>
      <c r="H24" s="139">
        <v>45934</v>
      </c>
      <c r="I24" s="139" t="s">
        <v>123</v>
      </c>
      <c r="J24" s="140" t="s">
        <v>126</v>
      </c>
      <c r="K24" s="141">
        <f t="shared" si="2"/>
        <v>17</v>
      </c>
      <c r="L24" s="141">
        <v>1140526</v>
      </c>
      <c r="M24" s="140" t="s">
        <v>15</v>
      </c>
      <c r="N24" s="140">
        <v>803625</v>
      </c>
      <c r="O24" s="140" t="s">
        <v>246</v>
      </c>
      <c r="P24" s="143">
        <v>45923</v>
      </c>
      <c r="Q24" s="143">
        <v>45938</v>
      </c>
      <c r="R24" s="137" t="s">
        <v>211</v>
      </c>
      <c r="S24" s="144" t="s">
        <v>127</v>
      </c>
      <c r="T24" s="145">
        <v>1</v>
      </c>
      <c r="U24" s="137" t="s">
        <v>128</v>
      </c>
      <c r="V24" s="146">
        <v>60</v>
      </c>
      <c r="W24" s="146">
        <v>60</v>
      </c>
      <c r="X24" s="147">
        <v>0</v>
      </c>
      <c r="Y24" s="146">
        <v>0</v>
      </c>
      <c r="Z24" s="146">
        <v>0</v>
      </c>
      <c r="AA24" s="146">
        <v>0</v>
      </c>
      <c r="AB24" s="146">
        <v>0</v>
      </c>
      <c r="AC24" s="146">
        <v>0</v>
      </c>
      <c r="AD24" s="146">
        <v>0</v>
      </c>
      <c r="AE24" s="146">
        <v>0</v>
      </c>
      <c r="AF24" s="146">
        <v>0</v>
      </c>
      <c r="AG24" s="146">
        <v>0</v>
      </c>
      <c r="AH24" s="146">
        <v>1</v>
      </c>
      <c r="AI24" s="146">
        <v>1</v>
      </c>
      <c r="AJ24" s="146">
        <v>0</v>
      </c>
      <c r="AK24" s="146">
        <v>0</v>
      </c>
      <c r="AL24" s="146">
        <v>1</v>
      </c>
      <c r="AM24" s="146">
        <v>1</v>
      </c>
      <c r="AN24" s="146">
        <v>1</v>
      </c>
      <c r="AO24" s="146">
        <v>1</v>
      </c>
      <c r="AP24" s="146">
        <v>1</v>
      </c>
      <c r="AQ24" s="146">
        <v>1</v>
      </c>
      <c r="AR24" s="146">
        <v>0</v>
      </c>
      <c r="AS24" s="146">
        <v>0</v>
      </c>
      <c r="AT24" s="146">
        <v>1</v>
      </c>
      <c r="AU24" s="146">
        <v>1</v>
      </c>
      <c r="AV24" s="146">
        <v>0</v>
      </c>
      <c r="AW24" s="146">
        <v>0</v>
      </c>
      <c r="AX24" s="146">
        <f t="shared" si="3"/>
        <v>5400</v>
      </c>
      <c r="AY24" s="146">
        <f t="shared" si="4"/>
        <v>5400</v>
      </c>
      <c r="AZ24" s="140" t="s">
        <v>562</v>
      </c>
      <c r="BA24" s="140" t="s">
        <v>562</v>
      </c>
      <c r="BB24" s="137">
        <v>1</v>
      </c>
      <c r="BC24" s="148">
        <v>20</v>
      </c>
      <c r="BD24" s="149"/>
      <c r="BE24" s="145"/>
      <c r="BF24" s="150"/>
      <c r="BG24" s="151">
        <v>45931</v>
      </c>
      <c r="BH24" s="137" t="s">
        <v>535</v>
      </c>
      <c r="BI24" s="153" t="s">
        <v>562</v>
      </c>
    </row>
    <row r="25" spans="1:705" s="41" customFormat="1" ht="42" hidden="1" x14ac:dyDescent="0.3">
      <c r="A25" s="26">
        <v>21</v>
      </c>
      <c r="B25" s="137">
        <v>239495</v>
      </c>
      <c r="C25" s="138">
        <v>21</v>
      </c>
      <c r="D25" s="139">
        <v>45908</v>
      </c>
      <c r="E25" s="139">
        <f t="shared" si="0"/>
        <v>45907</v>
      </c>
      <c r="F25" s="139">
        <f t="shared" si="1"/>
        <v>45918</v>
      </c>
      <c r="G25" s="139">
        <v>45969</v>
      </c>
      <c r="H25" s="139">
        <v>45945</v>
      </c>
      <c r="I25" s="139" t="s">
        <v>123</v>
      </c>
      <c r="J25" s="140" t="s">
        <v>129</v>
      </c>
      <c r="K25" s="141">
        <f t="shared" si="2"/>
        <v>27</v>
      </c>
      <c r="L25" s="141">
        <v>1140624</v>
      </c>
      <c r="M25" s="140" t="s">
        <v>15</v>
      </c>
      <c r="N25" s="140">
        <v>803245</v>
      </c>
      <c r="O25" s="140" t="s">
        <v>246</v>
      </c>
      <c r="P25" s="143">
        <v>45937</v>
      </c>
      <c r="Q25" s="143">
        <v>46107</v>
      </c>
      <c r="R25" s="137" t="s">
        <v>211</v>
      </c>
      <c r="S25" s="144" t="s">
        <v>127</v>
      </c>
      <c r="T25" s="145">
        <v>1</v>
      </c>
      <c r="U25" s="137" t="s">
        <v>82</v>
      </c>
      <c r="V25" s="146">
        <v>34</v>
      </c>
      <c r="W25" s="146">
        <v>34</v>
      </c>
      <c r="X25" s="147">
        <v>0</v>
      </c>
      <c r="Y25" s="146">
        <v>0</v>
      </c>
      <c r="Z25" s="146">
        <v>0</v>
      </c>
      <c r="AA25" s="146">
        <v>0</v>
      </c>
      <c r="AB25" s="146">
        <v>6</v>
      </c>
      <c r="AC25" s="146">
        <v>6</v>
      </c>
      <c r="AD25" s="146">
        <v>0</v>
      </c>
      <c r="AE25" s="146">
        <v>0</v>
      </c>
      <c r="AF25" s="146">
        <v>0</v>
      </c>
      <c r="AG25" s="146">
        <v>0</v>
      </c>
      <c r="AH25" s="146">
        <v>2</v>
      </c>
      <c r="AI25" s="146">
        <v>2</v>
      </c>
      <c r="AJ25" s="146">
        <v>0</v>
      </c>
      <c r="AK25" s="146">
        <v>0</v>
      </c>
      <c r="AL25" s="146">
        <v>3</v>
      </c>
      <c r="AM25" s="146">
        <v>3</v>
      </c>
      <c r="AN25" s="146">
        <v>3</v>
      </c>
      <c r="AO25" s="146">
        <v>3</v>
      </c>
      <c r="AP25" s="146">
        <v>2</v>
      </c>
      <c r="AQ25" s="146">
        <v>2</v>
      </c>
      <c r="AR25" s="146">
        <v>0</v>
      </c>
      <c r="AS25" s="146">
        <v>0</v>
      </c>
      <c r="AT25" s="146">
        <v>1</v>
      </c>
      <c r="AU25" s="146">
        <v>1</v>
      </c>
      <c r="AV25" s="146">
        <v>0</v>
      </c>
      <c r="AW25" s="146">
        <v>0</v>
      </c>
      <c r="AX25" s="146">
        <f t="shared" si="3"/>
        <v>6282</v>
      </c>
      <c r="AY25" s="146">
        <f t="shared" si="4"/>
        <v>6282</v>
      </c>
      <c r="AZ25" s="140" t="s">
        <v>562</v>
      </c>
      <c r="BA25" s="140" t="s">
        <v>562</v>
      </c>
      <c r="BB25" s="137">
        <v>2</v>
      </c>
      <c r="BC25" s="148">
        <v>21</v>
      </c>
      <c r="BD25" s="149"/>
      <c r="BE25" s="145"/>
      <c r="BF25" s="150"/>
      <c r="BG25" s="151">
        <v>45931</v>
      </c>
      <c r="BH25" s="137" t="s">
        <v>535</v>
      </c>
      <c r="BI25" s="153" t="s">
        <v>562</v>
      </c>
    </row>
    <row r="26" spans="1:705" s="41" customFormat="1" ht="21" hidden="1" x14ac:dyDescent="0.3">
      <c r="A26" s="26">
        <v>22</v>
      </c>
      <c r="B26" s="137">
        <v>239498</v>
      </c>
      <c r="C26" s="138">
        <v>22</v>
      </c>
      <c r="D26" s="139">
        <v>45908</v>
      </c>
      <c r="E26" s="139">
        <f t="shared" si="0"/>
        <v>45907</v>
      </c>
      <c r="F26" s="139">
        <f t="shared" si="1"/>
        <v>45918</v>
      </c>
      <c r="G26" s="139">
        <v>45969</v>
      </c>
      <c r="H26" s="139">
        <v>45928</v>
      </c>
      <c r="I26" s="139" t="s">
        <v>123</v>
      </c>
      <c r="J26" s="140" t="s">
        <v>130</v>
      </c>
      <c r="K26" s="141">
        <f t="shared" si="2"/>
        <v>10</v>
      </c>
      <c r="L26" s="141">
        <v>1140631</v>
      </c>
      <c r="M26" s="140" t="s">
        <v>15</v>
      </c>
      <c r="N26" s="140">
        <v>803246</v>
      </c>
      <c r="O26" s="140" t="s">
        <v>246</v>
      </c>
      <c r="P26" s="143">
        <v>45928</v>
      </c>
      <c r="Q26" s="143">
        <v>45943</v>
      </c>
      <c r="R26" s="137" t="s">
        <v>211</v>
      </c>
      <c r="S26" s="144" t="s">
        <v>110</v>
      </c>
      <c r="T26" s="145">
        <v>1</v>
      </c>
      <c r="U26" s="137" t="s">
        <v>106</v>
      </c>
      <c r="V26" s="146">
        <v>5</v>
      </c>
      <c r="W26" s="146">
        <v>5</v>
      </c>
      <c r="X26" s="147">
        <v>0</v>
      </c>
      <c r="Y26" s="146">
        <v>0</v>
      </c>
      <c r="Z26" s="146">
        <v>0</v>
      </c>
      <c r="AA26" s="146">
        <v>0</v>
      </c>
      <c r="AB26" s="146">
        <v>5</v>
      </c>
      <c r="AC26" s="146">
        <v>5</v>
      </c>
      <c r="AD26" s="146">
        <v>0</v>
      </c>
      <c r="AE26" s="146">
        <v>0</v>
      </c>
      <c r="AF26" s="146">
        <v>0</v>
      </c>
      <c r="AG26" s="146">
        <v>0</v>
      </c>
      <c r="AH26" s="146">
        <v>1</v>
      </c>
      <c r="AI26" s="146">
        <v>1</v>
      </c>
      <c r="AJ26" s="146">
        <v>0</v>
      </c>
      <c r="AK26" s="146">
        <v>0</v>
      </c>
      <c r="AL26" s="146">
        <v>0</v>
      </c>
      <c r="AM26" s="146">
        <v>0</v>
      </c>
      <c r="AN26" s="146">
        <v>0</v>
      </c>
      <c r="AO26" s="146">
        <v>0</v>
      </c>
      <c r="AP26" s="146">
        <v>1</v>
      </c>
      <c r="AQ26" s="146">
        <v>1</v>
      </c>
      <c r="AR26" s="146">
        <v>0</v>
      </c>
      <c r="AS26" s="146">
        <v>0</v>
      </c>
      <c r="AT26" s="146">
        <v>1</v>
      </c>
      <c r="AU26" s="146">
        <v>1</v>
      </c>
      <c r="AV26" s="146">
        <v>0</v>
      </c>
      <c r="AW26" s="146">
        <v>0</v>
      </c>
      <c r="AX26" s="146">
        <f t="shared" si="3"/>
        <v>1735</v>
      </c>
      <c r="AY26" s="146">
        <f t="shared" si="4"/>
        <v>1735</v>
      </c>
      <c r="AZ26" s="140" t="s">
        <v>562</v>
      </c>
      <c r="BA26" s="140" t="s">
        <v>562</v>
      </c>
      <c r="BB26" s="137">
        <v>4</v>
      </c>
      <c r="BC26" s="148">
        <v>22</v>
      </c>
      <c r="BD26" s="149"/>
      <c r="BE26" s="145"/>
      <c r="BF26" s="150"/>
      <c r="BG26" s="151">
        <v>45901</v>
      </c>
      <c r="BH26" s="137" t="s">
        <v>535</v>
      </c>
      <c r="BI26" s="153" t="s">
        <v>562</v>
      </c>
    </row>
    <row r="27" spans="1:705" s="41" customFormat="1" ht="42" hidden="1" x14ac:dyDescent="0.3">
      <c r="A27" s="26">
        <v>23</v>
      </c>
      <c r="B27" s="137">
        <v>239499</v>
      </c>
      <c r="C27" s="138">
        <v>23</v>
      </c>
      <c r="D27" s="139">
        <v>45908</v>
      </c>
      <c r="E27" s="139">
        <f t="shared" si="0"/>
        <v>45907</v>
      </c>
      <c r="F27" s="139">
        <f t="shared" si="1"/>
        <v>45918</v>
      </c>
      <c r="G27" s="139">
        <v>45969</v>
      </c>
      <c r="H27" s="139">
        <v>45939</v>
      </c>
      <c r="I27" s="139" t="s">
        <v>123</v>
      </c>
      <c r="J27" s="140" t="s">
        <v>132</v>
      </c>
      <c r="K27" s="141">
        <f t="shared" si="2"/>
        <v>21</v>
      </c>
      <c r="L27" s="141">
        <v>1140667</v>
      </c>
      <c r="M27" s="140" t="s">
        <v>15</v>
      </c>
      <c r="N27" s="140">
        <v>803245</v>
      </c>
      <c r="O27" s="140" t="s">
        <v>246</v>
      </c>
      <c r="P27" s="143">
        <v>45937</v>
      </c>
      <c r="Q27" s="143">
        <v>46107</v>
      </c>
      <c r="R27" s="137" t="s">
        <v>211</v>
      </c>
      <c r="S27" s="144" t="s">
        <v>131</v>
      </c>
      <c r="T27" s="145">
        <v>1</v>
      </c>
      <c r="U27" s="137" t="s">
        <v>82</v>
      </c>
      <c r="V27" s="146">
        <v>32</v>
      </c>
      <c r="W27" s="146">
        <v>32</v>
      </c>
      <c r="X27" s="147"/>
      <c r="Y27" s="146"/>
      <c r="Z27" s="146"/>
      <c r="AA27" s="146"/>
      <c r="AB27" s="146">
        <v>32</v>
      </c>
      <c r="AC27" s="146">
        <v>32</v>
      </c>
      <c r="AD27" s="146">
        <v>0</v>
      </c>
      <c r="AE27" s="146">
        <v>0</v>
      </c>
      <c r="AF27" s="146">
        <v>0</v>
      </c>
      <c r="AG27" s="146">
        <v>0</v>
      </c>
      <c r="AH27" s="146">
        <v>1</v>
      </c>
      <c r="AI27" s="146">
        <v>1</v>
      </c>
      <c r="AJ27" s="146">
        <v>0</v>
      </c>
      <c r="AK27" s="146">
        <v>0</v>
      </c>
      <c r="AL27" s="146">
        <v>0</v>
      </c>
      <c r="AM27" s="146"/>
      <c r="AN27" s="146">
        <v>1</v>
      </c>
      <c r="AO27" s="146">
        <v>1</v>
      </c>
      <c r="AP27" s="146">
        <v>2</v>
      </c>
      <c r="AQ27" s="146">
        <v>2</v>
      </c>
      <c r="AR27" s="146">
        <v>0</v>
      </c>
      <c r="AS27" s="146">
        <v>0</v>
      </c>
      <c r="AT27" s="146">
        <v>1</v>
      </c>
      <c r="AU27" s="146">
        <v>1</v>
      </c>
      <c r="AV27" s="146">
        <v>0</v>
      </c>
      <c r="AW27" s="146">
        <v>0</v>
      </c>
      <c r="AX27" s="146">
        <f t="shared" si="3"/>
        <v>5584</v>
      </c>
      <c r="AY27" s="146">
        <f t="shared" si="4"/>
        <v>5584</v>
      </c>
      <c r="AZ27" s="140" t="s">
        <v>562</v>
      </c>
      <c r="BA27" s="140" t="s">
        <v>562</v>
      </c>
      <c r="BB27" s="137">
        <v>2</v>
      </c>
      <c r="BC27" s="148">
        <v>23</v>
      </c>
      <c r="BD27" s="149"/>
      <c r="BE27" s="145"/>
      <c r="BF27" s="150"/>
      <c r="BG27" s="152">
        <v>45931</v>
      </c>
      <c r="BH27" s="137" t="s">
        <v>535</v>
      </c>
      <c r="BI27" s="153" t="s">
        <v>562</v>
      </c>
    </row>
    <row r="28" spans="1:705" s="41" customFormat="1" ht="42" hidden="1" x14ac:dyDescent="0.3">
      <c r="A28" s="26">
        <v>24</v>
      </c>
      <c r="B28" s="140">
        <v>239511</v>
      </c>
      <c r="C28" s="140">
        <v>24</v>
      </c>
      <c r="D28" s="139">
        <v>45908</v>
      </c>
      <c r="E28" s="139">
        <f t="shared" si="0"/>
        <v>45907</v>
      </c>
      <c r="F28" s="139">
        <f t="shared" si="1"/>
        <v>45918</v>
      </c>
      <c r="G28" s="139">
        <v>45969</v>
      </c>
      <c r="H28" s="139">
        <f ca="1">TODAY()</f>
        <v>46277</v>
      </c>
      <c r="I28" s="139" t="s">
        <v>123</v>
      </c>
      <c r="J28" s="140" t="s">
        <v>133</v>
      </c>
      <c r="K28" s="141">
        <f t="shared" ca="1" si="2"/>
        <v>359</v>
      </c>
      <c r="L28" s="140">
        <v>1141006</v>
      </c>
      <c r="M28" s="140" t="s">
        <v>15</v>
      </c>
      <c r="N28" s="140" t="s">
        <v>251</v>
      </c>
      <c r="O28" s="140" t="s">
        <v>517</v>
      </c>
      <c r="P28" s="143">
        <v>45950</v>
      </c>
      <c r="Q28" s="143">
        <v>46022</v>
      </c>
      <c r="R28" s="137" t="s">
        <v>211</v>
      </c>
      <c r="S28" s="140">
        <v>10760</v>
      </c>
      <c r="T28" s="145">
        <v>1</v>
      </c>
      <c r="U28" s="140" t="s">
        <v>102</v>
      </c>
      <c r="V28" s="154">
        <v>55</v>
      </c>
      <c r="W28" s="154">
        <v>55</v>
      </c>
      <c r="X28" s="155">
        <v>0</v>
      </c>
      <c r="Y28" s="154">
        <v>0</v>
      </c>
      <c r="Z28" s="154">
        <v>0</v>
      </c>
      <c r="AA28" s="154">
        <v>0</v>
      </c>
      <c r="AB28" s="154">
        <v>5</v>
      </c>
      <c r="AC28" s="154">
        <v>5</v>
      </c>
      <c r="AD28" s="154">
        <v>0</v>
      </c>
      <c r="AE28" s="154">
        <v>0</v>
      </c>
      <c r="AF28" s="154">
        <v>0</v>
      </c>
      <c r="AG28" s="154">
        <v>0</v>
      </c>
      <c r="AH28" s="154">
        <v>1</v>
      </c>
      <c r="AI28" s="154">
        <v>1</v>
      </c>
      <c r="AJ28" s="154">
        <v>0</v>
      </c>
      <c r="AK28" s="154">
        <v>0</v>
      </c>
      <c r="AL28" s="154">
        <v>1</v>
      </c>
      <c r="AM28" s="154">
        <v>1</v>
      </c>
      <c r="AN28" s="154">
        <v>1</v>
      </c>
      <c r="AO28" s="154">
        <v>1</v>
      </c>
      <c r="AP28" s="154">
        <v>1</v>
      </c>
      <c r="AQ28" s="154">
        <v>1</v>
      </c>
      <c r="AR28" s="154">
        <v>0</v>
      </c>
      <c r="AS28" s="154">
        <v>0</v>
      </c>
      <c r="AT28" s="154">
        <v>0</v>
      </c>
      <c r="AU28" s="154"/>
      <c r="AV28" s="154">
        <v>1</v>
      </c>
      <c r="AW28" s="154">
        <v>1</v>
      </c>
      <c r="AX28" s="146">
        <f t="shared" si="3"/>
        <v>5985</v>
      </c>
      <c r="AY28" s="146">
        <f t="shared" si="4"/>
        <v>5985</v>
      </c>
      <c r="AZ28" s="140" t="s">
        <v>562</v>
      </c>
      <c r="BA28" s="140" t="s">
        <v>562</v>
      </c>
      <c r="BB28" s="140">
        <v>4</v>
      </c>
      <c r="BC28" s="140">
        <v>24</v>
      </c>
      <c r="BD28" s="149"/>
      <c r="BE28" s="145"/>
      <c r="BF28" s="150"/>
      <c r="BG28" s="152">
        <v>45962</v>
      </c>
      <c r="BH28" s="137" t="s">
        <v>535</v>
      </c>
      <c r="BI28" s="153" t="s">
        <v>562</v>
      </c>
    </row>
    <row r="29" spans="1:705" s="41" customFormat="1" ht="42" hidden="1" x14ac:dyDescent="0.3">
      <c r="A29" s="26">
        <v>25</v>
      </c>
      <c r="B29" s="140">
        <v>239501</v>
      </c>
      <c r="C29" s="140">
        <v>25</v>
      </c>
      <c r="D29" s="139">
        <v>45908</v>
      </c>
      <c r="E29" s="139">
        <f t="shared" si="0"/>
        <v>45907</v>
      </c>
      <c r="F29" s="139">
        <f t="shared" si="1"/>
        <v>45918</v>
      </c>
      <c r="G29" s="139">
        <v>45918</v>
      </c>
      <c r="H29" s="139">
        <v>45921</v>
      </c>
      <c r="I29" s="139" t="s">
        <v>136</v>
      </c>
      <c r="J29" s="140" t="s">
        <v>135</v>
      </c>
      <c r="K29" s="141">
        <f t="shared" si="2"/>
        <v>3</v>
      </c>
      <c r="L29" s="140">
        <v>1140904</v>
      </c>
      <c r="M29" s="140" t="s">
        <v>15</v>
      </c>
      <c r="N29" s="140">
        <v>803038</v>
      </c>
      <c r="O29" s="140" t="s">
        <v>246</v>
      </c>
      <c r="P29" s="143">
        <v>45915</v>
      </c>
      <c r="Q29" s="143">
        <v>45930</v>
      </c>
      <c r="R29" s="137" t="s">
        <v>211</v>
      </c>
      <c r="S29" s="140">
        <v>9839</v>
      </c>
      <c r="T29" s="145">
        <v>1</v>
      </c>
      <c r="U29" s="140" t="s">
        <v>82</v>
      </c>
      <c r="V29" s="154">
        <v>5</v>
      </c>
      <c r="W29" s="154">
        <v>5</v>
      </c>
      <c r="X29" s="155">
        <v>0</v>
      </c>
      <c r="Y29" s="154">
        <v>0</v>
      </c>
      <c r="Z29" s="154">
        <v>0</v>
      </c>
      <c r="AA29" s="154">
        <v>0</v>
      </c>
      <c r="AB29" s="154">
        <v>5</v>
      </c>
      <c r="AC29" s="154">
        <v>5</v>
      </c>
      <c r="AD29" s="154">
        <v>0</v>
      </c>
      <c r="AE29" s="154">
        <v>0</v>
      </c>
      <c r="AF29" s="154">
        <v>0</v>
      </c>
      <c r="AG29" s="154">
        <v>0</v>
      </c>
      <c r="AH29" s="154">
        <v>1</v>
      </c>
      <c r="AI29" s="154">
        <v>1</v>
      </c>
      <c r="AJ29" s="154">
        <v>0</v>
      </c>
      <c r="AK29" s="154">
        <v>0</v>
      </c>
      <c r="AL29" s="154">
        <v>0</v>
      </c>
      <c r="AM29" s="154">
        <v>0</v>
      </c>
      <c r="AN29" s="154">
        <v>0</v>
      </c>
      <c r="AO29" s="154">
        <v>0</v>
      </c>
      <c r="AP29" s="154">
        <v>1</v>
      </c>
      <c r="AQ29" s="154">
        <v>1</v>
      </c>
      <c r="AR29" s="154">
        <v>0</v>
      </c>
      <c r="AS29" s="154">
        <v>0</v>
      </c>
      <c r="AT29" s="154">
        <v>1</v>
      </c>
      <c r="AU29" s="154">
        <v>1</v>
      </c>
      <c r="AV29" s="154">
        <v>0</v>
      </c>
      <c r="AW29" s="154">
        <v>0</v>
      </c>
      <c r="AX29" s="146">
        <f t="shared" si="3"/>
        <v>1735</v>
      </c>
      <c r="AY29" s="146">
        <f t="shared" si="4"/>
        <v>1735</v>
      </c>
      <c r="AZ29" s="140" t="s">
        <v>562</v>
      </c>
      <c r="BA29" s="140" t="s">
        <v>562</v>
      </c>
      <c r="BB29" s="140">
        <v>2</v>
      </c>
      <c r="BC29" s="140">
        <v>25</v>
      </c>
      <c r="BD29" s="149"/>
      <c r="BE29" s="145"/>
      <c r="BF29" s="150"/>
      <c r="BG29" s="151">
        <v>45901</v>
      </c>
      <c r="BH29" s="137" t="s">
        <v>535</v>
      </c>
      <c r="BI29" s="153" t="s">
        <v>562</v>
      </c>
    </row>
    <row r="30" spans="1:705" s="41" customFormat="1" ht="42" hidden="1" x14ac:dyDescent="0.3">
      <c r="A30" s="26">
        <v>26</v>
      </c>
      <c r="B30" s="137">
        <v>239502</v>
      </c>
      <c r="C30" s="138">
        <v>26</v>
      </c>
      <c r="D30" s="139">
        <v>45908</v>
      </c>
      <c r="E30" s="139">
        <f t="shared" si="0"/>
        <v>45907</v>
      </c>
      <c r="F30" s="139">
        <f t="shared" si="1"/>
        <v>45918</v>
      </c>
      <c r="G30" s="139">
        <v>45918</v>
      </c>
      <c r="H30" s="139">
        <v>45922</v>
      </c>
      <c r="I30" s="139" t="s">
        <v>136</v>
      </c>
      <c r="J30" s="140" t="s">
        <v>138</v>
      </c>
      <c r="K30" s="141">
        <f t="shared" si="2"/>
        <v>4</v>
      </c>
      <c r="L30" s="141">
        <v>1140909</v>
      </c>
      <c r="M30" s="140" t="s">
        <v>15</v>
      </c>
      <c r="N30" s="140">
        <v>803255</v>
      </c>
      <c r="O30" s="140" t="s">
        <v>246</v>
      </c>
      <c r="P30" s="143">
        <v>45917</v>
      </c>
      <c r="Q30" s="143">
        <v>45932</v>
      </c>
      <c r="R30" s="137" t="s">
        <v>211</v>
      </c>
      <c r="S30" s="144" t="s">
        <v>137</v>
      </c>
      <c r="T30" s="145">
        <v>1</v>
      </c>
      <c r="U30" s="137" t="s">
        <v>98</v>
      </c>
      <c r="V30" s="146">
        <v>18</v>
      </c>
      <c r="W30" s="146">
        <v>18</v>
      </c>
      <c r="X30" s="147"/>
      <c r="Y30" s="146"/>
      <c r="Z30" s="146"/>
      <c r="AA30" s="146"/>
      <c r="AB30" s="154">
        <v>0</v>
      </c>
      <c r="AC30" s="146"/>
      <c r="AD30" s="146"/>
      <c r="AE30" s="146"/>
      <c r="AF30" s="146"/>
      <c r="AG30" s="146"/>
      <c r="AH30" s="154">
        <v>1</v>
      </c>
      <c r="AI30" s="146">
        <v>1</v>
      </c>
      <c r="AJ30" s="146"/>
      <c r="AK30" s="146"/>
      <c r="AL30" s="146"/>
      <c r="AM30" s="146"/>
      <c r="AN30" s="146">
        <v>1</v>
      </c>
      <c r="AO30" s="146">
        <v>1</v>
      </c>
      <c r="AP30" s="154">
        <v>1</v>
      </c>
      <c r="AQ30" s="146">
        <v>1</v>
      </c>
      <c r="AR30" s="146"/>
      <c r="AS30" s="146"/>
      <c r="AT30" s="154">
        <v>1</v>
      </c>
      <c r="AU30" s="146">
        <v>1</v>
      </c>
      <c r="AV30" s="146"/>
      <c r="AW30" s="146"/>
      <c r="AX30" s="146">
        <f t="shared" si="3"/>
        <v>2290</v>
      </c>
      <c r="AY30" s="146">
        <f t="shared" si="4"/>
        <v>2290</v>
      </c>
      <c r="AZ30" s="140" t="s">
        <v>562</v>
      </c>
      <c r="BA30" s="140" t="s">
        <v>562</v>
      </c>
      <c r="BB30" s="140">
        <v>1</v>
      </c>
      <c r="BC30" s="148">
        <v>26</v>
      </c>
      <c r="BD30" s="149"/>
      <c r="BE30" s="145"/>
      <c r="BF30" s="150"/>
      <c r="BG30" s="151">
        <v>45901</v>
      </c>
      <c r="BH30" s="137" t="s">
        <v>535</v>
      </c>
      <c r="BI30" s="153" t="s">
        <v>562</v>
      </c>
    </row>
    <row r="31" spans="1:705" s="108" customFormat="1" ht="42" hidden="1" x14ac:dyDescent="0.3">
      <c r="A31" s="26">
        <v>27</v>
      </c>
      <c r="B31" s="137">
        <v>239503</v>
      </c>
      <c r="C31" s="138">
        <v>27</v>
      </c>
      <c r="D31" s="139">
        <v>45908</v>
      </c>
      <c r="E31" s="139">
        <f t="shared" si="0"/>
        <v>45907</v>
      </c>
      <c r="F31" s="139">
        <f t="shared" si="1"/>
        <v>45918</v>
      </c>
      <c r="G31" s="139">
        <v>45918</v>
      </c>
      <c r="H31" s="139">
        <v>45922</v>
      </c>
      <c r="I31" s="139" t="s">
        <v>136</v>
      </c>
      <c r="J31" s="140" t="s">
        <v>140</v>
      </c>
      <c r="K31" s="141">
        <f t="shared" si="2"/>
        <v>4</v>
      </c>
      <c r="L31" s="141">
        <v>1140913</v>
      </c>
      <c r="M31" s="140" t="s">
        <v>15</v>
      </c>
      <c r="N31" s="140" t="s">
        <v>364</v>
      </c>
      <c r="O31" s="140" t="s">
        <v>246</v>
      </c>
      <c r="P31" s="143">
        <v>45917</v>
      </c>
      <c r="Q31" s="143">
        <v>45949</v>
      </c>
      <c r="R31" s="137" t="s">
        <v>211</v>
      </c>
      <c r="S31" s="144" t="s">
        <v>139</v>
      </c>
      <c r="T31" s="145">
        <v>1</v>
      </c>
      <c r="U31" s="137" t="s">
        <v>98</v>
      </c>
      <c r="V31" s="146">
        <v>5</v>
      </c>
      <c r="W31" s="146">
        <v>5</v>
      </c>
      <c r="X31" s="147">
        <v>0</v>
      </c>
      <c r="Y31" s="146">
        <v>0</v>
      </c>
      <c r="Z31" s="146">
        <v>0</v>
      </c>
      <c r="AA31" s="146">
        <v>0</v>
      </c>
      <c r="AB31" s="154">
        <v>5</v>
      </c>
      <c r="AC31" s="146">
        <v>5</v>
      </c>
      <c r="AD31" s="146">
        <v>0</v>
      </c>
      <c r="AE31" s="146">
        <v>0</v>
      </c>
      <c r="AF31" s="146">
        <v>0</v>
      </c>
      <c r="AG31" s="146">
        <v>0</v>
      </c>
      <c r="AH31" s="154">
        <v>1</v>
      </c>
      <c r="AI31" s="146">
        <v>1</v>
      </c>
      <c r="AJ31" s="146">
        <v>0</v>
      </c>
      <c r="AK31" s="146">
        <v>0</v>
      </c>
      <c r="AL31" s="146">
        <v>0</v>
      </c>
      <c r="AM31" s="146">
        <v>0</v>
      </c>
      <c r="AN31" s="146">
        <v>1</v>
      </c>
      <c r="AO31" s="146">
        <v>1</v>
      </c>
      <c r="AP31" s="154">
        <v>1</v>
      </c>
      <c r="AQ31" s="146">
        <v>1</v>
      </c>
      <c r="AR31" s="146">
        <v>0</v>
      </c>
      <c r="AS31" s="146">
        <v>0</v>
      </c>
      <c r="AT31" s="154">
        <v>1</v>
      </c>
      <c r="AU31" s="146">
        <v>1</v>
      </c>
      <c r="AV31" s="146">
        <v>0</v>
      </c>
      <c r="AW31" s="146">
        <v>0</v>
      </c>
      <c r="AX31" s="146">
        <f t="shared" si="3"/>
        <v>1795</v>
      </c>
      <c r="AY31" s="146">
        <f t="shared" si="4"/>
        <v>1795</v>
      </c>
      <c r="AZ31" s="140" t="s">
        <v>562</v>
      </c>
      <c r="BA31" s="140" t="s">
        <v>562</v>
      </c>
      <c r="BB31" s="140">
        <v>1</v>
      </c>
      <c r="BC31" s="148">
        <v>27</v>
      </c>
      <c r="BD31" s="149"/>
      <c r="BE31" s="145"/>
      <c r="BF31" s="150"/>
      <c r="BG31" s="151">
        <v>45901</v>
      </c>
      <c r="BH31" s="137" t="s">
        <v>535</v>
      </c>
      <c r="BI31" s="153" t="s">
        <v>562</v>
      </c>
      <c r="BJ31" s="42"/>
      <c r="BK31" s="42"/>
      <c r="BL31" s="42"/>
      <c r="BM31" s="42"/>
      <c r="BN31" s="42"/>
      <c r="BO31" s="42"/>
      <c r="BP31" s="42"/>
      <c r="BQ31" s="42"/>
      <c r="BR31" s="42"/>
      <c r="BS31" s="42"/>
      <c r="BT31" s="42"/>
      <c r="BU31" s="42"/>
      <c r="BV31" s="42"/>
      <c r="BW31" s="42"/>
      <c r="BX31" s="42"/>
      <c r="BY31" s="42"/>
      <c r="BZ31" s="42"/>
      <c r="CA31" s="42"/>
      <c r="CB31" s="42"/>
      <c r="CC31" s="42"/>
      <c r="CD31" s="42"/>
      <c r="CE31" s="42"/>
      <c r="CF31" s="42"/>
      <c r="CG31" s="42"/>
      <c r="CH31" s="42"/>
      <c r="CI31" s="42"/>
      <c r="CJ31" s="42"/>
      <c r="CK31" s="42"/>
      <c r="CL31" s="42"/>
      <c r="CM31" s="42"/>
      <c r="CN31" s="42"/>
      <c r="CO31" s="42"/>
      <c r="CP31" s="42"/>
      <c r="CQ31" s="42"/>
      <c r="CR31" s="42"/>
      <c r="CS31" s="42"/>
      <c r="CT31" s="42"/>
      <c r="CU31" s="42"/>
      <c r="CV31" s="42"/>
      <c r="CW31" s="42"/>
      <c r="CX31" s="42"/>
      <c r="CY31" s="42"/>
      <c r="CZ31" s="42"/>
      <c r="DA31" s="42"/>
      <c r="DB31" s="42"/>
      <c r="DC31" s="42"/>
      <c r="DD31" s="42"/>
      <c r="DE31" s="42"/>
      <c r="DF31" s="42"/>
      <c r="DG31" s="42"/>
      <c r="DH31" s="42"/>
      <c r="DI31" s="42"/>
      <c r="DJ31" s="42"/>
      <c r="DK31" s="42"/>
      <c r="DL31" s="42"/>
      <c r="DM31" s="42"/>
      <c r="DN31" s="42"/>
      <c r="DO31" s="42"/>
      <c r="DP31" s="42"/>
      <c r="DQ31" s="42"/>
      <c r="DR31" s="42"/>
      <c r="DS31" s="42"/>
      <c r="DT31" s="42"/>
      <c r="DU31" s="42"/>
      <c r="DV31" s="42"/>
      <c r="DW31" s="42"/>
      <c r="DX31" s="42"/>
      <c r="DY31" s="42"/>
      <c r="DZ31" s="42"/>
      <c r="EA31" s="42"/>
      <c r="EB31" s="42"/>
      <c r="EC31" s="42"/>
      <c r="ED31" s="42"/>
      <c r="EE31" s="42"/>
      <c r="EF31" s="42"/>
      <c r="EG31" s="42"/>
      <c r="EH31" s="42"/>
      <c r="EI31" s="42"/>
      <c r="EJ31" s="42"/>
      <c r="EK31" s="42"/>
      <c r="EL31" s="42"/>
      <c r="EM31" s="42"/>
      <c r="EN31" s="42"/>
      <c r="EO31" s="42"/>
      <c r="EP31" s="42"/>
      <c r="EQ31" s="42"/>
      <c r="ER31" s="42"/>
      <c r="ES31" s="42"/>
      <c r="ET31" s="42"/>
      <c r="EU31" s="42"/>
      <c r="EV31" s="42"/>
      <c r="EW31" s="42"/>
      <c r="EX31" s="42"/>
      <c r="EY31" s="42"/>
      <c r="EZ31" s="42"/>
      <c r="FA31" s="42"/>
      <c r="FB31" s="42"/>
      <c r="FC31" s="42"/>
      <c r="FD31" s="42"/>
      <c r="FE31" s="42"/>
      <c r="FF31" s="42"/>
      <c r="FG31" s="42"/>
      <c r="FH31" s="42"/>
      <c r="FI31" s="42"/>
      <c r="FJ31" s="42"/>
      <c r="FK31" s="42"/>
      <c r="FL31" s="42"/>
      <c r="FM31" s="42"/>
      <c r="FN31" s="42"/>
      <c r="FO31" s="42"/>
      <c r="FP31" s="42"/>
      <c r="FQ31" s="42"/>
      <c r="FR31" s="42"/>
      <c r="FS31" s="42"/>
      <c r="FT31" s="42"/>
      <c r="FU31" s="42"/>
      <c r="FV31" s="42"/>
      <c r="FW31" s="42"/>
      <c r="FX31" s="42"/>
      <c r="FY31" s="42"/>
      <c r="FZ31" s="42"/>
      <c r="GA31" s="42"/>
      <c r="GB31" s="42"/>
      <c r="GC31" s="42"/>
      <c r="GD31" s="42"/>
      <c r="GE31" s="42"/>
      <c r="GF31" s="42"/>
      <c r="GG31" s="42"/>
      <c r="GH31" s="42"/>
      <c r="GI31" s="42"/>
      <c r="GJ31" s="42"/>
      <c r="GK31" s="42"/>
      <c r="GL31" s="42"/>
      <c r="GM31" s="42"/>
      <c r="GN31" s="42"/>
      <c r="GO31" s="42"/>
      <c r="GP31" s="42"/>
      <c r="GQ31" s="42"/>
      <c r="GR31" s="42"/>
      <c r="GS31" s="42"/>
      <c r="GT31" s="42"/>
      <c r="GU31" s="42"/>
      <c r="GV31" s="42"/>
      <c r="GW31" s="42"/>
      <c r="GX31" s="42"/>
      <c r="GY31" s="42"/>
      <c r="GZ31" s="42"/>
      <c r="HA31" s="42"/>
      <c r="HB31" s="42"/>
      <c r="HC31" s="42"/>
      <c r="HD31" s="42"/>
      <c r="HE31" s="42"/>
      <c r="HF31" s="42"/>
      <c r="HG31" s="42"/>
      <c r="HH31" s="42"/>
      <c r="HI31" s="42"/>
      <c r="HJ31" s="42"/>
      <c r="HK31" s="42"/>
      <c r="HL31" s="42"/>
      <c r="HM31" s="42"/>
      <c r="HN31" s="42"/>
      <c r="HO31" s="42"/>
      <c r="HP31" s="42"/>
      <c r="HQ31" s="42"/>
      <c r="HR31" s="42"/>
      <c r="HS31" s="42"/>
      <c r="HT31" s="42"/>
      <c r="HU31" s="42"/>
      <c r="HV31" s="42"/>
      <c r="HW31" s="42"/>
      <c r="HX31" s="42"/>
      <c r="HY31" s="42"/>
      <c r="HZ31" s="42"/>
      <c r="IA31" s="42"/>
      <c r="IB31" s="42"/>
      <c r="IC31" s="42"/>
      <c r="ID31" s="42"/>
      <c r="IE31" s="42"/>
      <c r="IF31" s="42"/>
      <c r="IG31" s="42"/>
      <c r="IH31" s="42"/>
      <c r="II31" s="42"/>
      <c r="IJ31" s="42"/>
      <c r="IK31" s="42"/>
      <c r="IL31" s="42"/>
      <c r="IM31" s="42"/>
      <c r="IN31" s="42"/>
      <c r="IO31" s="42"/>
      <c r="IP31" s="42"/>
      <c r="IQ31" s="42"/>
      <c r="IR31" s="42"/>
      <c r="IS31" s="42"/>
      <c r="IT31" s="42"/>
      <c r="IU31" s="42"/>
      <c r="IV31" s="42"/>
      <c r="IW31" s="42"/>
      <c r="IX31" s="42"/>
      <c r="IY31" s="42"/>
      <c r="IZ31" s="42"/>
      <c r="JA31" s="42"/>
      <c r="JB31" s="42"/>
      <c r="JC31" s="42"/>
      <c r="JD31" s="42"/>
      <c r="JE31" s="42"/>
      <c r="JF31" s="42"/>
      <c r="JG31" s="42"/>
      <c r="JH31" s="42"/>
      <c r="JI31" s="42"/>
      <c r="JJ31" s="42"/>
      <c r="JK31" s="42"/>
      <c r="JL31" s="42"/>
      <c r="JM31" s="42"/>
      <c r="JN31" s="42"/>
      <c r="JO31" s="42"/>
      <c r="JP31" s="42"/>
      <c r="JQ31" s="42"/>
      <c r="JR31" s="42"/>
      <c r="JS31" s="42"/>
      <c r="JT31" s="42"/>
      <c r="JU31" s="42"/>
      <c r="JV31" s="42"/>
      <c r="JW31" s="42"/>
      <c r="JX31" s="42"/>
      <c r="JY31" s="42"/>
      <c r="JZ31" s="42"/>
      <c r="KA31" s="42"/>
      <c r="KB31" s="42"/>
      <c r="KC31" s="42"/>
      <c r="KD31" s="42"/>
      <c r="KE31" s="42"/>
      <c r="KF31" s="42"/>
      <c r="KG31" s="42"/>
      <c r="KH31" s="42"/>
      <c r="KI31" s="42"/>
      <c r="KJ31" s="42"/>
      <c r="KK31" s="42"/>
      <c r="KL31" s="42"/>
      <c r="KM31" s="42"/>
      <c r="KN31" s="42"/>
      <c r="KO31" s="42"/>
      <c r="KP31" s="42"/>
      <c r="KQ31" s="42"/>
      <c r="KR31" s="42"/>
      <c r="KS31" s="42"/>
      <c r="KT31" s="42"/>
      <c r="KU31" s="42"/>
      <c r="KV31" s="42"/>
      <c r="KW31" s="42"/>
      <c r="KX31" s="42"/>
      <c r="KY31" s="42"/>
      <c r="KZ31" s="42"/>
      <c r="LA31" s="42"/>
      <c r="LB31" s="42"/>
      <c r="LC31" s="42"/>
      <c r="LD31" s="42"/>
      <c r="LE31" s="42"/>
      <c r="LF31" s="42"/>
      <c r="LG31" s="42"/>
      <c r="LH31" s="42"/>
      <c r="LI31" s="42"/>
      <c r="LJ31" s="42"/>
      <c r="LK31" s="42"/>
      <c r="LL31" s="42"/>
      <c r="LM31" s="42"/>
      <c r="LN31" s="42"/>
      <c r="LO31" s="42"/>
      <c r="LP31" s="42"/>
      <c r="LQ31" s="42"/>
      <c r="LR31" s="42"/>
      <c r="LS31" s="42"/>
      <c r="LT31" s="42"/>
      <c r="LU31" s="42"/>
      <c r="LV31" s="42"/>
      <c r="LW31" s="42"/>
      <c r="LX31" s="42"/>
      <c r="LY31" s="42"/>
      <c r="LZ31" s="42"/>
      <c r="MA31" s="42"/>
      <c r="MB31" s="42"/>
      <c r="MC31" s="42"/>
      <c r="MD31" s="42"/>
      <c r="ME31" s="42"/>
      <c r="MF31" s="42"/>
      <c r="MG31" s="42"/>
      <c r="MH31" s="42"/>
      <c r="MI31" s="42"/>
      <c r="MJ31" s="42"/>
      <c r="MK31" s="42"/>
      <c r="ML31" s="42"/>
      <c r="MM31" s="42"/>
      <c r="MN31" s="42"/>
      <c r="MO31" s="42"/>
      <c r="MP31" s="42"/>
      <c r="MQ31" s="42"/>
      <c r="MR31" s="42"/>
      <c r="MS31" s="42"/>
      <c r="MT31" s="42"/>
      <c r="MU31" s="42"/>
      <c r="MV31" s="42"/>
      <c r="MW31" s="42"/>
      <c r="MX31" s="42"/>
      <c r="MY31" s="42"/>
      <c r="MZ31" s="42"/>
      <c r="NA31" s="42"/>
      <c r="NB31" s="42"/>
      <c r="NC31" s="42"/>
      <c r="ND31" s="42"/>
      <c r="NE31" s="42"/>
      <c r="NF31" s="42"/>
      <c r="NG31" s="42"/>
      <c r="NH31" s="42"/>
      <c r="NI31" s="42"/>
      <c r="NJ31" s="42"/>
      <c r="NK31" s="42"/>
      <c r="NL31" s="42"/>
      <c r="NM31" s="42"/>
      <c r="NN31" s="42"/>
      <c r="NO31" s="42"/>
      <c r="NP31" s="42"/>
      <c r="NQ31" s="42"/>
      <c r="NR31" s="42"/>
      <c r="NS31" s="42"/>
      <c r="NT31" s="42"/>
      <c r="NU31" s="42"/>
      <c r="NV31" s="42"/>
      <c r="NW31" s="42"/>
      <c r="NX31" s="42"/>
      <c r="NY31" s="42"/>
      <c r="NZ31" s="42"/>
      <c r="OA31" s="42"/>
      <c r="OB31" s="42"/>
      <c r="OC31" s="42"/>
      <c r="OD31" s="42"/>
      <c r="OE31" s="42"/>
      <c r="OF31" s="42"/>
      <c r="OG31" s="42"/>
      <c r="OH31" s="42"/>
      <c r="OI31" s="42"/>
      <c r="OJ31" s="42"/>
      <c r="OK31" s="42"/>
      <c r="OL31" s="42"/>
      <c r="OM31" s="42"/>
      <c r="ON31" s="42"/>
      <c r="OO31" s="42"/>
      <c r="OP31" s="42"/>
      <c r="OQ31" s="42"/>
      <c r="OR31" s="42"/>
      <c r="OS31" s="42"/>
      <c r="OT31" s="42"/>
      <c r="OU31" s="42"/>
      <c r="OV31" s="42"/>
      <c r="OW31" s="42"/>
      <c r="OX31" s="42"/>
      <c r="OY31" s="42"/>
      <c r="OZ31" s="42"/>
      <c r="PA31" s="42"/>
      <c r="PB31" s="42"/>
      <c r="PC31" s="42"/>
      <c r="PD31" s="42"/>
      <c r="PE31" s="42"/>
      <c r="PF31" s="42"/>
      <c r="PG31" s="42"/>
      <c r="PH31" s="42"/>
      <c r="PI31" s="42"/>
      <c r="PJ31" s="42"/>
      <c r="PK31" s="42"/>
      <c r="PL31" s="42"/>
      <c r="PM31" s="42"/>
      <c r="PN31" s="42"/>
      <c r="PO31" s="42"/>
      <c r="PP31" s="42"/>
      <c r="PQ31" s="42"/>
      <c r="PR31" s="42"/>
      <c r="PS31" s="42"/>
      <c r="PT31" s="42"/>
      <c r="PU31" s="42"/>
      <c r="PV31" s="42"/>
      <c r="PW31" s="42"/>
      <c r="PX31" s="42"/>
      <c r="PY31" s="42"/>
      <c r="PZ31" s="42"/>
      <c r="QA31" s="42"/>
      <c r="QB31" s="42"/>
      <c r="QC31" s="42"/>
      <c r="QD31" s="42"/>
      <c r="QE31" s="42"/>
      <c r="QF31" s="42"/>
      <c r="QG31" s="42"/>
      <c r="QH31" s="42"/>
      <c r="QI31" s="42"/>
      <c r="QJ31" s="42"/>
      <c r="QK31" s="42"/>
      <c r="QL31" s="42"/>
      <c r="QM31" s="42"/>
      <c r="QN31" s="42"/>
      <c r="QO31" s="42"/>
      <c r="QP31" s="42"/>
      <c r="QQ31" s="42"/>
      <c r="QR31" s="42"/>
      <c r="QS31" s="42"/>
      <c r="QT31" s="42"/>
      <c r="QU31" s="42"/>
      <c r="QV31" s="42"/>
      <c r="QW31" s="42"/>
      <c r="QX31" s="42"/>
      <c r="QY31" s="42"/>
      <c r="QZ31" s="42"/>
      <c r="RA31" s="42"/>
      <c r="RB31" s="42"/>
      <c r="RC31" s="42"/>
      <c r="RD31" s="42"/>
      <c r="RE31" s="42"/>
      <c r="RF31" s="42"/>
      <c r="RG31" s="42"/>
      <c r="RH31" s="42"/>
      <c r="RI31" s="42"/>
      <c r="RJ31" s="42"/>
      <c r="RK31" s="42"/>
      <c r="RL31" s="42"/>
      <c r="RM31" s="42"/>
      <c r="RN31" s="42"/>
      <c r="RO31" s="42"/>
      <c r="RP31" s="42"/>
      <c r="RQ31" s="42"/>
      <c r="RR31" s="42"/>
      <c r="RS31" s="42"/>
      <c r="RT31" s="42"/>
      <c r="RU31" s="42"/>
      <c r="RV31" s="42"/>
      <c r="RW31" s="42"/>
      <c r="RX31" s="42"/>
      <c r="RY31" s="42"/>
      <c r="RZ31" s="42"/>
      <c r="SA31" s="42"/>
      <c r="SB31" s="42"/>
      <c r="SC31" s="42"/>
      <c r="SD31" s="42"/>
      <c r="SE31" s="42"/>
      <c r="SF31" s="42"/>
      <c r="SG31" s="42"/>
      <c r="SH31" s="42"/>
      <c r="SI31" s="42"/>
      <c r="SJ31" s="42"/>
      <c r="SK31" s="42"/>
      <c r="SL31" s="42"/>
      <c r="SM31" s="42"/>
      <c r="SN31" s="42"/>
      <c r="SO31" s="42"/>
      <c r="SP31" s="42"/>
      <c r="SQ31" s="42"/>
      <c r="SR31" s="42"/>
      <c r="SS31" s="42"/>
      <c r="ST31" s="42"/>
      <c r="SU31" s="42"/>
      <c r="SV31" s="42"/>
      <c r="SW31" s="42"/>
      <c r="SX31" s="42"/>
      <c r="SY31" s="42"/>
      <c r="SZ31" s="42"/>
      <c r="TA31" s="42"/>
      <c r="TB31" s="42"/>
      <c r="TC31" s="42"/>
      <c r="TD31" s="42"/>
      <c r="TE31" s="42"/>
      <c r="TF31" s="42"/>
      <c r="TG31" s="42"/>
      <c r="TH31" s="42"/>
      <c r="TI31" s="42"/>
      <c r="TJ31" s="42"/>
      <c r="TK31" s="42"/>
      <c r="TL31" s="42"/>
      <c r="TM31" s="42"/>
      <c r="TN31" s="42"/>
      <c r="TO31" s="42"/>
      <c r="TP31" s="42"/>
      <c r="TQ31" s="42"/>
      <c r="TR31" s="42"/>
      <c r="TS31" s="42"/>
      <c r="TT31" s="42"/>
      <c r="TU31" s="42"/>
      <c r="TV31" s="42"/>
      <c r="TW31" s="42"/>
      <c r="TX31" s="42"/>
      <c r="TY31" s="42"/>
      <c r="TZ31" s="42"/>
      <c r="UA31" s="42"/>
      <c r="UB31" s="42"/>
      <c r="UC31" s="42"/>
      <c r="UD31" s="42"/>
      <c r="UE31" s="42"/>
      <c r="UF31" s="42"/>
      <c r="UG31" s="42"/>
      <c r="UH31" s="42"/>
      <c r="UI31" s="42"/>
      <c r="UJ31" s="42"/>
      <c r="UK31" s="42"/>
      <c r="UL31" s="42"/>
      <c r="UM31" s="42"/>
      <c r="UN31" s="42"/>
      <c r="UO31" s="42"/>
      <c r="UP31" s="42"/>
      <c r="UQ31" s="42"/>
      <c r="UR31" s="42"/>
      <c r="US31" s="42"/>
      <c r="UT31" s="42"/>
      <c r="UU31" s="42"/>
      <c r="UV31" s="42"/>
      <c r="UW31" s="42"/>
      <c r="UX31" s="42"/>
      <c r="UY31" s="42"/>
      <c r="UZ31" s="42"/>
      <c r="VA31" s="42"/>
      <c r="VB31" s="42"/>
      <c r="VC31" s="42"/>
      <c r="VD31" s="42"/>
      <c r="VE31" s="42"/>
      <c r="VF31" s="42"/>
      <c r="VG31" s="42"/>
      <c r="VH31" s="42"/>
      <c r="VI31" s="42"/>
      <c r="VJ31" s="42"/>
      <c r="VK31" s="42"/>
      <c r="VL31" s="42"/>
      <c r="VM31" s="42"/>
      <c r="VN31" s="42"/>
      <c r="VO31" s="42"/>
      <c r="VP31" s="42"/>
      <c r="VQ31" s="42"/>
      <c r="VR31" s="42"/>
      <c r="VS31" s="42"/>
      <c r="VT31" s="42"/>
      <c r="VU31" s="42"/>
      <c r="VV31" s="42"/>
      <c r="VW31" s="42"/>
      <c r="VX31" s="42"/>
      <c r="VY31" s="42"/>
      <c r="VZ31" s="42"/>
      <c r="WA31" s="42"/>
      <c r="WB31" s="42"/>
      <c r="WC31" s="42"/>
      <c r="WD31" s="42"/>
      <c r="WE31" s="42"/>
      <c r="WF31" s="42"/>
      <c r="WG31" s="42"/>
      <c r="WH31" s="42"/>
      <c r="WI31" s="42"/>
      <c r="WJ31" s="42"/>
      <c r="WK31" s="42"/>
      <c r="WL31" s="42"/>
      <c r="WM31" s="42"/>
      <c r="WN31" s="42"/>
      <c r="WO31" s="42"/>
      <c r="WP31" s="42"/>
      <c r="WQ31" s="42"/>
      <c r="WR31" s="42"/>
      <c r="WS31" s="42"/>
      <c r="WT31" s="42"/>
      <c r="WU31" s="42"/>
      <c r="WV31" s="42"/>
      <c r="WW31" s="42"/>
      <c r="WX31" s="42"/>
      <c r="WY31" s="42"/>
      <c r="WZ31" s="42"/>
      <c r="XA31" s="42"/>
      <c r="XB31" s="42"/>
      <c r="XC31" s="42"/>
      <c r="XD31" s="42"/>
      <c r="XE31" s="42"/>
      <c r="XF31" s="42"/>
      <c r="XG31" s="42"/>
      <c r="XH31" s="42"/>
      <c r="XI31" s="42"/>
      <c r="XJ31" s="42"/>
      <c r="XK31" s="42"/>
      <c r="XL31" s="42"/>
      <c r="XM31" s="42"/>
      <c r="XN31" s="42"/>
      <c r="XO31" s="42"/>
      <c r="XP31" s="42"/>
      <c r="XQ31" s="42"/>
      <c r="XR31" s="42"/>
      <c r="XS31" s="42"/>
      <c r="XT31" s="42"/>
      <c r="XU31" s="42"/>
      <c r="XV31" s="42"/>
      <c r="XW31" s="42"/>
      <c r="XX31" s="42"/>
      <c r="XY31" s="42"/>
      <c r="XZ31" s="42"/>
      <c r="YA31" s="42"/>
      <c r="YB31" s="42"/>
      <c r="YC31" s="42"/>
      <c r="YD31" s="42"/>
      <c r="YE31" s="42"/>
      <c r="YF31" s="42"/>
      <c r="YG31" s="42"/>
      <c r="YH31" s="42"/>
      <c r="YI31" s="42"/>
      <c r="YJ31" s="42"/>
      <c r="YK31" s="42"/>
      <c r="YL31" s="42"/>
      <c r="YM31" s="42"/>
      <c r="YN31" s="42"/>
      <c r="YO31" s="42"/>
      <c r="YP31" s="42"/>
      <c r="YQ31" s="42"/>
      <c r="YR31" s="42"/>
      <c r="YS31" s="42"/>
      <c r="YT31" s="42"/>
      <c r="YU31" s="42"/>
      <c r="YV31" s="42"/>
      <c r="YW31" s="42"/>
      <c r="YX31" s="42"/>
      <c r="YY31" s="42"/>
      <c r="YZ31" s="42"/>
      <c r="ZA31" s="42"/>
      <c r="ZB31" s="42"/>
      <c r="ZC31" s="42"/>
      <c r="ZD31" s="42"/>
      <c r="ZE31" s="42"/>
      <c r="ZF31" s="42"/>
      <c r="ZG31" s="42"/>
      <c r="ZH31" s="42"/>
      <c r="ZI31" s="42"/>
      <c r="ZJ31" s="42"/>
      <c r="ZK31" s="42"/>
      <c r="ZL31" s="42"/>
      <c r="ZM31" s="42"/>
      <c r="ZN31" s="42"/>
      <c r="ZO31" s="42"/>
      <c r="ZP31" s="42"/>
      <c r="ZQ31" s="42"/>
      <c r="ZR31" s="42"/>
      <c r="ZS31" s="42"/>
      <c r="ZT31" s="42"/>
      <c r="ZU31" s="42"/>
      <c r="ZV31" s="42"/>
      <c r="ZW31" s="42"/>
      <c r="ZX31" s="42"/>
      <c r="ZY31" s="42"/>
      <c r="ZZ31" s="42"/>
      <c r="AAA31" s="42"/>
      <c r="AAB31" s="42"/>
      <c r="AAC31" s="42"/>
    </row>
    <row r="32" spans="1:705" s="41" customFormat="1" ht="42" hidden="1" x14ac:dyDescent="0.3">
      <c r="A32" s="26">
        <v>28</v>
      </c>
      <c r="B32" s="137">
        <v>239506</v>
      </c>
      <c r="C32" s="138">
        <v>28</v>
      </c>
      <c r="D32" s="139">
        <v>45908</v>
      </c>
      <c r="E32" s="139">
        <f t="shared" si="0"/>
        <v>45907</v>
      </c>
      <c r="F32" s="139">
        <f t="shared" si="1"/>
        <v>45918</v>
      </c>
      <c r="G32" s="139">
        <v>45918</v>
      </c>
      <c r="H32" s="139">
        <v>45923</v>
      </c>
      <c r="I32" s="139" t="s">
        <v>136</v>
      </c>
      <c r="J32" s="140" t="s">
        <v>141</v>
      </c>
      <c r="K32" s="141">
        <f t="shared" si="2"/>
        <v>5</v>
      </c>
      <c r="L32" s="141">
        <v>1140974</v>
      </c>
      <c r="M32" s="140" t="s">
        <v>15</v>
      </c>
      <c r="N32" s="140">
        <v>803255</v>
      </c>
      <c r="O32" s="140" t="s">
        <v>246</v>
      </c>
      <c r="P32" s="143">
        <v>45917</v>
      </c>
      <c r="Q32" s="143">
        <v>45932</v>
      </c>
      <c r="R32" s="137" t="s">
        <v>211</v>
      </c>
      <c r="S32" s="144" t="s">
        <v>142</v>
      </c>
      <c r="T32" s="145">
        <v>1</v>
      </c>
      <c r="U32" s="137" t="s">
        <v>98</v>
      </c>
      <c r="V32" s="146">
        <v>5</v>
      </c>
      <c r="W32" s="146">
        <v>5</v>
      </c>
      <c r="X32" s="147">
        <v>0</v>
      </c>
      <c r="Y32" s="146">
        <v>0</v>
      </c>
      <c r="Z32" s="146">
        <v>0</v>
      </c>
      <c r="AA32" s="146">
        <v>0</v>
      </c>
      <c r="AB32" s="154">
        <v>5</v>
      </c>
      <c r="AC32" s="146">
        <v>5</v>
      </c>
      <c r="AD32" s="146">
        <v>0</v>
      </c>
      <c r="AE32" s="146">
        <v>0</v>
      </c>
      <c r="AF32" s="146">
        <v>0</v>
      </c>
      <c r="AG32" s="146">
        <v>0</v>
      </c>
      <c r="AH32" s="154">
        <v>1</v>
      </c>
      <c r="AI32" s="146">
        <v>1</v>
      </c>
      <c r="AJ32" s="146">
        <v>0</v>
      </c>
      <c r="AK32" s="146">
        <v>0</v>
      </c>
      <c r="AL32" s="146">
        <v>0</v>
      </c>
      <c r="AM32" s="146">
        <v>0</v>
      </c>
      <c r="AN32" s="146">
        <v>1</v>
      </c>
      <c r="AO32" s="146">
        <v>1</v>
      </c>
      <c r="AP32" s="154">
        <v>1</v>
      </c>
      <c r="AQ32" s="146">
        <v>1</v>
      </c>
      <c r="AR32" s="146">
        <v>0</v>
      </c>
      <c r="AS32" s="146">
        <v>0</v>
      </c>
      <c r="AT32" s="154">
        <v>1</v>
      </c>
      <c r="AU32" s="146">
        <v>1</v>
      </c>
      <c r="AV32" s="146">
        <v>0</v>
      </c>
      <c r="AW32" s="146">
        <v>0</v>
      </c>
      <c r="AX32" s="146">
        <f t="shared" si="3"/>
        <v>1795</v>
      </c>
      <c r="AY32" s="146">
        <f t="shared" si="4"/>
        <v>1795</v>
      </c>
      <c r="AZ32" s="140" t="s">
        <v>562</v>
      </c>
      <c r="BA32" s="140" t="s">
        <v>562</v>
      </c>
      <c r="BB32" s="137">
        <v>2</v>
      </c>
      <c r="BC32" s="148">
        <v>28</v>
      </c>
      <c r="BD32" s="149"/>
      <c r="BE32" s="145"/>
      <c r="BF32" s="150"/>
      <c r="BG32" s="151">
        <v>45901</v>
      </c>
      <c r="BH32" s="137" t="s">
        <v>535</v>
      </c>
      <c r="BI32" s="153" t="s">
        <v>562</v>
      </c>
    </row>
    <row r="33" spans="1:705" s="41" customFormat="1" ht="42" hidden="1" x14ac:dyDescent="0.3">
      <c r="A33" s="26">
        <v>29</v>
      </c>
      <c r="B33" s="137">
        <v>239507</v>
      </c>
      <c r="C33" s="138">
        <v>29</v>
      </c>
      <c r="D33" s="139">
        <v>45908</v>
      </c>
      <c r="E33" s="139">
        <f t="shared" si="0"/>
        <v>45907</v>
      </c>
      <c r="F33" s="139">
        <f t="shared" si="1"/>
        <v>45918</v>
      </c>
      <c r="G33" s="139">
        <v>45918</v>
      </c>
      <c r="H33" s="139">
        <v>45954</v>
      </c>
      <c r="I33" s="139" t="s">
        <v>136</v>
      </c>
      <c r="J33" s="140" t="s">
        <v>144</v>
      </c>
      <c r="K33" s="141">
        <f t="shared" si="2"/>
        <v>36</v>
      </c>
      <c r="L33" s="141">
        <v>1140990</v>
      </c>
      <c r="M33" s="140" t="s">
        <v>15</v>
      </c>
      <c r="N33" s="140">
        <v>803255</v>
      </c>
      <c r="O33" s="140" t="s">
        <v>246</v>
      </c>
      <c r="P33" s="143">
        <v>45917</v>
      </c>
      <c r="Q33" s="143">
        <v>45932</v>
      </c>
      <c r="R33" s="137" t="s">
        <v>211</v>
      </c>
      <c r="S33" s="144" t="s">
        <v>143</v>
      </c>
      <c r="T33" s="145">
        <v>1</v>
      </c>
      <c r="U33" s="137" t="s">
        <v>98</v>
      </c>
      <c r="V33" s="146">
        <v>4</v>
      </c>
      <c r="W33" s="146">
        <v>4</v>
      </c>
      <c r="X33" s="147">
        <v>0</v>
      </c>
      <c r="Y33" s="146">
        <v>0</v>
      </c>
      <c r="Z33" s="146">
        <v>0</v>
      </c>
      <c r="AA33" s="146">
        <v>0</v>
      </c>
      <c r="AB33" s="154">
        <v>0</v>
      </c>
      <c r="AC33" s="146">
        <v>0</v>
      </c>
      <c r="AD33" s="146">
        <v>0</v>
      </c>
      <c r="AE33" s="146">
        <v>0</v>
      </c>
      <c r="AF33" s="146">
        <v>0</v>
      </c>
      <c r="AG33" s="146">
        <v>0</v>
      </c>
      <c r="AH33" s="154">
        <v>1</v>
      </c>
      <c r="AI33" s="146">
        <v>1</v>
      </c>
      <c r="AJ33" s="146">
        <v>0</v>
      </c>
      <c r="AK33" s="146">
        <v>0</v>
      </c>
      <c r="AL33" s="146">
        <v>0</v>
      </c>
      <c r="AM33" s="146">
        <v>0</v>
      </c>
      <c r="AN33" s="146">
        <v>0</v>
      </c>
      <c r="AO33" s="146">
        <v>0</v>
      </c>
      <c r="AP33" s="154">
        <v>1</v>
      </c>
      <c r="AQ33" s="146">
        <v>1</v>
      </c>
      <c r="AR33" s="146">
        <v>0</v>
      </c>
      <c r="AS33" s="146">
        <v>0</v>
      </c>
      <c r="AT33" s="154">
        <v>1</v>
      </c>
      <c r="AU33" s="146">
        <v>1</v>
      </c>
      <c r="AV33" s="146">
        <v>0</v>
      </c>
      <c r="AW33" s="146">
        <v>0</v>
      </c>
      <c r="AX33" s="146">
        <f t="shared" si="3"/>
        <v>1390</v>
      </c>
      <c r="AY33" s="146">
        <f t="shared" si="4"/>
        <v>1390</v>
      </c>
      <c r="AZ33" s="140" t="s">
        <v>562</v>
      </c>
      <c r="BA33" s="140" t="s">
        <v>562</v>
      </c>
      <c r="BB33" s="137">
        <v>1</v>
      </c>
      <c r="BC33" s="148">
        <v>29</v>
      </c>
      <c r="BD33" s="149"/>
      <c r="BE33" s="145"/>
      <c r="BF33" s="150"/>
      <c r="BG33" s="151">
        <v>45901</v>
      </c>
      <c r="BH33" s="137" t="s">
        <v>535</v>
      </c>
      <c r="BI33" s="153" t="s">
        <v>562</v>
      </c>
    </row>
    <row r="34" spans="1:705" s="41" customFormat="1" ht="42" hidden="1" x14ac:dyDescent="0.3">
      <c r="A34" s="26">
        <v>30</v>
      </c>
      <c r="B34" s="140">
        <v>239508</v>
      </c>
      <c r="C34" s="140">
        <v>30</v>
      </c>
      <c r="D34" s="139">
        <v>45908</v>
      </c>
      <c r="E34" s="139">
        <f t="shared" si="0"/>
        <v>45907</v>
      </c>
      <c r="F34" s="139">
        <f t="shared" si="1"/>
        <v>45918</v>
      </c>
      <c r="G34" s="139">
        <v>45918</v>
      </c>
      <c r="H34" s="139">
        <v>45924</v>
      </c>
      <c r="I34" s="139" t="s">
        <v>136</v>
      </c>
      <c r="J34" s="140" t="s">
        <v>145</v>
      </c>
      <c r="K34" s="141">
        <f t="shared" si="2"/>
        <v>6</v>
      </c>
      <c r="L34" s="140">
        <v>1140994</v>
      </c>
      <c r="M34" s="140" t="s">
        <v>15</v>
      </c>
      <c r="N34" s="140">
        <v>803039</v>
      </c>
      <c r="O34" s="140" t="s">
        <v>246</v>
      </c>
      <c r="P34" s="143">
        <v>45915</v>
      </c>
      <c r="Q34" s="143">
        <v>45930</v>
      </c>
      <c r="R34" s="137" t="s">
        <v>211</v>
      </c>
      <c r="S34" s="140">
        <v>37696</v>
      </c>
      <c r="T34" s="154">
        <v>2</v>
      </c>
      <c r="U34" s="140" t="s">
        <v>106</v>
      </c>
      <c r="V34" s="154">
        <v>0</v>
      </c>
      <c r="W34" s="154">
        <v>0</v>
      </c>
      <c r="X34" s="155">
        <v>0</v>
      </c>
      <c r="Y34" s="154">
        <v>0</v>
      </c>
      <c r="Z34" s="154">
        <v>0</v>
      </c>
      <c r="AA34" s="154">
        <v>0</v>
      </c>
      <c r="AB34" s="154">
        <v>0</v>
      </c>
      <c r="AC34" s="154"/>
      <c r="AD34" s="154">
        <v>0</v>
      </c>
      <c r="AE34" s="154">
        <v>0</v>
      </c>
      <c r="AF34" s="154">
        <v>0</v>
      </c>
      <c r="AG34" s="154">
        <v>0</v>
      </c>
      <c r="AH34" s="154">
        <v>2</v>
      </c>
      <c r="AI34" s="154">
        <v>2</v>
      </c>
      <c r="AJ34" s="154">
        <v>0</v>
      </c>
      <c r="AK34" s="154">
        <v>0</v>
      </c>
      <c r="AL34" s="154">
        <v>0</v>
      </c>
      <c r="AM34" s="154">
        <v>0</v>
      </c>
      <c r="AN34" s="154">
        <v>0</v>
      </c>
      <c r="AO34" s="154">
        <v>0</v>
      </c>
      <c r="AP34" s="154">
        <v>0</v>
      </c>
      <c r="AQ34" s="154"/>
      <c r="AR34" s="154">
        <v>0</v>
      </c>
      <c r="AS34" s="154">
        <v>0</v>
      </c>
      <c r="AT34" s="154">
        <v>2</v>
      </c>
      <c r="AU34" s="154">
        <v>2</v>
      </c>
      <c r="AV34" s="154">
        <v>0</v>
      </c>
      <c r="AW34" s="154">
        <v>0</v>
      </c>
      <c r="AX34" s="146">
        <f t="shared" si="3"/>
        <v>1040</v>
      </c>
      <c r="AY34" s="146">
        <f t="shared" si="4"/>
        <v>1040</v>
      </c>
      <c r="AZ34" s="140" t="s">
        <v>562</v>
      </c>
      <c r="BA34" s="140" t="s">
        <v>562</v>
      </c>
      <c r="BB34" s="140">
        <v>7</v>
      </c>
      <c r="BC34" s="140">
        <v>30</v>
      </c>
      <c r="BD34" s="149"/>
      <c r="BE34" s="145"/>
      <c r="BF34" s="150"/>
      <c r="BG34" s="151">
        <v>45901</v>
      </c>
      <c r="BH34" s="153" t="s">
        <v>15</v>
      </c>
      <c r="BI34" s="153" t="s">
        <v>562</v>
      </c>
    </row>
    <row r="35" spans="1:705" s="41" customFormat="1" ht="42" hidden="1" x14ac:dyDescent="0.3">
      <c r="A35" s="26">
        <v>31</v>
      </c>
      <c r="B35" s="137">
        <v>239509</v>
      </c>
      <c r="C35" s="138">
        <v>31</v>
      </c>
      <c r="D35" s="139">
        <v>45908</v>
      </c>
      <c r="E35" s="139">
        <f t="shared" si="0"/>
        <v>45907</v>
      </c>
      <c r="F35" s="139">
        <f t="shared" si="1"/>
        <v>45918</v>
      </c>
      <c r="G35" s="139">
        <v>45918</v>
      </c>
      <c r="H35" s="139">
        <v>45920</v>
      </c>
      <c r="I35" s="139" t="s">
        <v>136</v>
      </c>
      <c r="J35" s="140" t="s">
        <v>147</v>
      </c>
      <c r="K35" s="141">
        <f t="shared" si="2"/>
        <v>2</v>
      </c>
      <c r="L35" s="141">
        <v>1140999</v>
      </c>
      <c r="M35" s="140" t="s">
        <v>15</v>
      </c>
      <c r="N35" s="140">
        <v>803038</v>
      </c>
      <c r="O35" s="140" t="s">
        <v>246</v>
      </c>
      <c r="P35" s="143">
        <v>45915</v>
      </c>
      <c r="Q35" s="143">
        <v>45930</v>
      </c>
      <c r="R35" s="137" t="s">
        <v>211</v>
      </c>
      <c r="S35" s="144" t="s">
        <v>146</v>
      </c>
      <c r="T35" s="154">
        <v>2</v>
      </c>
      <c r="U35" s="137" t="s">
        <v>82</v>
      </c>
      <c r="V35" s="154">
        <v>12</v>
      </c>
      <c r="W35" s="146">
        <v>12</v>
      </c>
      <c r="X35" s="147">
        <v>0</v>
      </c>
      <c r="Y35" s="146">
        <v>0</v>
      </c>
      <c r="Z35" s="146">
        <v>0</v>
      </c>
      <c r="AA35" s="146">
        <v>0</v>
      </c>
      <c r="AB35" s="154">
        <v>12</v>
      </c>
      <c r="AC35" s="146">
        <v>12</v>
      </c>
      <c r="AD35" s="146">
        <v>0</v>
      </c>
      <c r="AE35" s="146">
        <v>0</v>
      </c>
      <c r="AF35" s="146">
        <v>0</v>
      </c>
      <c r="AG35" s="146">
        <v>0</v>
      </c>
      <c r="AH35" s="154">
        <v>2</v>
      </c>
      <c r="AI35" s="146">
        <v>2</v>
      </c>
      <c r="AJ35" s="154">
        <v>0</v>
      </c>
      <c r="AK35" s="154">
        <v>0</v>
      </c>
      <c r="AL35" s="154">
        <v>0</v>
      </c>
      <c r="AM35" s="154">
        <v>0</v>
      </c>
      <c r="AN35" s="154">
        <v>0</v>
      </c>
      <c r="AO35" s="154">
        <v>0</v>
      </c>
      <c r="AP35" s="154">
        <v>2</v>
      </c>
      <c r="AQ35" s="146">
        <v>2</v>
      </c>
      <c r="AR35" s="154">
        <v>0</v>
      </c>
      <c r="AS35" s="154">
        <v>0</v>
      </c>
      <c r="AT35" s="154">
        <v>2</v>
      </c>
      <c r="AU35" s="146">
        <v>2</v>
      </c>
      <c r="AV35" s="154">
        <v>0</v>
      </c>
      <c r="AW35" s="154">
        <v>0</v>
      </c>
      <c r="AX35" s="146">
        <f t="shared" si="3"/>
        <v>3704</v>
      </c>
      <c r="AY35" s="146">
        <f t="shared" si="4"/>
        <v>3704</v>
      </c>
      <c r="AZ35" s="140" t="s">
        <v>562</v>
      </c>
      <c r="BA35" s="140" t="s">
        <v>562</v>
      </c>
      <c r="BB35" s="140">
        <v>2</v>
      </c>
      <c r="BC35" s="148">
        <v>31</v>
      </c>
      <c r="BD35" s="149"/>
      <c r="BE35" s="145"/>
      <c r="BF35" s="150"/>
      <c r="BG35" s="151">
        <v>45901</v>
      </c>
      <c r="BH35" s="153" t="s">
        <v>15</v>
      </c>
      <c r="BI35" s="153" t="s">
        <v>562</v>
      </c>
    </row>
    <row r="36" spans="1:705" s="41" customFormat="1" ht="42" hidden="1" x14ac:dyDescent="0.3">
      <c r="A36" s="26">
        <v>32</v>
      </c>
      <c r="B36" s="137">
        <v>239510</v>
      </c>
      <c r="C36" s="138">
        <v>32</v>
      </c>
      <c r="D36" s="139">
        <v>45908</v>
      </c>
      <c r="E36" s="139">
        <f t="shared" si="0"/>
        <v>45907</v>
      </c>
      <c r="F36" s="139">
        <f t="shared" si="1"/>
        <v>45918</v>
      </c>
      <c r="G36" s="139">
        <v>45918</v>
      </c>
      <c r="H36" s="139">
        <v>45920</v>
      </c>
      <c r="I36" s="139" t="s">
        <v>136</v>
      </c>
      <c r="J36" s="140" t="s">
        <v>149</v>
      </c>
      <c r="K36" s="141">
        <f t="shared" si="2"/>
        <v>2</v>
      </c>
      <c r="L36" s="141">
        <v>1141005</v>
      </c>
      <c r="M36" s="140" t="s">
        <v>15</v>
      </c>
      <c r="N36" s="140" t="s">
        <v>251</v>
      </c>
      <c r="O36" s="140" t="s">
        <v>251</v>
      </c>
      <c r="P36" s="143" t="s">
        <v>213</v>
      </c>
      <c r="Q36" s="143" t="s">
        <v>213</v>
      </c>
      <c r="R36" s="137" t="s">
        <v>211</v>
      </c>
      <c r="S36" s="144" t="s">
        <v>148</v>
      </c>
      <c r="T36" s="145">
        <v>1</v>
      </c>
      <c r="U36" s="137" t="s">
        <v>81</v>
      </c>
      <c r="V36" s="146">
        <v>0</v>
      </c>
      <c r="W36" s="146"/>
      <c r="X36" s="147">
        <v>0</v>
      </c>
      <c r="Y36" s="146">
        <v>0</v>
      </c>
      <c r="Z36" s="146">
        <v>0</v>
      </c>
      <c r="AA36" s="146">
        <v>0</v>
      </c>
      <c r="AB36" s="146">
        <v>0</v>
      </c>
      <c r="AC36" s="146"/>
      <c r="AD36" s="146">
        <v>0</v>
      </c>
      <c r="AE36" s="146">
        <v>0</v>
      </c>
      <c r="AF36" s="146">
        <v>0</v>
      </c>
      <c r="AG36" s="146">
        <v>0</v>
      </c>
      <c r="AH36" s="146">
        <v>1</v>
      </c>
      <c r="AI36" s="146">
        <v>1</v>
      </c>
      <c r="AJ36" s="154">
        <v>0</v>
      </c>
      <c r="AK36" s="154">
        <v>0</v>
      </c>
      <c r="AL36" s="154">
        <v>0</v>
      </c>
      <c r="AM36" s="154">
        <v>0</v>
      </c>
      <c r="AN36" s="154">
        <v>0</v>
      </c>
      <c r="AO36" s="154">
        <v>0</v>
      </c>
      <c r="AP36" s="146">
        <v>0</v>
      </c>
      <c r="AQ36" s="146"/>
      <c r="AR36" s="154">
        <v>0</v>
      </c>
      <c r="AS36" s="154">
        <v>0</v>
      </c>
      <c r="AT36" s="146">
        <v>1</v>
      </c>
      <c r="AU36" s="146">
        <v>1</v>
      </c>
      <c r="AV36" s="154">
        <v>0</v>
      </c>
      <c r="AW36" s="154">
        <v>0</v>
      </c>
      <c r="AX36" s="146">
        <f t="shared" si="3"/>
        <v>520</v>
      </c>
      <c r="AY36" s="146">
        <f t="shared" si="4"/>
        <v>520</v>
      </c>
      <c r="AZ36" s="140" t="s">
        <v>562</v>
      </c>
      <c r="BA36" s="140" t="s">
        <v>562</v>
      </c>
      <c r="BB36" s="140">
        <v>5</v>
      </c>
      <c r="BC36" s="148">
        <v>32</v>
      </c>
      <c r="BD36" s="149"/>
      <c r="BE36" s="145"/>
      <c r="BF36" s="150"/>
      <c r="BG36" s="151">
        <v>45901</v>
      </c>
      <c r="BH36" s="153" t="s">
        <v>15</v>
      </c>
      <c r="BI36" s="153" t="s">
        <v>562</v>
      </c>
    </row>
    <row r="37" spans="1:705" s="41" customFormat="1" ht="63" hidden="1" x14ac:dyDescent="0.3">
      <c r="A37" s="26">
        <v>33</v>
      </c>
      <c r="B37" s="137">
        <v>239512</v>
      </c>
      <c r="C37" s="138">
        <v>33</v>
      </c>
      <c r="D37" s="139">
        <v>45908</v>
      </c>
      <c r="E37" s="139">
        <f t="shared" si="0"/>
        <v>45907</v>
      </c>
      <c r="F37" s="139">
        <f t="shared" ref="F37:F68" si="5">D37+10</f>
        <v>45918</v>
      </c>
      <c r="G37" s="139">
        <v>45918</v>
      </c>
      <c r="H37" s="139">
        <v>45920</v>
      </c>
      <c r="I37" s="139" t="s">
        <v>136</v>
      </c>
      <c r="J37" s="140" t="s">
        <v>151</v>
      </c>
      <c r="K37" s="141">
        <f t="shared" si="2"/>
        <v>2</v>
      </c>
      <c r="L37" s="141">
        <v>1141035</v>
      </c>
      <c r="M37" s="140" t="s">
        <v>15</v>
      </c>
      <c r="N37" s="140">
        <v>803038</v>
      </c>
      <c r="O37" s="140" t="s">
        <v>246</v>
      </c>
      <c r="P37" s="143">
        <v>45915</v>
      </c>
      <c r="Q37" s="143">
        <v>45930</v>
      </c>
      <c r="R37" s="137" t="s">
        <v>211</v>
      </c>
      <c r="S37" s="144" t="s">
        <v>150</v>
      </c>
      <c r="T37" s="145">
        <v>4</v>
      </c>
      <c r="U37" s="137" t="s">
        <v>82</v>
      </c>
      <c r="V37" s="146">
        <v>28</v>
      </c>
      <c r="W37" s="146">
        <v>28</v>
      </c>
      <c r="X37" s="147">
        <v>0</v>
      </c>
      <c r="Y37" s="146">
        <v>0</v>
      </c>
      <c r="Z37" s="146">
        <v>0</v>
      </c>
      <c r="AA37" s="146">
        <v>0</v>
      </c>
      <c r="AB37" s="146">
        <v>0</v>
      </c>
      <c r="AC37" s="146">
        <v>0</v>
      </c>
      <c r="AD37" s="146">
        <v>0</v>
      </c>
      <c r="AE37" s="146">
        <v>0</v>
      </c>
      <c r="AF37" s="146">
        <v>0</v>
      </c>
      <c r="AG37" s="146">
        <v>0</v>
      </c>
      <c r="AH37" s="146">
        <v>4</v>
      </c>
      <c r="AI37" s="146">
        <v>4</v>
      </c>
      <c r="AJ37" s="154">
        <v>0</v>
      </c>
      <c r="AK37" s="154">
        <v>0</v>
      </c>
      <c r="AL37" s="154">
        <v>0</v>
      </c>
      <c r="AM37" s="154">
        <v>0</v>
      </c>
      <c r="AN37" s="154">
        <v>0</v>
      </c>
      <c r="AO37" s="154">
        <v>0</v>
      </c>
      <c r="AP37" s="146">
        <v>4</v>
      </c>
      <c r="AQ37" s="146">
        <v>4</v>
      </c>
      <c r="AR37" s="154">
        <v>0</v>
      </c>
      <c r="AS37" s="154">
        <v>0</v>
      </c>
      <c r="AT37" s="146">
        <v>4</v>
      </c>
      <c r="AU37" s="146">
        <v>4</v>
      </c>
      <c r="AV37" s="154">
        <v>0</v>
      </c>
      <c r="AW37" s="154">
        <v>0</v>
      </c>
      <c r="AX37" s="146">
        <f t="shared" ref="AX37:AX68" si="6">(V37*60)+(X37*80)+(Z37*38)+(AB37*57)+(AD37*75)+(AF37*155)+(AH37*170)+(AJ37*375)+(AL37*590)+(AN37*60)+(AP37*630)+(AR37*400)+(AT37*350)+(AV37*950)</f>
        <v>6280</v>
      </c>
      <c r="AY37" s="146">
        <f t="shared" ref="AY37:AY68" si="7">(W37*60)+(Y37*80)+(AA37*38)+(AC37*57)+(AE37*75)+(AG37*155)+(AI37*170)+(AK37*375)+(AM37*590)+(AO37*60)+(AQ37*630)+(AS37*400)+(AU37*350)+(AW37*950)</f>
        <v>6280</v>
      </c>
      <c r="AZ37" s="140" t="s">
        <v>562</v>
      </c>
      <c r="BA37" s="140" t="s">
        <v>562</v>
      </c>
      <c r="BB37" s="140">
        <v>1</v>
      </c>
      <c r="BC37" s="148">
        <v>33</v>
      </c>
      <c r="BD37" s="149"/>
      <c r="BE37" s="145"/>
      <c r="BF37" s="150"/>
      <c r="BG37" s="152">
        <v>45901</v>
      </c>
      <c r="BH37" s="153" t="s">
        <v>535</v>
      </c>
      <c r="BI37" s="153" t="s">
        <v>562</v>
      </c>
    </row>
    <row r="38" spans="1:705" s="41" customFormat="1" ht="21" hidden="1" x14ac:dyDescent="0.3">
      <c r="A38" s="26">
        <v>34</v>
      </c>
      <c r="B38" s="137">
        <v>239514</v>
      </c>
      <c r="C38" s="138">
        <v>34</v>
      </c>
      <c r="D38" s="139">
        <v>45908</v>
      </c>
      <c r="E38" s="139">
        <f t="shared" si="0"/>
        <v>45907</v>
      </c>
      <c r="F38" s="139">
        <f t="shared" si="5"/>
        <v>45918</v>
      </c>
      <c r="G38" s="139">
        <v>45918</v>
      </c>
      <c r="H38" s="139">
        <v>45917</v>
      </c>
      <c r="I38" s="139" t="s">
        <v>136</v>
      </c>
      <c r="J38" s="140" t="s">
        <v>153</v>
      </c>
      <c r="K38" s="141">
        <f t="shared" si="2"/>
        <v>-1</v>
      </c>
      <c r="L38" s="141">
        <v>1141093</v>
      </c>
      <c r="M38" s="140" t="s">
        <v>15</v>
      </c>
      <c r="N38" s="140">
        <v>803039</v>
      </c>
      <c r="O38" s="140" t="s">
        <v>246</v>
      </c>
      <c r="P38" s="143">
        <v>45915</v>
      </c>
      <c r="Q38" s="143">
        <v>45930</v>
      </c>
      <c r="R38" s="137" t="s">
        <v>211</v>
      </c>
      <c r="S38" s="144" t="s">
        <v>152</v>
      </c>
      <c r="T38" s="145">
        <v>1</v>
      </c>
      <c r="U38" s="137" t="s">
        <v>106</v>
      </c>
      <c r="V38" s="146">
        <v>8</v>
      </c>
      <c r="W38" s="146">
        <v>8</v>
      </c>
      <c r="X38" s="147">
        <v>0</v>
      </c>
      <c r="Y38" s="146">
        <v>0</v>
      </c>
      <c r="Z38" s="146">
        <v>0</v>
      </c>
      <c r="AA38" s="146">
        <v>0</v>
      </c>
      <c r="AB38" s="146">
        <v>8</v>
      </c>
      <c r="AC38" s="146">
        <v>8</v>
      </c>
      <c r="AD38" s="146">
        <v>0</v>
      </c>
      <c r="AE38" s="146">
        <v>0</v>
      </c>
      <c r="AF38" s="146">
        <v>0</v>
      </c>
      <c r="AG38" s="146">
        <v>0</v>
      </c>
      <c r="AH38" s="146">
        <v>1</v>
      </c>
      <c r="AI38" s="146">
        <v>1</v>
      </c>
      <c r="AJ38" s="154">
        <v>0</v>
      </c>
      <c r="AK38" s="154">
        <v>0</v>
      </c>
      <c r="AL38" s="154">
        <v>0</v>
      </c>
      <c r="AM38" s="154">
        <v>0</v>
      </c>
      <c r="AN38" s="154">
        <v>0</v>
      </c>
      <c r="AO38" s="154">
        <v>0</v>
      </c>
      <c r="AP38" s="146">
        <v>1</v>
      </c>
      <c r="AQ38" s="146">
        <v>1</v>
      </c>
      <c r="AR38" s="154">
        <v>0</v>
      </c>
      <c r="AS38" s="154">
        <v>0</v>
      </c>
      <c r="AT38" s="146">
        <v>1</v>
      </c>
      <c r="AU38" s="146">
        <v>1</v>
      </c>
      <c r="AV38" s="154">
        <v>0</v>
      </c>
      <c r="AW38" s="154">
        <v>0</v>
      </c>
      <c r="AX38" s="146">
        <f t="shared" si="6"/>
        <v>2086</v>
      </c>
      <c r="AY38" s="146">
        <f t="shared" si="7"/>
        <v>2086</v>
      </c>
      <c r="AZ38" s="140" t="s">
        <v>562</v>
      </c>
      <c r="BA38" s="140" t="s">
        <v>562</v>
      </c>
      <c r="BB38" s="140">
        <v>2</v>
      </c>
      <c r="BC38" s="148">
        <v>34</v>
      </c>
      <c r="BD38" s="149"/>
      <c r="BE38" s="145"/>
      <c r="BF38" s="150"/>
      <c r="BG38" s="152">
        <v>45901</v>
      </c>
      <c r="BH38" s="153" t="s">
        <v>535</v>
      </c>
      <c r="BI38" s="153" t="s">
        <v>562</v>
      </c>
    </row>
    <row r="39" spans="1:705" s="41" customFormat="1" ht="42" hidden="1" x14ac:dyDescent="0.3">
      <c r="A39" s="26">
        <v>35</v>
      </c>
      <c r="B39" s="137">
        <v>239515</v>
      </c>
      <c r="C39" s="138">
        <v>35</v>
      </c>
      <c r="D39" s="139">
        <v>45908</v>
      </c>
      <c r="E39" s="139">
        <v>45907</v>
      </c>
      <c r="F39" s="139">
        <f t="shared" si="5"/>
        <v>45918</v>
      </c>
      <c r="G39" s="139">
        <v>45969</v>
      </c>
      <c r="H39" s="139">
        <v>45925</v>
      </c>
      <c r="I39" s="139" t="s">
        <v>123</v>
      </c>
      <c r="J39" s="140" t="s">
        <v>134</v>
      </c>
      <c r="K39" s="141">
        <v>-9</v>
      </c>
      <c r="L39" s="142">
        <v>1141103</v>
      </c>
      <c r="M39" s="140" t="s">
        <v>15</v>
      </c>
      <c r="N39" s="140">
        <v>803255</v>
      </c>
      <c r="O39" s="140" t="s">
        <v>246</v>
      </c>
      <c r="P39" s="143">
        <v>45917</v>
      </c>
      <c r="Q39" s="143">
        <v>45932</v>
      </c>
      <c r="R39" s="137" t="s">
        <v>211</v>
      </c>
      <c r="S39" s="144">
        <v>13045</v>
      </c>
      <c r="T39" s="145">
        <v>1</v>
      </c>
      <c r="U39" s="137" t="s">
        <v>98</v>
      </c>
      <c r="V39" s="146">
        <v>10</v>
      </c>
      <c r="W39" s="146">
        <v>10</v>
      </c>
      <c r="X39" s="147">
        <v>0</v>
      </c>
      <c r="Y39" s="146">
        <v>0</v>
      </c>
      <c r="Z39" s="146">
        <v>0</v>
      </c>
      <c r="AA39" s="146">
        <v>0</v>
      </c>
      <c r="AB39" s="146">
        <v>5</v>
      </c>
      <c r="AC39" s="146">
        <v>5</v>
      </c>
      <c r="AD39" s="146">
        <v>0</v>
      </c>
      <c r="AE39" s="146">
        <v>0</v>
      </c>
      <c r="AF39" s="146">
        <v>0</v>
      </c>
      <c r="AG39" s="146">
        <v>0</v>
      </c>
      <c r="AH39" s="146">
        <v>1</v>
      </c>
      <c r="AI39" s="146">
        <v>1</v>
      </c>
      <c r="AJ39" s="146">
        <v>1</v>
      </c>
      <c r="AK39" s="146">
        <v>1</v>
      </c>
      <c r="AL39" s="146">
        <v>1</v>
      </c>
      <c r="AM39" s="146">
        <v>1</v>
      </c>
      <c r="AN39" s="146">
        <v>2</v>
      </c>
      <c r="AO39" s="146">
        <v>2</v>
      </c>
      <c r="AP39" s="146">
        <v>1</v>
      </c>
      <c r="AQ39" s="146">
        <v>1</v>
      </c>
      <c r="AR39" s="154">
        <v>0</v>
      </c>
      <c r="AS39" s="154">
        <v>0</v>
      </c>
      <c r="AT39" s="146">
        <v>1</v>
      </c>
      <c r="AU39" s="146">
        <v>1</v>
      </c>
      <c r="AV39" s="154">
        <v>0</v>
      </c>
      <c r="AW39" s="154">
        <v>0</v>
      </c>
      <c r="AX39" s="146">
        <f t="shared" si="6"/>
        <v>3120</v>
      </c>
      <c r="AY39" s="146">
        <f t="shared" si="7"/>
        <v>3120</v>
      </c>
      <c r="AZ39" s="140" t="s">
        <v>562</v>
      </c>
      <c r="BA39" s="140" t="s">
        <v>562</v>
      </c>
      <c r="BB39" s="140">
        <v>1</v>
      </c>
      <c r="BC39" s="148">
        <v>35</v>
      </c>
      <c r="BD39" s="149"/>
      <c r="BE39" s="145"/>
      <c r="BF39" s="150"/>
      <c r="BG39" s="152">
        <v>45901</v>
      </c>
      <c r="BH39" s="153" t="s">
        <v>535</v>
      </c>
      <c r="BI39" s="153" t="s">
        <v>562</v>
      </c>
    </row>
    <row r="40" spans="1:705" s="41" customFormat="1" ht="42" hidden="1" x14ac:dyDescent="0.3">
      <c r="A40" s="26">
        <v>36</v>
      </c>
      <c r="B40" s="89">
        <v>239516</v>
      </c>
      <c r="C40" s="90">
        <v>36</v>
      </c>
      <c r="D40" s="91">
        <v>45909</v>
      </c>
      <c r="E40" s="91">
        <f t="shared" ref="E40:E71" si="8">D40-1</f>
        <v>45908</v>
      </c>
      <c r="F40" s="91">
        <f t="shared" si="5"/>
        <v>45919</v>
      </c>
      <c r="G40" s="91">
        <v>45919</v>
      </c>
      <c r="H40" s="91">
        <f ca="1">TODAY()</f>
        <v>46277</v>
      </c>
      <c r="I40" s="91" t="s">
        <v>75</v>
      </c>
      <c r="J40" s="92" t="s">
        <v>154</v>
      </c>
      <c r="K40" s="93">
        <f t="shared" ref="K40:K71" ca="1" si="9">H40-F40</f>
        <v>358</v>
      </c>
      <c r="L40" s="93">
        <v>1141208</v>
      </c>
      <c r="M40" s="88" t="s">
        <v>212</v>
      </c>
      <c r="N40" s="88" t="s">
        <v>212</v>
      </c>
      <c r="O40" s="88" t="s">
        <v>212</v>
      </c>
      <c r="P40" s="197" t="s">
        <v>212</v>
      </c>
      <c r="Q40" s="197" t="s">
        <v>212</v>
      </c>
      <c r="R40" s="89" t="s">
        <v>212</v>
      </c>
      <c r="S40" s="94" t="s">
        <v>155</v>
      </c>
      <c r="T40" s="95">
        <v>1</v>
      </c>
      <c r="U40" s="89" t="s">
        <v>98</v>
      </c>
      <c r="V40" s="96">
        <v>1</v>
      </c>
      <c r="W40" s="96"/>
      <c r="X40" s="97">
        <v>0</v>
      </c>
      <c r="Y40" s="96">
        <v>0</v>
      </c>
      <c r="Z40" s="96">
        <v>0</v>
      </c>
      <c r="AA40" s="96">
        <v>0</v>
      </c>
      <c r="AB40" s="96">
        <v>1</v>
      </c>
      <c r="AC40" s="96"/>
      <c r="AD40" s="96">
        <v>0</v>
      </c>
      <c r="AE40" s="96">
        <v>0</v>
      </c>
      <c r="AF40" s="96">
        <v>0</v>
      </c>
      <c r="AG40" s="96">
        <v>0</v>
      </c>
      <c r="AH40" s="96">
        <v>1</v>
      </c>
      <c r="AI40" s="96"/>
      <c r="AJ40" s="96"/>
      <c r="AK40" s="96"/>
      <c r="AL40" s="96">
        <v>1</v>
      </c>
      <c r="AM40" s="96"/>
      <c r="AN40" s="96">
        <v>1</v>
      </c>
      <c r="AO40" s="96"/>
      <c r="AP40" s="98">
        <v>1</v>
      </c>
      <c r="AQ40" s="98"/>
      <c r="AR40" s="98">
        <v>0</v>
      </c>
      <c r="AS40" s="98">
        <v>0</v>
      </c>
      <c r="AT40" s="98">
        <v>1</v>
      </c>
      <c r="AU40" s="96"/>
      <c r="AV40" s="96">
        <v>0</v>
      </c>
      <c r="AW40" s="96">
        <v>0</v>
      </c>
      <c r="AX40" s="146">
        <f t="shared" si="6"/>
        <v>1917</v>
      </c>
      <c r="AY40" s="146">
        <f t="shared" si="7"/>
        <v>0</v>
      </c>
      <c r="AZ40" s="102" t="s">
        <v>212</v>
      </c>
      <c r="BA40" s="102" t="s">
        <v>212</v>
      </c>
      <c r="BB40" s="89" t="s">
        <v>212</v>
      </c>
      <c r="BC40" s="99">
        <v>36</v>
      </c>
      <c r="BD40" s="100"/>
      <c r="BE40" s="95"/>
      <c r="BF40" s="101"/>
      <c r="BG40" s="102"/>
      <c r="BH40" s="102" t="s">
        <v>212</v>
      </c>
      <c r="BI40" s="102" t="s">
        <v>212</v>
      </c>
    </row>
    <row r="41" spans="1:705" s="41" customFormat="1" ht="21" hidden="1" x14ac:dyDescent="0.3">
      <c r="A41" s="26">
        <v>37</v>
      </c>
      <c r="B41" s="137">
        <v>239517</v>
      </c>
      <c r="C41" s="138">
        <v>37</v>
      </c>
      <c r="D41" s="139">
        <v>45923</v>
      </c>
      <c r="E41" s="139">
        <f t="shared" si="8"/>
        <v>45922</v>
      </c>
      <c r="F41" s="139">
        <f t="shared" si="5"/>
        <v>45933</v>
      </c>
      <c r="G41" s="139">
        <v>45970</v>
      </c>
      <c r="H41" s="139">
        <v>45958</v>
      </c>
      <c r="I41" s="139" t="s">
        <v>123</v>
      </c>
      <c r="J41" s="140" t="s">
        <v>157</v>
      </c>
      <c r="K41" s="141">
        <f t="shared" si="9"/>
        <v>25</v>
      </c>
      <c r="L41" s="142">
        <v>1141212</v>
      </c>
      <c r="M41" s="140" t="s">
        <v>15</v>
      </c>
      <c r="N41" s="140">
        <v>804467</v>
      </c>
      <c r="O41" s="140" t="s">
        <v>246</v>
      </c>
      <c r="P41" s="143">
        <v>45935</v>
      </c>
      <c r="Q41" s="143">
        <v>46114</v>
      </c>
      <c r="R41" s="137" t="s">
        <v>211</v>
      </c>
      <c r="S41" s="144" t="s">
        <v>156</v>
      </c>
      <c r="T41" s="145">
        <v>1</v>
      </c>
      <c r="U41" s="137" t="s">
        <v>106</v>
      </c>
      <c r="V41" s="146">
        <v>58</v>
      </c>
      <c r="W41" s="146">
        <v>58</v>
      </c>
      <c r="X41" s="147">
        <v>0</v>
      </c>
      <c r="Y41" s="146">
        <v>0</v>
      </c>
      <c r="Z41" s="146">
        <v>0</v>
      </c>
      <c r="AA41" s="146">
        <v>0</v>
      </c>
      <c r="AB41" s="146">
        <v>0</v>
      </c>
      <c r="AC41" s="146"/>
      <c r="AD41" s="146">
        <v>0</v>
      </c>
      <c r="AE41" s="146">
        <v>0</v>
      </c>
      <c r="AF41" s="146">
        <v>0</v>
      </c>
      <c r="AG41" s="146">
        <v>0</v>
      </c>
      <c r="AH41" s="146">
        <v>1</v>
      </c>
      <c r="AI41" s="146">
        <v>1</v>
      </c>
      <c r="AJ41" s="146"/>
      <c r="AK41" s="146"/>
      <c r="AL41" s="146">
        <v>0</v>
      </c>
      <c r="AM41" s="146"/>
      <c r="AN41" s="146">
        <v>1</v>
      </c>
      <c r="AO41" s="146">
        <v>1</v>
      </c>
      <c r="AP41" s="146">
        <v>2</v>
      </c>
      <c r="AQ41" s="146">
        <v>2</v>
      </c>
      <c r="AR41" s="154">
        <v>0</v>
      </c>
      <c r="AS41" s="154">
        <v>0</v>
      </c>
      <c r="AT41" s="146">
        <v>1</v>
      </c>
      <c r="AU41" s="146">
        <v>1</v>
      </c>
      <c r="AV41" s="154">
        <v>0</v>
      </c>
      <c r="AW41" s="154">
        <v>0</v>
      </c>
      <c r="AX41" s="146">
        <f t="shared" si="6"/>
        <v>5320</v>
      </c>
      <c r="AY41" s="146">
        <f t="shared" si="7"/>
        <v>5320</v>
      </c>
      <c r="AZ41" s="140" t="s">
        <v>562</v>
      </c>
      <c r="BA41" s="140" t="s">
        <v>562</v>
      </c>
      <c r="BB41" s="140">
        <v>3</v>
      </c>
      <c r="BC41" s="148">
        <v>37</v>
      </c>
      <c r="BD41" s="149"/>
      <c r="BE41" s="145"/>
      <c r="BF41" s="150"/>
      <c r="BG41" s="152">
        <v>45931</v>
      </c>
      <c r="BH41" s="153" t="s">
        <v>535</v>
      </c>
      <c r="BI41" s="153" t="s">
        <v>562</v>
      </c>
    </row>
    <row r="42" spans="1:705" s="42" customFormat="1" ht="42" hidden="1" x14ac:dyDescent="0.3">
      <c r="A42" s="26">
        <v>38</v>
      </c>
      <c r="B42" s="137">
        <v>239518</v>
      </c>
      <c r="C42" s="138">
        <v>38</v>
      </c>
      <c r="D42" s="139">
        <v>45909</v>
      </c>
      <c r="E42" s="139">
        <f t="shared" si="8"/>
        <v>45908</v>
      </c>
      <c r="F42" s="139">
        <f t="shared" si="5"/>
        <v>45919</v>
      </c>
      <c r="G42" s="139">
        <v>45970</v>
      </c>
      <c r="H42" s="139">
        <v>45938</v>
      </c>
      <c r="I42" s="139" t="s">
        <v>123</v>
      </c>
      <c r="J42" s="140" t="s">
        <v>158</v>
      </c>
      <c r="K42" s="141">
        <f t="shared" si="9"/>
        <v>19</v>
      </c>
      <c r="L42" s="141">
        <v>1141231</v>
      </c>
      <c r="M42" s="140" t="s">
        <v>15</v>
      </c>
      <c r="N42" s="142">
        <v>803247</v>
      </c>
      <c r="O42" s="140" t="s">
        <v>246</v>
      </c>
      <c r="P42" s="143">
        <v>45931</v>
      </c>
      <c r="Q42" s="143">
        <v>46107</v>
      </c>
      <c r="R42" s="137" t="s">
        <v>211</v>
      </c>
      <c r="S42" s="144" t="s">
        <v>159</v>
      </c>
      <c r="T42" s="145">
        <v>1</v>
      </c>
      <c r="U42" s="137" t="s">
        <v>160</v>
      </c>
      <c r="V42" s="146">
        <v>18</v>
      </c>
      <c r="W42" s="146">
        <v>18</v>
      </c>
      <c r="X42" s="147">
        <v>0</v>
      </c>
      <c r="Y42" s="146">
        <v>0</v>
      </c>
      <c r="Z42" s="146">
        <v>0</v>
      </c>
      <c r="AA42" s="146">
        <v>0</v>
      </c>
      <c r="AB42" s="146">
        <v>18</v>
      </c>
      <c r="AC42" s="146">
        <v>18</v>
      </c>
      <c r="AD42" s="146">
        <v>0</v>
      </c>
      <c r="AE42" s="146">
        <v>0</v>
      </c>
      <c r="AF42" s="146">
        <v>0</v>
      </c>
      <c r="AG42" s="146">
        <v>0</v>
      </c>
      <c r="AH42" s="146">
        <v>1</v>
      </c>
      <c r="AI42" s="146">
        <v>1</v>
      </c>
      <c r="AJ42" s="146"/>
      <c r="AK42" s="146"/>
      <c r="AL42" s="146"/>
      <c r="AM42" s="146"/>
      <c r="AN42" s="146">
        <v>1</v>
      </c>
      <c r="AO42" s="146">
        <v>1</v>
      </c>
      <c r="AP42" s="146">
        <v>1</v>
      </c>
      <c r="AQ42" s="146">
        <v>1</v>
      </c>
      <c r="AR42" s="146">
        <v>0</v>
      </c>
      <c r="AS42" s="146">
        <v>0</v>
      </c>
      <c r="AT42" s="146">
        <v>1</v>
      </c>
      <c r="AU42" s="146">
        <v>1</v>
      </c>
      <c r="AV42" s="146">
        <v>0</v>
      </c>
      <c r="AW42" s="146">
        <v>0</v>
      </c>
      <c r="AX42" s="146">
        <f t="shared" si="6"/>
        <v>3316</v>
      </c>
      <c r="AY42" s="146">
        <f t="shared" si="7"/>
        <v>3316</v>
      </c>
      <c r="AZ42" s="140" t="s">
        <v>562</v>
      </c>
      <c r="BA42" s="140" t="s">
        <v>618</v>
      </c>
      <c r="BB42" s="137">
        <v>6</v>
      </c>
      <c r="BC42" s="148">
        <v>38</v>
      </c>
      <c r="BD42" s="149"/>
      <c r="BE42" s="145"/>
      <c r="BF42" s="150"/>
      <c r="BG42" s="152">
        <v>45931</v>
      </c>
      <c r="BH42" s="153" t="s">
        <v>15</v>
      </c>
      <c r="BI42" s="153" t="s">
        <v>562</v>
      </c>
      <c r="CC42" s="41"/>
      <c r="CD42" s="41"/>
      <c r="CE42" s="41"/>
      <c r="CF42" s="41"/>
      <c r="CG42" s="41"/>
      <c r="CH42" s="41"/>
      <c r="CI42" s="41"/>
      <c r="CJ42" s="41"/>
      <c r="CK42" s="41"/>
      <c r="CL42" s="41"/>
      <c r="CM42" s="41"/>
      <c r="CN42" s="41"/>
      <c r="CO42" s="41"/>
      <c r="CP42" s="41"/>
      <c r="CQ42" s="41"/>
      <c r="CR42" s="41"/>
      <c r="CS42" s="41"/>
      <c r="CT42" s="41"/>
      <c r="CU42" s="41"/>
      <c r="CV42" s="41"/>
      <c r="CW42" s="41"/>
      <c r="CX42" s="41"/>
      <c r="CY42" s="41"/>
      <c r="CZ42" s="41"/>
      <c r="DA42" s="41"/>
      <c r="DB42" s="41"/>
      <c r="DC42" s="41"/>
      <c r="DD42" s="41"/>
      <c r="DE42" s="41"/>
      <c r="DF42" s="41"/>
      <c r="DG42" s="41"/>
      <c r="DH42" s="41"/>
      <c r="DI42" s="41"/>
      <c r="DJ42" s="41"/>
      <c r="DK42" s="41"/>
      <c r="DL42" s="41"/>
      <c r="DM42" s="41"/>
      <c r="DN42" s="41"/>
      <c r="DO42" s="41"/>
      <c r="DP42" s="41"/>
      <c r="DQ42" s="41"/>
      <c r="DR42" s="41"/>
      <c r="DS42" s="41"/>
      <c r="DT42" s="41"/>
      <c r="DU42" s="41"/>
      <c r="DV42" s="41"/>
      <c r="DW42" s="41"/>
      <c r="DX42" s="41"/>
      <c r="DY42" s="41"/>
      <c r="DZ42" s="41"/>
      <c r="EA42" s="41"/>
      <c r="EB42" s="41"/>
      <c r="EC42" s="41"/>
      <c r="ED42" s="41"/>
      <c r="EE42" s="41"/>
      <c r="EF42" s="41"/>
      <c r="EG42" s="41"/>
      <c r="EH42" s="41"/>
      <c r="EI42" s="41"/>
      <c r="EJ42" s="41"/>
      <c r="EK42" s="41"/>
      <c r="EL42" s="41"/>
      <c r="EM42" s="41"/>
      <c r="EN42" s="41"/>
      <c r="EO42" s="41"/>
      <c r="EP42" s="41"/>
      <c r="EQ42" s="41"/>
      <c r="ER42" s="41"/>
      <c r="ES42" s="41"/>
      <c r="ET42" s="41"/>
      <c r="EU42" s="41"/>
      <c r="EV42" s="41"/>
      <c r="EW42" s="41"/>
      <c r="EX42" s="41"/>
      <c r="EY42" s="41"/>
      <c r="EZ42" s="41"/>
      <c r="FA42" s="41"/>
      <c r="FB42" s="41"/>
      <c r="FC42" s="41"/>
      <c r="FD42" s="41"/>
      <c r="FE42" s="41"/>
      <c r="FF42" s="41"/>
      <c r="FG42" s="41"/>
      <c r="FH42" s="41"/>
      <c r="FI42" s="41"/>
      <c r="FJ42" s="41"/>
      <c r="FK42" s="41"/>
      <c r="FL42" s="41"/>
      <c r="FM42" s="41"/>
      <c r="FN42" s="41"/>
      <c r="FO42" s="41"/>
      <c r="FP42" s="41"/>
      <c r="FQ42" s="41"/>
      <c r="FR42" s="41"/>
      <c r="FS42" s="41"/>
      <c r="FT42" s="41"/>
      <c r="FU42" s="41"/>
      <c r="FV42" s="41"/>
      <c r="FW42" s="41"/>
      <c r="FX42" s="41"/>
      <c r="FY42" s="41"/>
      <c r="FZ42" s="41"/>
      <c r="GA42" s="41"/>
      <c r="GB42" s="41"/>
      <c r="GC42" s="41"/>
      <c r="GD42" s="41"/>
      <c r="GE42" s="41"/>
      <c r="GF42" s="41"/>
      <c r="GG42" s="41"/>
      <c r="GH42" s="41"/>
      <c r="GI42" s="41"/>
      <c r="GJ42" s="41"/>
      <c r="GK42" s="41"/>
      <c r="GL42" s="41"/>
      <c r="GM42" s="41"/>
      <c r="GN42" s="41"/>
      <c r="GO42" s="41"/>
      <c r="GP42" s="41"/>
      <c r="GQ42" s="41"/>
      <c r="GR42" s="41"/>
      <c r="GS42" s="41"/>
      <c r="GT42" s="41"/>
      <c r="GU42" s="41"/>
      <c r="GV42" s="41"/>
      <c r="GW42" s="41"/>
      <c r="GX42" s="41"/>
      <c r="GY42" s="41"/>
      <c r="GZ42" s="41"/>
      <c r="HA42" s="41"/>
      <c r="HB42" s="41"/>
      <c r="HC42" s="41"/>
      <c r="HD42" s="41"/>
      <c r="HE42" s="41"/>
      <c r="HF42" s="41"/>
      <c r="HG42" s="41"/>
      <c r="HH42" s="41"/>
      <c r="HI42" s="41"/>
      <c r="HJ42" s="41"/>
      <c r="HK42" s="41"/>
      <c r="HL42" s="41"/>
      <c r="HM42" s="41"/>
      <c r="HN42" s="41"/>
      <c r="HO42" s="41"/>
      <c r="HP42" s="41"/>
      <c r="HQ42" s="41"/>
      <c r="HR42" s="41"/>
      <c r="HS42" s="41"/>
      <c r="HT42" s="41"/>
      <c r="HU42" s="41"/>
      <c r="HV42" s="41"/>
      <c r="HW42" s="41"/>
      <c r="HX42" s="41"/>
      <c r="HY42" s="41"/>
      <c r="HZ42" s="41"/>
      <c r="IA42" s="41"/>
      <c r="IB42" s="41"/>
      <c r="IC42" s="41"/>
      <c r="ID42" s="41"/>
      <c r="IE42" s="41"/>
      <c r="IF42" s="41"/>
      <c r="IG42" s="41"/>
      <c r="IH42" s="41"/>
      <c r="II42" s="41"/>
      <c r="IJ42" s="41"/>
      <c r="IK42" s="41"/>
      <c r="IL42" s="41"/>
      <c r="IM42" s="41"/>
      <c r="IN42" s="41"/>
      <c r="IO42" s="41"/>
      <c r="IP42" s="41"/>
      <c r="IQ42" s="41"/>
      <c r="IR42" s="41"/>
      <c r="IS42" s="41"/>
      <c r="IT42" s="41"/>
      <c r="IU42" s="41"/>
      <c r="IV42" s="41"/>
      <c r="IW42" s="41"/>
      <c r="IX42" s="41"/>
      <c r="IY42" s="41"/>
      <c r="IZ42" s="41"/>
      <c r="JA42" s="41"/>
      <c r="JB42" s="41"/>
      <c r="JC42" s="41"/>
      <c r="JD42" s="41"/>
      <c r="JE42" s="41"/>
      <c r="JF42" s="41"/>
      <c r="JG42" s="41"/>
      <c r="JH42" s="41"/>
      <c r="JI42" s="41"/>
      <c r="JJ42" s="41"/>
      <c r="JK42" s="41"/>
      <c r="JL42" s="41"/>
      <c r="JM42" s="41"/>
      <c r="JN42" s="41"/>
      <c r="JO42" s="41"/>
      <c r="JP42" s="41"/>
      <c r="JQ42" s="41"/>
      <c r="JR42" s="41"/>
      <c r="JS42" s="41"/>
      <c r="JT42" s="41"/>
      <c r="JU42" s="41"/>
      <c r="JV42" s="41"/>
      <c r="JW42" s="41"/>
      <c r="JX42" s="41"/>
      <c r="JY42" s="41"/>
      <c r="JZ42" s="41"/>
      <c r="KA42" s="41"/>
      <c r="KB42" s="41"/>
      <c r="KC42" s="41"/>
      <c r="KD42" s="41"/>
      <c r="KE42" s="41"/>
      <c r="KF42" s="41"/>
      <c r="KG42" s="41"/>
      <c r="KH42" s="41"/>
      <c r="KI42" s="41"/>
      <c r="KJ42" s="41"/>
      <c r="KK42" s="41"/>
      <c r="KL42" s="41"/>
      <c r="KM42" s="41"/>
      <c r="KN42" s="41"/>
      <c r="KO42" s="41"/>
      <c r="KP42" s="41"/>
      <c r="KQ42" s="41"/>
      <c r="KR42" s="41"/>
      <c r="KS42" s="41"/>
      <c r="KT42" s="41"/>
      <c r="KU42" s="41"/>
      <c r="KV42" s="41"/>
      <c r="KW42" s="41"/>
      <c r="KX42" s="41"/>
      <c r="KY42" s="41"/>
      <c r="KZ42" s="41"/>
      <c r="LA42" s="41"/>
      <c r="LB42" s="41"/>
      <c r="LC42" s="41"/>
      <c r="LD42" s="41"/>
      <c r="LE42" s="41"/>
      <c r="LF42" s="41"/>
      <c r="LG42" s="41"/>
      <c r="LH42" s="41"/>
      <c r="LI42" s="41"/>
      <c r="LJ42" s="41"/>
      <c r="LK42" s="41"/>
      <c r="LL42" s="41"/>
      <c r="LM42" s="41"/>
      <c r="LN42" s="41"/>
      <c r="LO42" s="41"/>
      <c r="LP42" s="41"/>
      <c r="LQ42" s="41"/>
      <c r="LR42" s="41"/>
      <c r="LS42" s="41"/>
      <c r="LT42" s="41"/>
      <c r="LU42" s="41"/>
      <c r="LV42" s="41"/>
      <c r="LW42" s="41"/>
      <c r="LX42" s="41"/>
      <c r="LY42" s="41"/>
      <c r="LZ42" s="41"/>
      <c r="MA42" s="41"/>
      <c r="MB42" s="41"/>
      <c r="MC42" s="41"/>
      <c r="MD42" s="41"/>
      <c r="ME42" s="41"/>
      <c r="MF42" s="41"/>
      <c r="MG42" s="41"/>
      <c r="MH42" s="41"/>
      <c r="MI42" s="41"/>
      <c r="MJ42" s="41"/>
      <c r="MK42" s="41"/>
      <c r="ML42" s="41"/>
      <c r="MM42" s="41"/>
      <c r="MN42" s="41"/>
      <c r="MO42" s="41"/>
      <c r="MP42" s="41"/>
      <c r="MQ42" s="41"/>
      <c r="MR42" s="41"/>
      <c r="MS42" s="41"/>
      <c r="MT42" s="41"/>
      <c r="MU42" s="41"/>
      <c r="MV42" s="41"/>
      <c r="MW42" s="41"/>
      <c r="MX42" s="41"/>
      <c r="MY42" s="41"/>
      <c r="MZ42" s="41"/>
      <c r="NA42" s="41"/>
      <c r="NB42" s="41"/>
      <c r="NC42" s="41"/>
      <c r="ND42" s="41"/>
      <c r="NE42" s="41"/>
      <c r="NF42" s="41"/>
      <c r="NG42" s="41"/>
      <c r="NH42" s="41"/>
      <c r="NI42" s="41"/>
      <c r="NJ42" s="41"/>
      <c r="NK42" s="41"/>
      <c r="NL42" s="41"/>
      <c r="NM42" s="41"/>
      <c r="NN42" s="41"/>
      <c r="NO42" s="41"/>
      <c r="NP42" s="41"/>
      <c r="NQ42" s="41"/>
      <c r="NR42" s="41"/>
      <c r="NS42" s="41"/>
      <c r="NT42" s="41"/>
      <c r="NU42" s="41"/>
      <c r="NV42" s="41"/>
      <c r="NW42" s="41"/>
      <c r="NX42" s="41"/>
      <c r="NY42" s="41"/>
      <c r="NZ42" s="41"/>
      <c r="OA42" s="41"/>
      <c r="OB42" s="41"/>
      <c r="OC42" s="41"/>
      <c r="OD42" s="41"/>
      <c r="OE42" s="41"/>
      <c r="OF42" s="41"/>
      <c r="OG42" s="41"/>
      <c r="OH42" s="41"/>
      <c r="OI42" s="41"/>
      <c r="OJ42" s="41"/>
      <c r="OK42" s="41"/>
      <c r="OL42" s="41"/>
      <c r="OM42" s="41"/>
      <c r="ON42" s="41"/>
      <c r="OO42" s="41"/>
      <c r="OP42" s="41"/>
      <c r="OQ42" s="41"/>
      <c r="OR42" s="41"/>
      <c r="OS42" s="41"/>
      <c r="OT42" s="41"/>
      <c r="OU42" s="41"/>
      <c r="OV42" s="41"/>
      <c r="OW42" s="41"/>
      <c r="OX42" s="41"/>
      <c r="OY42" s="41"/>
      <c r="OZ42" s="41"/>
      <c r="PA42" s="41"/>
      <c r="PB42" s="41"/>
      <c r="PC42" s="41"/>
      <c r="PD42" s="41"/>
      <c r="PE42" s="41"/>
      <c r="PF42" s="41"/>
      <c r="PG42" s="41"/>
      <c r="PH42" s="41"/>
      <c r="PI42" s="41"/>
      <c r="PJ42" s="41"/>
      <c r="PK42" s="41"/>
      <c r="PL42" s="41"/>
      <c r="PM42" s="41"/>
      <c r="PN42" s="41"/>
      <c r="PO42" s="41"/>
      <c r="PP42" s="41"/>
      <c r="PQ42" s="41"/>
      <c r="PR42" s="41"/>
      <c r="PS42" s="41"/>
      <c r="PT42" s="41"/>
      <c r="PU42" s="41"/>
      <c r="PV42" s="41"/>
      <c r="PW42" s="41"/>
      <c r="PX42" s="41"/>
      <c r="PY42" s="41"/>
      <c r="PZ42" s="41"/>
      <c r="QA42" s="41"/>
      <c r="QB42" s="41"/>
      <c r="QC42" s="41"/>
      <c r="QD42" s="41"/>
      <c r="QE42" s="41"/>
      <c r="QF42" s="41"/>
      <c r="QG42" s="41"/>
      <c r="QH42" s="41"/>
      <c r="QI42" s="41"/>
      <c r="QJ42" s="41"/>
      <c r="QK42" s="41"/>
      <c r="QL42" s="41"/>
      <c r="QM42" s="41"/>
      <c r="QN42" s="41"/>
      <c r="QO42" s="41"/>
      <c r="QP42" s="41"/>
      <c r="QQ42" s="41"/>
      <c r="QR42" s="41"/>
      <c r="QS42" s="41"/>
      <c r="QT42" s="41"/>
      <c r="QU42" s="41"/>
      <c r="QV42" s="41"/>
      <c r="QW42" s="41"/>
      <c r="QX42" s="41"/>
      <c r="QY42" s="41"/>
      <c r="QZ42" s="41"/>
      <c r="RA42" s="41"/>
      <c r="RB42" s="41"/>
      <c r="RC42" s="41"/>
      <c r="RD42" s="41"/>
      <c r="RE42" s="41"/>
      <c r="RF42" s="41"/>
      <c r="RG42" s="41"/>
      <c r="RH42" s="41"/>
      <c r="RI42" s="41"/>
      <c r="RJ42" s="41"/>
      <c r="RK42" s="41"/>
      <c r="RL42" s="41"/>
      <c r="RM42" s="41"/>
      <c r="RN42" s="41"/>
      <c r="RO42" s="41"/>
      <c r="RP42" s="41"/>
      <c r="RQ42" s="41"/>
      <c r="RR42" s="41"/>
      <c r="RS42" s="41"/>
      <c r="RT42" s="41"/>
      <c r="RU42" s="41"/>
      <c r="RV42" s="41"/>
      <c r="RW42" s="41"/>
      <c r="RX42" s="41"/>
      <c r="RY42" s="41"/>
      <c r="RZ42" s="41"/>
      <c r="SA42" s="41"/>
      <c r="SB42" s="41"/>
      <c r="SC42" s="41"/>
      <c r="SD42" s="41"/>
      <c r="SE42" s="41"/>
      <c r="SF42" s="41"/>
      <c r="SG42" s="41"/>
      <c r="SH42" s="41"/>
      <c r="SI42" s="41"/>
      <c r="SJ42" s="41"/>
      <c r="SK42" s="41"/>
      <c r="SL42" s="41"/>
      <c r="SM42" s="41"/>
      <c r="SN42" s="41"/>
      <c r="SO42" s="41"/>
      <c r="SP42" s="41"/>
      <c r="SQ42" s="41"/>
      <c r="SR42" s="41"/>
      <c r="SS42" s="41"/>
      <c r="ST42" s="41"/>
      <c r="SU42" s="41"/>
      <c r="SV42" s="41"/>
      <c r="SW42" s="41"/>
      <c r="SX42" s="41"/>
      <c r="SY42" s="41"/>
      <c r="SZ42" s="41"/>
      <c r="TA42" s="41"/>
      <c r="TB42" s="41"/>
      <c r="TC42" s="41"/>
      <c r="TD42" s="41"/>
      <c r="TE42" s="41"/>
      <c r="TF42" s="41"/>
      <c r="TG42" s="41"/>
      <c r="TH42" s="41"/>
      <c r="TI42" s="41"/>
      <c r="TJ42" s="41"/>
      <c r="TK42" s="41"/>
      <c r="TL42" s="41"/>
      <c r="TM42" s="41"/>
      <c r="TN42" s="41"/>
      <c r="TO42" s="41"/>
      <c r="TP42" s="41"/>
      <c r="TQ42" s="41"/>
      <c r="TR42" s="41"/>
      <c r="TS42" s="41"/>
      <c r="TT42" s="41"/>
      <c r="TU42" s="41"/>
      <c r="TV42" s="41"/>
      <c r="TW42" s="41"/>
      <c r="TX42" s="41"/>
      <c r="TY42" s="41"/>
      <c r="TZ42" s="41"/>
      <c r="UA42" s="41"/>
      <c r="UB42" s="41"/>
      <c r="UC42" s="41"/>
      <c r="UD42" s="41"/>
      <c r="UE42" s="41"/>
      <c r="UF42" s="41"/>
      <c r="UG42" s="41"/>
      <c r="UH42" s="41"/>
      <c r="UI42" s="41"/>
      <c r="UJ42" s="41"/>
      <c r="UK42" s="41"/>
      <c r="UL42" s="41"/>
      <c r="UM42" s="41"/>
      <c r="UN42" s="41"/>
      <c r="UO42" s="41"/>
      <c r="UP42" s="41"/>
      <c r="UQ42" s="41"/>
      <c r="UR42" s="41"/>
      <c r="US42" s="41"/>
      <c r="UT42" s="41"/>
      <c r="UU42" s="41"/>
      <c r="UV42" s="41"/>
      <c r="UW42" s="41"/>
      <c r="UX42" s="41"/>
      <c r="UY42" s="41"/>
      <c r="UZ42" s="41"/>
      <c r="VA42" s="41"/>
      <c r="VB42" s="41"/>
      <c r="VC42" s="41"/>
      <c r="VD42" s="41"/>
      <c r="VE42" s="41"/>
      <c r="VF42" s="41"/>
      <c r="VG42" s="41"/>
      <c r="VH42" s="41"/>
      <c r="VI42" s="41"/>
      <c r="VJ42" s="41"/>
      <c r="VK42" s="41"/>
      <c r="VL42" s="41"/>
      <c r="VM42" s="41"/>
      <c r="VN42" s="41"/>
      <c r="VO42" s="41"/>
      <c r="VP42" s="41"/>
      <c r="VQ42" s="41"/>
      <c r="VR42" s="41"/>
      <c r="VS42" s="41"/>
      <c r="VT42" s="41"/>
      <c r="VU42" s="41"/>
      <c r="VV42" s="41"/>
      <c r="VW42" s="41"/>
      <c r="VX42" s="41"/>
      <c r="VY42" s="41"/>
      <c r="VZ42" s="41"/>
      <c r="WA42" s="41"/>
      <c r="WB42" s="41"/>
      <c r="WC42" s="41"/>
      <c r="WD42" s="41"/>
      <c r="WE42" s="41"/>
      <c r="WF42" s="41"/>
      <c r="WG42" s="41"/>
      <c r="WH42" s="41"/>
      <c r="WI42" s="41"/>
      <c r="WJ42" s="41"/>
      <c r="WK42" s="41"/>
      <c r="WL42" s="41"/>
      <c r="WM42" s="41"/>
      <c r="WN42" s="41"/>
      <c r="WO42" s="41"/>
      <c r="WP42" s="41"/>
      <c r="WQ42" s="41"/>
      <c r="WR42" s="41"/>
      <c r="WS42" s="41"/>
      <c r="WT42" s="41"/>
      <c r="WU42" s="41"/>
      <c r="WV42" s="41"/>
      <c r="WW42" s="41"/>
      <c r="WX42" s="41"/>
      <c r="WY42" s="41"/>
      <c r="WZ42" s="41"/>
      <c r="XA42" s="41"/>
      <c r="XB42" s="41"/>
      <c r="XC42" s="41"/>
      <c r="XD42" s="41"/>
      <c r="XE42" s="41"/>
      <c r="XF42" s="41"/>
      <c r="XG42" s="41"/>
      <c r="XH42" s="41"/>
      <c r="XI42" s="41"/>
      <c r="XJ42" s="41"/>
      <c r="XK42" s="41"/>
      <c r="XL42" s="41"/>
      <c r="XM42" s="41"/>
      <c r="XN42" s="41"/>
      <c r="XO42" s="41"/>
      <c r="XP42" s="41"/>
      <c r="XQ42" s="41"/>
      <c r="XR42" s="41"/>
      <c r="XS42" s="41"/>
      <c r="XT42" s="41"/>
      <c r="XU42" s="41"/>
      <c r="XV42" s="41"/>
      <c r="XW42" s="41"/>
      <c r="XX42" s="41"/>
      <c r="XY42" s="41"/>
      <c r="XZ42" s="41"/>
      <c r="YA42" s="41"/>
      <c r="YB42" s="41"/>
      <c r="YC42" s="41"/>
      <c r="YD42" s="41"/>
      <c r="YE42" s="41"/>
      <c r="YF42" s="41"/>
      <c r="YG42" s="41"/>
      <c r="YH42" s="41"/>
      <c r="YI42" s="41"/>
      <c r="YJ42" s="41"/>
      <c r="YK42" s="41"/>
      <c r="YL42" s="41"/>
      <c r="YM42" s="41"/>
      <c r="YN42" s="41"/>
      <c r="YO42" s="41"/>
      <c r="YP42" s="41"/>
      <c r="YQ42" s="41"/>
      <c r="YR42" s="41"/>
      <c r="YS42" s="41"/>
      <c r="YT42" s="41"/>
      <c r="YU42" s="41"/>
      <c r="YV42" s="41"/>
      <c r="YW42" s="41"/>
      <c r="YX42" s="41"/>
      <c r="YY42" s="41"/>
      <c r="YZ42" s="41"/>
      <c r="ZA42" s="41"/>
      <c r="ZB42" s="41"/>
      <c r="ZC42" s="41"/>
      <c r="ZD42" s="41"/>
      <c r="ZE42" s="41"/>
      <c r="ZF42" s="41"/>
      <c r="ZG42" s="41"/>
      <c r="ZH42" s="41"/>
      <c r="ZI42" s="41"/>
      <c r="ZJ42" s="41"/>
      <c r="ZK42" s="41"/>
      <c r="ZL42" s="41"/>
      <c r="ZM42" s="41"/>
      <c r="ZN42" s="41"/>
      <c r="ZO42" s="41"/>
      <c r="ZP42" s="41"/>
      <c r="ZQ42" s="41"/>
      <c r="ZR42" s="41"/>
      <c r="ZS42" s="41"/>
      <c r="ZT42" s="41"/>
      <c r="ZU42" s="41"/>
      <c r="ZV42" s="41"/>
      <c r="ZW42" s="41"/>
      <c r="ZX42" s="41"/>
      <c r="ZY42" s="41"/>
      <c r="ZZ42" s="41"/>
      <c r="AAA42" s="41"/>
      <c r="AAB42" s="41"/>
      <c r="AAC42" s="41"/>
    </row>
    <row r="43" spans="1:705" s="41" customFormat="1" ht="42" hidden="1" x14ac:dyDescent="0.3">
      <c r="A43" s="26">
        <v>39</v>
      </c>
      <c r="B43" s="137">
        <v>239519</v>
      </c>
      <c r="C43" s="138">
        <v>39</v>
      </c>
      <c r="D43" s="139">
        <v>45909</v>
      </c>
      <c r="E43" s="139">
        <f t="shared" si="8"/>
        <v>45908</v>
      </c>
      <c r="F43" s="139">
        <f t="shared" si="5"/>
        <v>45919</v>
      </c>
      <c r="G43" s="139">
        <v>45970</v>
      </c>
      <c r="H43" s="139">
        <v>45964</v>
      </c>
      <c r="I43" s="139" t="s">
        <v>123</v>
      </c>
      <c r="J43" s="140" t="s">
        <v>161</v>
      </c>
      <c r="K43" s="141">
        <f t="shared" si="9"/>
        <v>45</v>
      </c>
      <c r="L43" s="142">
        <v>1141247</v>
      </c>
      <c r="M43" s="140" t="s">
        <v>15</v>
      </c>
      <c r="N43" s="140">
        <v>803248</v>
      </c>
      <c r="O43" s="140" t="s">
        <v>246</v>
      </c>
      <c r="P43" s="143">
        <v>45931</v>
      </c>
      <c r="Q43" s="143">
        <v>46107</v>
      </c>
      <c r="R43" s="137" t="s">
        <v>211</v>
      </c>
      <c r="S43" s="144">
        <v>19325</v>
      </c>
      <c r="T43" s="145">
        <v>1</v>
      </c>
      <c r="U43" s="137" t="s">
        <v>162</v>
      </c>
      <c r="V43" s="146">
        <v>125</v>
      </c>
      <c r="W43" s="146">
        <v>125</v>
      </c>
      <c r="X43" s="147">
        <v>0</v>
      </c>
      <c r="Y43" s="146">
        <v>0</v>
      </c>
      <c r="Z43" s="146">
        <v>0</v>
      </c>
      <c r="AA43" s="146">
        <v>0</v>
      </c>
      <c r="AB43" s="146">
        <v>125</v>
      </c>
      <c r="AC43" s="146">
        <v>125</v>
      </c>
      <c r="AD43" s="146">
        <v>0</v>
      </c>
      <c r="AE43" s="146">
        <v>0</v>
      </c>
      <c r="AF43" s="146">
        <v>0</v>
      </c>
      <c r="AG43" s="146">
        <v>0</v>
      </c>
      <c r="AH43" s="146">
        <v>1</v>
      </c>
      <c r="AI43" s="146">
        <v>1</v>
      </c>
      <c r="AJ43" s="146"/>
      <c r="AK43" s="146"/>
      <c r="AL43" s="146">
        <v>1</v>
      </c>
      <c r="AM43" s="146">
        <v>1</v>
      </c>
      <c r="AN43" s="146">
        <v>1</v>
      </c>
      <c r="AO43" s="146">
        <v>1</v>
      </c>
      <c r="AP43" s="146">
        <v>2</v>
      </c>
      <c r="AQ43" s="146">
        <v>2</v>
      </c>
      <c r="AR43" s="154">
        <v>0</v>
      </c>
      <c r="AS43" s="154">
        <v>0</v>
      </c>
      <c r="AT43" s="146">
        <v>1</v>
      </c>
      <c r="AU43" s="146">
        <v>1</v>
      </c>
      <c r="AV43" s="154">
        <v>0</v>
      </c>
      <c r="AW43" s="154">
        <v>0</v>
      </c>
      <c r="AX43" s="146">
        <f t="shared" si="6"/>
        <v>17055</v>
      </c>
      <c r="AY43" s="146">
        <f t="shared" si="7"/>
        <v>17055</v>
      </c>
      <c r="AZ43" s="140" t="s">
        <v>562</v>
      </c>
      <c r="BA43" s="140" t="s">
        <v>562</v>
      </c>
      <c r="BB43" s="140">
        <v>3</v>
      </c>
      <c r="BC43" s="148">
        <v>39</v>
      </c>
      <c r="BD43" s="149"/>
      <c r="BE43" s="145"/>
      <c r="BF43" s="150"/>
      <c r="BG43" s="152">
        <v>45931</v>
      </c>
      <c r="BH43" s="153" t="s">
        <v>535</v>
      </c>
      <c r="BI43" s="153" t="s">
        <v>562</v>
      </c>
    </row>
    <row r="44" spans="1:705" s="42" customFormat="1" ht="42" hidden="1" x14ac:dyDescent="0.3">
      <c r="A44" s="26">
        <v>40</v>
      </c>
      <c r="B44" s="140">
        <v>239561</v>
      </c>
      <c r="C44" s="140">
        <v>40</v>
      </c>
      <c r="D44" s="139">
        <v>45910</v>
      </c>
      <c r="E44" s="139">
        <f t="shared" si="8"/>
        <v>45909</v>
      </c>
      <c r="F44" s="139">
        <f t="shared" si="5"/>
        <v>45920</v>
      </c>
      <c r="G44" s="139">
        <v>45920</v>
      </c>
      <c r="H44" s="139">
        <v>45923</v>
      </c>
      <c r="I44" s="140" t="s">
        <v>75</v>
      </c>
      <c r="J44" s="140" t="s">
        <v>178</v>
      </c>
      <c r="K44" s="141">
        <f t="shared" si="9"/>
        <v>3</v>
      </c>
      <c r="L44" s="140">
        <v>1142009</v>
      </c>
      <c r="M44" s="140" t="s">
        <v>15</v>
      </c>
      <c r="N44" s="140">
        <v>803255</v>
      </c>
      <c r="O44" s="140" t="s">
        <v>246</v>
      </c>
      <c r="P44" s="143">
        <v>45917</v>
      </c>
      <c r="Q44" s="143">
        <v>45932</v>
      </c>
      <c r="R44" s="137" t="s">
        <v>211</v>
      </c>
      <c r="S44" s="140">
        <v>12355</v>
      </c>
      <c r="T44" s="154">
        <v>1</v>
      </c>
      <c r="U44" s="140" t="s">
        <v>98</v>
      </c>
      <c r="V44" s="154">
        <v>5</v>
      </c>
      <c r="W44" s="154">
        <v>5</v>
      </c>
      <c r="X44" s="155">
        <v>0</v>
      </c>
      <c r="Y44" s="154">
        <v>0</v>
      </c>
      <c r="Z44" s="154">
        <v>0</v>
      </c>
      <c r="AA44" s="154">
        <v>0</v>
      </c>
      <c r="AB44" s="154">
        <v>5</v>
      </c>
      <c r="AC44" s="154">
        <v>5</v>
      </c>
      <c r="AD44" s="154">
        <v>0</v>
      </c>
      <c r="AE44" s="154">
        <v>0</v>
      </c>
      <c r="AF44" s="154">
        <v>0</v>
      </c>
      <c r="AG44" s="154">
        <v>0</v>
      </c>
      <c r="AH44" s="154">
        <v>1</v>
      </c>
      <c r="AI44" s="154">
        <v>1</v>
      </c>
      <c r="AJ44" s="154">
        <v>0</v>
      </c>
      <c r="AK44" s="154">
        <v>0</v>
      </c>
      <c r="AL44" s="154">
        <v>0</v>
      </c>
      <c r="AM44" s="154">
        <v>0</v>
      </c>
      <c r="AN44" s="154">
        <v>1</v>
      </c>
      <c r="AO44" s="154">
        <v>1</v>
      </c>
      <c r="AP44" s="154">
        <v>1</v>
      </c>
      <c r="AQ44" s="154">
        <v>1</v>
      </c>
      <c r="AR44" s="154">
        <v>0</v>
      </c>
      <c r="AS44" s="154">
        <v>0</v>
      </c>
      <c r="AT44" s="154">
        <v>1</v>
      </c>
      <c r="AU44" s="154">
        <v>1</v>
      </c>
      <c r="AV44" s="154">
        <v>0</v>
      </c>
      <c r="AW44" s="154">
        <v>0</v>
      </c>
      <c r="AX44" s="146">
        <f t="shared" si="6"/>
        <v>1795</v>
      </c>
      <c r="AY44" s="146">
        <f t="shared" si="7"/>
        <v>1795</v>
      </c>
      <c r="AZ44" s="140" t="s">
        <v>562</v>
      </c>
      <c r="BA44" s="140" t="s">
        <v>562</v>
      </c>
      <c r="BB44" s="140">
        <v>1</v>
      </c>
      <c r="BC44" s="140">
        <v>40</v>
      </c>
      <c r="BD44" s="149"/>
      <c r="BE44" s="145"/>
      <c r="BF44" s="150"/>
      <c r="BG44" s="152">
        <v>45901</v>
      </c>
      <c r="BH44" s="153" t="s">
        <v>535</v>
      </c>
      <c r="BI44" s="153" t="s">
        <v>562</v>
      </c>
      <c r="CC44" s="41"/>
      <c r="CD44" s="41"/>
      <c r="CE44" s="41"/>
      <c r="CF44" s="41"/>
      <c r="CG44" s="41"/>
      <c r="CH44" s="41"/>
      <c r="CI44" s="41"/>
      <c r="CJ44" s="41"/>
      <c r="CK44" s="41"/>
      <c r="CL44" s="41"/>
      <c r="CM44" s="41"/>
      <c r="CN44" s="41"/>
      <c r="CO44" s="41"/>
      <c r="CP44" s="41"/>
      <c r="CQ44" s="41"/>
      <c r="CR44" s="41"/>
      <c r="CS44" s="41"/>
      <c r="CT44" s="41"/>
      <c r="CU44" s="41"/>
      <c r="CV44" s="41"/>
      <c r="CW44" s="41"/>
      <c r="CX44" s="41"/>
      <c r="CY44" s="41"/>
      <c r="CZ44" s="41"/>
      <c r="DA44" s="41"/>
      <c r="DB44" s="41"/>
      <c r="DC44" s="41"/>
      <c r="DD44" s="41"/>
      <c r="DE44" s="41"/>
      <c r="DF44" s="41"/>
      <c r="DG44" s="41"/>
      <c r="DH44" s="41"/>
      <c r="DI44" s="41"/>
      <c r="DJ44" s="41"/>
      <c r="DK44" s="41"/>
      <c r="DL44" s="41"/>
      <c r="DM44" s="41"/>
      <c r="DN44" s="41"/>
      <c r="DO44" s="41"/>
      <c r="DP44" s="41"/>
      <c r="DQ44" s="41"/>
      <c r="DR44" s="41"/>
      <c r="DS44" s="41"/>
      <c r="DT44" s="41"/>
      <c r="DU44" s="41"/>
      <c r="DV44" s="41"/>
      <c r="DW44" s="41"/>
      <c r="DX44" s="41"/>
      <c r="DY44" s="41"/>
      <c r="DZ44" s="41"/>
      <c r="EA44" s="41"/>
      <c r="EB44" s="41"/>
      <c r="EC44" s="41"/>
      <c r="ED44" s="41"/>
      <c r="EE44" s="41"/>
      <c r="EF44" s="41"/>
      <c r="EG44" s="41"/>
      <c r="EH44" s="41"/>
      <c r="EI44" s="41"/>
      <c r="EJ44" s="41"/>
      <c r="EK44" s="41"/>
      <c r="EL44" s="41"/>
      <c r="EM44" s="41"/>
      <c r="EN44" s="41"/>
      <c r="EO44" s="41"/>
      <c r="EP44" s="41"/>
      <c r="EQ44" s="41"/>
      <c r="ER44" s="41"/>
      <c r="ES44" s="41"/>
      <c r="ET44" s="41"/>
      <c r="EU44" s="41"/>
      <c r="EV44" s="41"/>
      <c r="EW44" s="41"/>
      <c r="EX44" s="41"/>
      <c r="EY44" s="41"/>
      <c r="EZ44" s="41"/>
      <c r="FA44" s="41"/>
      <c r="FB44" s="41"/>
      <c r="FC44" s="41"/>
      <c r="FD44" s="41"/>
      <c r="FE44" s="41"/>
      <c r="FF44" s="41"/>
      <c r="FG44" s="41"/>
      <c r="FH44" s="41"/>
      <c r="FI44" s="41"/>
      <c r="FJ44" s="41"/>
      <c r="FK44" s="41"/>
      <c r="FL44" s="41"/>
      <c r="FM44" s="41"/>
      <c r="FN44" s="41"/>
      <c r="FO44" s="41"/>
      <c r="FP44" s="41"/>
      <c r="FQ44" s="41"/>
      <c r="FR44" s="41"/>
      <c r="FS44" s="41"/>
      <c r="FT44" s="41"/>
      <c r="FU44" s="41"/>
      <c r="FV44" s="41"/>
      <c r="FW44" s="41"/>
      <c r="FX44" s="41"/>
      <c r="FY44" s="41"/>
      <c r="FZ44" s="41"/>
      <c r="GA44" s="41"/>
      <c r="GB44" s="41"/>
      <c r="GC44" s="41"/>
      <c r="GD44" s="41"/>
      <c r="GE44" s="41"/>
      <c r="GF44" s="41"/>
      <c r="GG44" s="41"/>
      <c r="GH44" s="41"/>
      <c r="GI44" s="41"/>
      <c r="GJ44" s="41"/>
      <c r="GK44" s="41"/>
      <c r="GL44" s="41"/>
      <c r="GM44" s="41"/>
      <c r="GN44" s="41"/>
      <c r="GO44" s="41"/>
      <c r="GP44" s="41"/>
      <c r="GQ44" s="41"/>
      <c r="GR44" s="41"/>
      <c r="GS44" s="41"/>
      <c r="GT44" s="41"/>
      <c r="GU44" s="41"/>
      <c r="GV44" s="41"/>
      <c r="GW44" s="41"/>
      <c r="GX44" s="41"/>
      <c r="GY44" s="41"/>
      <c r="GZ44" s="41"/>
      <c r="HA44" s="41"/>
      <c r="HB44" s="41"/>
      <c r="HC44" s="41"/>
      <c r="HD44" s="41"/>
      <c r="HE44" s="41"/>
      <c r="HF44" s="41"/>
      <c r="HG44" s="41"/>
      <c r="HH44" s="41"/>
      <c r="HI44" s="41"/>
      <c r="HJ44" s="41"/>
      <c r="HK44" s="41"/>
      <c r="HL44" s="41"/>
      <c r="HM44" s="41"/>
      <c r="HN44" s="41"/>
      <c r="HO44" s="41"/>
      <c r="HP44" s="41"/>
      <c r="HQ44" s="41"/>
      <c r="HR44" s="41"/>
      <c r="HS44" s="41"/>
      <c r="HT44" s="41"/>
      <c r="HU44" s="41"/>
      <c r="HV44" s="41"/>
      <c r="HW44" s="41"/>
      <c r="HX44" s="41"/>
      <c r="HY44" s="41"/>
      <c r="HZ44" s="41"/>
      <c r="IA44" s="41"/>
      <c r="IB44" s="41"/>
      <c r="IC44" s="41"/>
      <c r="ID44" s="41"/>
      <c r="IE44" s="41"/>
      <c r="IF44" s="41"/>
      <c r="IG44" s="41"/>
      <c r="IH44" s="41"/>
      <c r="II44" s="41"/>
      <c r="IJ44" s="41"/>
      <c r="IK44" s="41"/>
      <c r="IL44" s="41"/>
      <c r="IM44" s="41"/>
      <c r="IN44" s="41"/>
      <c r="IO44" s="41"/>
      <c r="IP44" s="41"/>
      <c r="IQ44" s="41"/>
      <c r="IR44" s="41"/>
      <c r="IS44" s="41"/>
      <c r="IT44" s="41"/>
      <c r="IU44" s="41"/>
      <c r="IV44" s="41"/>
      <c r="IW44" s="41"/>
      <c r="IX44" s="41"/>
      <c r="IY44" s="41"/>
      <c r="IZ44" s="41"/>
      <c r="JA44" s="41"/>
      <c r="JB44" s="41"/>
      <c r="JC44" s="41"/>
      <c r="JD44" s="41"/>
      <c r="JE44" s="41"/>
      <c r="JF44" s="41"/>
      <c r="JG44" s="41"/>
      <c r="JH44" s="41"/>
      <c r="JI44" s="41"/>
      <c r="JJ44" s="41"/>
      <c r="JK44" s="41"/>
      <c r="JL44" s="41"/>
      <c r="JM44" s="41"/>
      <c r="JN44" s="41"/>
      <c r="JO44" s="41"/>
      <c r="JP44" s="41"/>
      <c r="JQ44" s="41"/>
      <c r="JR44" s="41"/>
      <c r="JS44" s="41"/>
      <c r="JT44" s="41"/>
      <c r="JU44" s="41"/>
      <c r="JV44" s="41"/>
      <c r="JW44" s="41"/>
      <c r="JX44" s="41"/>
      <c r="JY44" s="41"/>
      <c r="JZ44" s="41"/>
      <c r="KA44" s="41"/>
      <c r="KB44" s="41"/>
      <c r="KC44" s="41"/>
      <c r="KD44" s="41"/>
      <c r="KE44" s="41"/>
      <c r="KF44" s="41"/>
      <c r="KG44" s="41"/>
      <c r="KH44" s="41"/>
      <c r="KI44" s="41"/>
      <c r="KJ44" s="41"/>
      <c r="KK44" s="41"/>
      <c r="KL44" s="41"/>
      <c r="KM44" s="41"/>
      <c r="KN44" s="41"/>
      <c r="KO44" s="41"/>
      <c r="KP44" s="41"/>
      <c r="KQ44" s="41"/>
      <c r="KR44" s="41"/>
      <c r="KS44" s="41"/>
      <c r="KT44" s="41"/>
      <c r="KU44" s="41"/>
      <c r="KV44" s="41"/>
      <c r="KW44" s="41"/>
      <c r="KX44" s="41"/>
      <c r="KY44" s="41"/>
      <c r="KZ44" s="41"/>
      <c r="LA44" s="41"/>
      <c r="LB44" s="41"/>
      <c r="LC44" s="41"/>
      <c r="LD44" s="41"/>
      <c r="LE44" s="41"/>
      <c r="LF44" s="41"/>
      <c r="LG44" s="41"/>
      <c r="LH44" s="41"/>
      <c r="LI44" s="41"/>
      <c r="LJ44" s="41"/>
      <c r="LK44" s="41"/>
      <c r="LL44" s="41"/>
      <c r="LM44" s="41"/>
      <c r="LN44" s="41"/>
      <c r="LO44" s="41"/>
      <c r="LP44" s="41"/>
      <c r="LQ44" s="41"/>
      <c r="LR44" s="41"/>
      <c r="LS44" s="41"/>
      <c r="LT44" s="41"/>
      <c r="LU44" s="41"/>
      <c r="LV44" s="41"/>
      <c r="LW44" s="41"/>
      <c r="LX44" s="41"/>
      <c r="LY44" s="41"/>
      <c r="LZ44" s="41"/>
      <c r="MA44" s="41"/>
      <c r="MB44" s="41"/>
      <c r="MC44" s="41"/>
      <c r="MD44" s="41"/>
      <c r="ME44" s="41"/>
      <c r="MF44" s="41"/>
      <c r="MG44" s="41"/>
      <c r="MH44" s="41"/>
      <c r="MI44" s="41"/>
      <c r="MJ44" s="41"/>
      <c r="MK44" s="41"/>
      <c r="ML44" s="41"/>
      <c r="MM44" s="41"/>
      <c r="MN44" s="41"/>
      <c r="MO44" s="41"/>
      <c r="MP44" s="41"/>
      <c r="MQ44" s="41"/>
      <c r="MR44" s="41"/>
      <c r="MS44" s="41"/>
      <c r="MT44" s="41"/>
      <c r="MU44" s="41"/>
      <c r="MV44" s="41"/>
      <c r="MW44" s="41"/>
      <c r="MX44" s="41"/>
      <c r="MY44" s="41"/>
      <c r="MZ44" s="41"/>
      <c r="NA44" s="41"/>
      <c r="NB44" s="41"/>
      <c r="NC44" s="41"/>
      <c r="ND44" s="41"/>
      <c r="NE44" s="41"/>
      <c r="NF44" s="41"/>
      <c r="NG44" s="41"/>
      <c r="NH44" s="41"/>
      <c r="NI44" s="41"/>
      <c r="NJ44" s="41"/>
      <c r="NK44" s="41"/>
      <c r="NL44" s="41"/>
      <c r="NM44" s="41"/>
      <c r="NN44" s="41"/>
      <c r="NO44" s="41"/>
      <c r="NP44" s="41"/>
      <c r="NQ44" s="41"/>
      <c r="NR44" s="41"/>
      <c r="NS44" s="41"/>
      <c r="NT44" s="41"/>
      <c r="NU44" s="41"/>
      <c r="NV44" s="41"/>
      <c r="NW44" s="41"/>
      <c r="NX44" s="41"/>
      <c r="NY44" s="41"/>
      <c r="NZ44" s="41"/>
      <c r="OA44" s="41"/>
      <c r="OB44" s="41"/>
      <c r="OC44" s="41"/>
      <c r="OD44" s="41"/>
      <c r="OE44" s="41"/>
      <c r="OF44" s="41"/>
      <c r="OG44" s="41"/>
      <c r="OH44" s="41"/>
      <c r="OI44" s="41"/>
      <c r="OJ44" s="41"/>
      <c r="OK44" s="41"/>
      <c r="OL44" s="41"/>
      <c r="OM44" s="41"/>
      <c r="ON44" s="41"/>
      <c r="OO44" s="41"/>
      <c r="OP44" s="41"/>
      <c r="OQ44" s="41"/>
      <c r="OR44" s="41"/>
      <c r="OS44" s="41"/>
      <c r="OT44" s="41"/>
      <c r="OU44" s="41"/>
      <c r="OV44" s="41"/>
      <c r="OW44" s="41"/>
      <c r="OX44" s="41"/>
      <c r="OY44" s="41"/>
      <c r="OZ44" s="41"/>
      <c r="PA44" s="41"/>
      <c r="PB44" s="41"/>
      <c r="PC44" s="41"/>
      <c r="PD44" s="41"/>
      <c r="PE44" s="41"/>
      <c r="PF44" s="41"/>
      <c r="PG44" s="41"/>
      <c r="PH44" s="41"/>
      <c r="PI44" s="41"/>
      <c r="PJ44" s="41"/>
      <c r="PK44" s="41"/>
      <c r="PL44" s="41"/>
      <c r="PM44" s="41"/>
      <c r="PN44" s="41"/>
      <c r="PO44" s="41"/>
      <c r="PP44" s="41"/>
      <c r="PQ44" s="41"/>
      <c r="PR44" s="41"/>
      <c r="PS44" s="41"/>
      <c r="PT44" s="41"/>
      <c r="PU44" s="41"/>
      <c r="PV44" s="41"/>
      <c r="PW44" s="41"/>
      <c r="PX44" s="41"/>
      <c r="PY44" s="41"/>
      <c r="PZ44" s="41"/>
      <c r="QA44" s="41"/>
      <c r="QB44" s="41"/>
      <c r="QC44" s="41"/>
      <c r="QD44" s="41"/>
      <c r="QE44" s="41"/>
      <c r="QF44" s="41"/>
      <c r="QG44" s="41"/>
      <c r="QH44" s="41"/>
      <c r="QI44" s="41"/>
      <c r="QJ44" s="41"/>
      <c r="QK44" s="41"/>
      <c r="QL44" s="41"/>
      <c r="QM44" s="41"/>
      <c r="QN44" s="41"/>
      <c r="QO44" s="41"/>
      <c r="QP44" s="41"/>
      <c r="QQ44" s="41"/>
      <c r="QR44" s="41"/>
      <c r="QS44" s="41"/>
      <c r="QT44" s="41"/>
      <c r="QU44" s="41"/>
      <c r="QV44" s="41"/>
      <c r="QW44" s="41"/>
      <c r="QX44" s="41"/>
      <c r="QY44" s="41"/>
      <c r="QZ44" s="41"/>
      <c r="RA44" s="41"/>
      <c r="RB44" s="41"/>
      <c r="RC44" s="41"/>
      <c r="RD44" s="41"/>
      <c r="RE44" s="41"/>
      <c r="RF44" s="41"/>
      <c r="RG44" s="41"/>
      <c r="RH44" s="41"/>
      <c r="RI44" s="41"/>
      <c r="RJ44" s="41"/>
      <c r="RK44" s="41"/>
      <c r="RL44" s="41"/>
      <c r="RM44" s="41"/>
      <c r="RN44" s="41"/>
      <c r="RO44" s="41"/>
      <c r="RP44" s="41"/>
      <c r="RQ44" s="41"/>
      <c r="RR44" s="41"/>
      <c r="RS44" s="41"/>
      <c r="RT44" s="41"/>
      <c r="RU44" s="41"/>
      <c r="RV44" s="41"/>
      <c r="RW44" s="41"/>
      <c r="RX44" s="41"/>
      <c r="RY44" s="41"/>
      <c r="RZ44" s="41"/>
      <c r="SA44" s="41"/>
      <c r="SB44" s="41"/>
      <c r="SC44" s="41"/>
      <c r="SD44" s="41"/>
      <c r="SE44" s="41"/>
      <c r="SF44" s="41"/>
      <c r="SG44" s="41"/>
      <c r="SH44" s="41"/>
      <c r="SI44" s="41"/>
      <c r="SJ44" s="41"/>
      <c r="SK44" s="41"/>
      <c r="SL44" s="41"/>
      <c r="SM44" s="41"/>
      <c r="SN44" s="41"/>
      <c r="SO44" s="41"/>
      <c r="SP44" s="41"/>
      <c r="SQ44" s="41"/>
      <c r="SR44" s="41"/>
      <c r="SS44" s="41"/>
      <c r="ST44" s="41"/>
      <c r="SU44" s="41"/>
      <c r="SV44" s="41"/>
      <c r="SW44" s="41"/>
      <c r="SX44" s="41"/>
      <c r="SY44" s="41"/>
      <c r="SZ44" s="41"/>
      <c r="TA44" s="41"/>
      <c r="TB44" s="41"/>
      <c r="TC44" s="41"/>
      <c r="TD44" s="41"/>
      <c r="TE44" s="41"/>
      <c r="TF44" s="41"/>
      <c r="TG44" s="41"/>
      <c r="TH44" s="41"/>
      <c r="TI44" s="41"/>
      <c r="TJ44" s="41"/>
      <c r="TK44" s="41"/>
      <c r="TL44" s="41"/>
      <c r="TM44" s="41"/>
      <c r="TN44" s="41"/>
      <c r="TO44" s="41"/>
      <c r="TP44" s="41"/>
      <c r="TQ44" s="41"/>
      <c r="TR44" s="41"/>
      <c r="TS44" s="41"/>
      <c r="TT44" s="41"/>
      <c r="TU44" s="41"/>
      <c r="TV44" s="41"/>
      <c r="TW44" s="41"/>
      <c r="TX44" s="41"/>
      <c r="TY44" s="41"/>
      <c r="TZ44" s="41"/>
      <c r="UA44" s="41"/>
      <c r="UB44" s="41"/>
      <c r="UC44" s="41"/>
      <c r="UD44" s="41"/>
      <c r="UE44" s="41"/>
      <c r="UF44" s="41"/>
      <c r="UG44" s="41"/>
      <c r="UH44" s="41"/>
      <c r="UI44" s="41"/>
      <c r="UJ44" s="41"/>
      <c r="UK44" s="41"/>
      <c r="UL44" s="41"/>
      <c r="UM44" s="41"/>
      <c r="UN44" s="41"/>
      <c r="UO44" s="41"/>
      <c r="UP44" s="41"/>
      <c r="UQ44" s="41"/>
      <c r="UR44" s="41"/>
      <c r="US44" s="41"/>
      <c r="UT44" s="41"/>
      <c r="UU44" s="41"/>
      <c r="UV44" s="41"/>
      <c r="UW44" s="41"/>
      <c r="UX44" s="41"/>
      <c r="UY44" s="41"/>
      <c r="UZ44" s="41"/>
      <c r="VA44" s="41"/>
      <c r="VB44" s="41"/>
      <c r="VC44" s="41"/>
      <c r="VD44" s="41"/>
      <c r="VE44" s="41"/>
      <c r="VF44" s="41"/>
      <c r="VG44" s="41"/>
      <c r="VH44" s="41"/>
      <c r="VI44" s="41"/>
      <c r="VJ44" s="41"/>
      <c r="VK44" s="41"/>
      <c r="VL44" s="41"/>
      <c r="VM44" s="41"/>
      <c r="VN44" s="41"/>
      <c r="VO44" s="41"/>
      <c r="VP44" s="41"/>
      <c r="VQ44" s="41"/>
      <c r="VR44" s="41"/>
      <c r="VS44" s="41"/>
      <c r="VT44" s="41"/>
      <c r="VU44" s="41"/>
      <c r="VV44" s="41"/>
      <c r="VW44" s="41"/>
      <c r="VX44" s="41"/>
      <c r="VY44" s="41"/>
      <c r="VZ44" s="41"/>
      <c r="WA44" s="41"/>
      <c r="WB44" s="41"/>
      <c r="WC44" s="41"/>
      <c r="WD44" s="41"/>
      <c r="WE44" s="41"/>
      <c r="WF44" s="41"/>
      <c r="WG44" s="41"/>
      <c r="WH44" s="41"/>
      <c r="WI44" s="41"/>
      <c r="WJ44" s="41"/>
      <c r="WK44" s="41"/>
      <c r="WL44" s="41"/>
      <c r="WM44" s="41"/>
      <c r="WN44" s="41"/>
      <c r="WO44" s="41"/>
      <c r="WP44" s="41"/>
      <c r="WQ44" s="41"/>
      <c r="WR44" s="41"/>
      <c r="WS44" s="41"/>
      <c r="WT44" s="41"/>
      <c r="WU44" s="41"/>
      <c r="WV44" s="41"/>
      <c r="WW44" s="41"/>
      <c r="WX44" s="41"/>
      <c r="WY44" s="41"/>
      <c r="WZ44" s="41"/>
      <c r="XA44" s="41"/>
      <c r="XB44" s="41"/>
      <c r="XC44" s="41"/>
      <c r="XD44" s="41"/>
      <c r="XE44" s="41"/>
      <c r="XF44" s="41"/>
      <c r="XG44" s="41"/>
      <c r="XH44" s="41"/>
      <c r="XI44" s="41"/>
      <c r="XJ44" s="41"/>
      <c r="XK44" s="41"/>
      <c r="XL44" s="41"/>
      <c r="XM44" s="41"/>
      <c r="XN44" s="41"/>
      <c r="XO44" s="41"/>
      <c r="XP44" s="41"/>
      <c r="XQ44" s="41"/>
      <c r="XR44" s="41"/>
      <c r="XS44" s="41"/>
      <c r="XT44" s="41"/>
      <c r="XU44" s="41"/>
      <c r="XV44" s="41"/>
      <c r="XW44" s="41"/>
      <c r="XX44" s="41"/>
      <c r="XY44" s="41"/>
      <c r="XZ44" s="41"/>
      <c r="YA44" s="41"/>
      <c r="YB44" s="41"/>
      <c r="YC44" s="41"/>
      <c r="YD44" s="41"/>
      <c r="YE44" s="41"/>
      <c r="YF44" s="41"/>
      <c r="YG44" s="41"/>
      <c r="YH44" s="41"/>
      <c r="YI44" s="41"/>
      <c r="YJ44" s="41"/>
      <c r="YK44" s="41"/>
      <c r="YL44" s="41"/>
      <c r="YM44" s="41"/>
      <c r="YN44" s="41"/>
      <c r="YO44" s="41"/>
      <c r="YP44" s="41"/>
      <c r="YQ44" s="41"/>
      <c r="YR44" s="41"/>
      <c r="YS44" s="41"/>
      <c r="YT44" s="41"/>
      <c r="YU44" s="41"/>
      <c r="YV44" s="41"/>
      <c r="YW44" s="41"/>
      <c r="YX44" s="41"/>
      <c r="YY44" s="41"/>
      <c r="YZ44" s="41"/>
      <c r="ZA44" s="41"/>
      <c r="ZB44" s="41"/>
      <c r="ZC44" s="41"/>
      <c r="ZD44" s="41"/>
      <c r="ZE44" s="41"/>
      <c r="ZF44" s="41"/>
      <c r="ZG44" s="41"/>
      <c r="ZH44" s="41"/>
      <c r="ZI44" s="41"/>
      <c r="ZJ44" s="41"/>
      <c r="ZK44" s="41"/>
      <c r="ZL44" s="41"/>
      <c r="ZM44" s="41"/>
      <c r="ZN44" s="41"/>
      <c r="ZO44" s="41"/>
      <c r="ZP44" s="41"/>
      <c r="ZQ44" s="41"/>
      <c r="ZR44" s="41"/>
      <c r="ZS44" s="41"/>
      <c r="ZT44" s="41"/>
      <c r="ZU44" s="41"/>
      <c r="ZV44" s="41"/>
      <c r="ZW44" s="41"/>
      <c r="ZX44" s="41"/>
      <c r="ZY44" s="41"/>
      <c r="ZZ44" s="41"/>
      <c r="AAA44" s="41"/>
      <c r="AAB44" s="41"/>
      <c r="AAC44" s="41"/>
    </row>
    <row r="45" spans="1:705" s="42" customFormat="1" ht="42" hidden="1" x14ac:dyDescent="0.3">
      <c r="A45" s="26">
        <v>41</v>
      </c>
      <c r="B45" s="140">
        <v>239531</v>
      </c>
      <c r="C45" s="140">
        <v>41</v>
      </c>
      <c r="D45" s="139">
        <v>45909</v>
      </c>
      <c r="E45" s="139">
        <f t="shared" si="8"/>
        <v>45908</v>
      </c>
      <c r="F45" s="139">
        <f t="shared" si="5"/>
        <v>45919</v>
      </c>
      <c r="G45" s="139">
        <v>45919</v>
      </c>
      <c r="H45" s="139">
        <v>45923</v>
      </c>
      <c r="I45" s="140" t="s">
        <v>75</v>
      </c>
      <c r="J45" s="140" t="s">
        <v>163</v>
      </c>
      <c r="K45" s="141">
        <f t="shared" si="9"/>
        <v>4</v>
      </c>
      <c r="L45" s="140">
        <v>1141521</v>
      </c>
      <c r="M45" s="140" t="s">
        <v>15</v>
      </c>
      <c r="N45" s="140">
        <v>803255</v>
      </c>
      <c r="O45" s="140" t="s">
        <v>246</v>
      </c>
      <c r="P45" s="143">
        <v>45917</v>
      </c>
      <c r="Q45" s="143">
        <v>45932</v>
      </c>
      <c r="R45" s="137" t="s">
        <v>211</v>
      </c>
      <c r="S45" s="140">
        <v>35039</v>
      </c>
      <c r="T45" s="154">
        <v>1</v>
      </c>
      <c r="U45" s="140" t="s">
        <v>98</v>
      </c>
      <c r="V45" s="154">
        <v>7</v>
      </c>
      <c r="W45" s="154">
        <v>7</v>
      </c>
      <c r="X45" s="155">
        <v>0</v>
      </c>
      <c r="Y45" s="154">
        <v>0</v>
      </c>
      <c r="Z45" s="154">
        <v>0</v>
      </c>
      <c r="AA45" s="154">
        <v>0</v>
      </c>
      <c r="AB45" s="154">
        <v>0</v>
      </c>
      <c r="AC45" s="154"/>
      <c r="AD45" s="154">
        <v>0</v>
      </c>
      <c r="AE45" s="154">
        <v>0</v>
      </c>
      <c r="AF45" s="154">
        <v>0</v>
      </c>
      <c r="AG45" s="154">
        <v>0</v>
      </c>
      <c r="AH45" s="154">
        <v>1</v>
      </c>
      <c r="AI45" s="154">
        <v>1</v>
      </c>
      <c r="AJ45" s="154">
        <v>0</v>
      </c>
      <c r="AK45" s="154">
        <v>0</v>
      </c>
      <c r="AL45" s="154">
        <v>0</v>
      </c>
      <c r="AM45" s="154">
        <v>0</v>
      </c>
      <c r="AN45" s="154">
        <v>0</v>
      </c>
      <c r="AO45" s="154">
        <v>0</v>
      </c>
      <c r="AP45" s="154">
        <v>1</v>
      </c>
      <c r="AQ45" s="154">
        <v>1</v>
      </c>
      <c r="AR45" s="154">
        <v>0</v>
      </c>
      <c r="AS45" s="154">
        <v>0</v>
      </c>
      <c r="AT45" s="154">
        <v>0</v>
      </c>
      <c r="AU45" s="154">
        <v>0</v>
      </c>
      <c r="AV45" s="154">
        <v>1</v>
      </c>
      <c r="AW45" s="154">
        <v>1</v>
      </c>
      <c r="AX45" s="146">
        <f t="shared" si="6"/>
        <v>2170</v>
      </c>
      <c r="AY45" s="146">
        <f t="shared" si="7"/>
        <v>2170</v>
      </c>
      <c r="AZ45" s="140" t="s">
        <v>562</v>
      </c>
      <c r="BA45" s="140" t="s">
        <v>562</v>
      </c>
      <c r="BB45" s="140">
        <v>1</v>
      </c>
      <c r="BC45" s="140">
        <v>41</v>
      </c>
      <c r="BD45" s="149"/>
      <c r="BE45" s="145"/>
      <c r="BF45" s="150"/>
      <c r="BG45" s="152">
        <v>45901</v>
      </c>
      <c r="BH45" s="153" t="s">
        <v>535</v>
      </c>
      <c r="BI45" s="153" t="s">
        <v>562</v>
      </c>
      <c r="CC45" s="41"/>
      <c r="CD45" s="41"/>
      <c r="CE45" s="41"/>
      <c r="CF45" s="41"/>
      <c r="CG45" s="41"/>
      <c r="CH45" s="41"/>
      <c r="CI45" s="41"/>
      <c r="CJ45" s="41"/>
      <c r="CK45" s="41"/>
      <c r="CL45" s="41"/>
      <c r="CM45" s="41"/>
      <c r="CN45" s="41"/>
      <c r="CO45" s="41"/>
      <c r="CP45" s="41"/>
      <c r="CQ45" s="41"/>
      <c r="CR45" s="41"/>
      <c r="CS45" s="41"/>
      <c r="CT45" s="41"/>
      <c r="CU45" s="41"/>
      <c r="CV45" s="41"/>
      <c r="CW45" s="41"/>
      <c r="CX45" s="41"/>
      <c r="CY45" s="41"/>
      <c r="CZ45" s="41"/>
      <c r="DA45" s="41"/>
      <c r="DB45" s="41"/>
      <c r="DC45" s="41"/>
      <c r="DD45" s="41"/>
      <c r="DE45" s="41"/>
      <c r="DF45" s="41"/>
      <c r="DG45" s="41"/>
      <c r="DH45" s="41"/>
      <c r="DI45" s="41"/>
      <c r="DJ45" s="41"/>
      <c r="DK45" s="41"/>
      <c r="DL45" s="41"/>
      <c r="DM45" s="41"/>
      <c r="DN45" s="41"/>
      <c r="DO45" s="41"/>
      <c r="DP45" s="41"/>
      <c r="DQ45" s="41"/>
      <c r="DR45" s="41"/>
      <c r="DS45" s="41"/>
      <c r="DT45" s="41"/>
      <c r="DU45" s="41"/>
      <c r="DV45" s="41"/>
      <c r="DW45" s="41"/>
      <c r="DX45" s="41"/>
      <c r="DY45" s="41"/>
      <c r="DZ45" s="41"/>
      <c r="EA45" s="41"/>
      <c r="EB45" s="41"/>
      <c r="EC45" s="41"/>
      <c r="ED45" s="41"/>
      <c r="EE45" s="41"/>
      <c r="EF45" s="41"/>
      <c r="EG45" s="41"/>
      <c r="EH45" s="41"/>
      <c r="EI45" s="41"/>
      <c r="EJ45" s="41"/>
      <c r="EK45" s="41"/>
      <c r="EL45" s="41"/>
      <c r="EM45" s="41"/>
      <c r="EN45" s="41"/>
      <c r="EO45" s="41"/>
      <c r="EP45" s="41"/>
      <c r="EQ45" s="41"/>
      <c r="ER45" s="41"/>
      <c r="ES45" s="41"/>
      <c r="ET45" s="41"/>
      <c r="EU45" s="41"/>
      <c r="EV45" s="41"/>
      <c r="EW45" s="41"/>
      <c r="EX45" s="41"/>
      <c r="EY45" s="41"/>
      <c r="EZ45" s="41"/>
      <c r="FA45" s="41"/>
      <c r="FB45" s="41"/>
      <c r="FC45" s="41"/>
      <c r="FD45" s="41"/>
      <c r="FE45" s="41"/>
      <c r="FF45" s="41"/>
      <c r="FG45" s="41"/>
      <c r="FH45" s="41"/>
      <c r="FI45" s="41"/>
      <c r="FJ45" s="41"/>
      <c r="FK45" s="41"/>
      <c r="FL45" s="41"/>
      <c r="FM45" s="41"/>
      <c r="FN45" s="41"/>
      <c r="FO45" s="41"/>
      <c r="FP45" s="41"/>
      <c r="FQ45" s="41"/>
      <c r="FR45" s="41"/>
      <c r="FS45" s="41"/>
      <c r="FT45" s="41"/>
      <c r="FU45" s="41"/>
      <c r="FV45" s="41"/>
      <c r="FW45" s="41"/>
      <c r="FX45" s="41"/>
      <c r="FY45" s="41"/>
      <c r="FZ45" s="41"/>
      <c r="GA45" s="41"/>
      <c r="GB45" s="41"/>
      <c r="GC45" s="41"/>
      <c r="GD45" s="41"/>
      <c r="GE45" s="41"/>
      <c r="GF45" s="41"/>
      <c r="GG45" s="41"/>
      <c r="GH45" s="41"/>
      <c r="GI45" s="41"/>
      <c r="GJ45" s="41"/>
      <c r="GK45" s="41"/>
      <c r="GL45" s="41"/>
      <c r="GM45" s="41"/>
      <c r="GN45" s="41"/>
      <c r="GO45" s="41"/>
      <c r="GP45" s="41"/>
      <c r="GQ45" s="41"/>
      <c r="GR45" s="41"/>
      <c r="GS45" s="41"/>
      <c r="GT45" s="41"/>
      <c r="GU45" s="41"/>
      <c r="GV45" s="41"/>
      <c r="GW45" s="41"/>
      <c r="GX45" s="41"/>
      <c r="GY45" s="41"/>
      <c r="GZ45" s="41"/>
      <c r="HA45" s="41"/>
      <c r="HB45" s="41"/>
      <c r="HC45" s="41"/>
      <c r="HD45" s="41"/>
      <c r="HE45" s="41"/>
      <c r="HF45" s="41"/>
      <c r="HG45" s="41"/>
      <c r="HH45" s="41"/>
      <c r="HI45" s="41"/>
      <c r="HJ45" s="41"/>
      <c r="HK45" s="41"/>
      <c r="HL45" s="41"/>
      <c r="HM45" s="41"/>
      <c r="HN45" s="41"/>
      <c r="HO45" s="41"/>
      <c r="HP45" s="41"/>
      <c r="HQ45" s="41"/>
      <c r="HR45" s="41"/>
      <c r="HS45" s="41"/>
      <c r="HT45" s="41"/>
      <c r="HU45" s="41"/>
      <c r="HV45" s="41"/>
      <c r="HW45" s="41"/>
      <c r="HX45" s="41"/>
      <c r="HY45" s="41"/>
      <c r="HZ45" s="41"/>
      <c r="IA45" s="41"/>
      <c r="IB45" s="41"/>
      <c r="IC45" s="41"/>
      <c r="ID45" s="41"/>
      <c r="IE45" s="41"/>
      <c r="IF45" s="41"/>
      <c r="IG45" s="41"/>
      <c r="IH45" s="41"/>
      <c r="II45" s="41"/>
      <c r="IJ45" s="41"/>
      <c r="IK45" s="41"/>
      <c r="IL45" s="41"/>
      <c r="IM45" s="41"/>
      <c r="IN45" s="41"/>
      <c r="IO45" s="41"/>
      <c r="IP45" s="41"/>
      <c r="IQ45" s="41"/>
      <c r="IR45" s="41"/>
      <c r="IS45" s="41"/>
      <c r="IT45" s="41"/>
      <c r="IU45" s="41"/>
      <c r="IV45" s="41"/>
      <c r="IW45" s="41"/>
      <c r="IX45" s="41"/>
      <c r="IY45" s="41"/>
      <c r="IZ45" s="41"/>
      <c r="JA45" s="41"/>
      <c r="JB45" s="41"/>
      <c r="JC45" s="41"/>
      <c r="JD45" s="41"/>
      <c r="JE45" s="41"/>
      <c r="JF45" s="41"/>
      <c r="JG45" s="41"/>
      <c r="JH45" s="41"/>
      <c r="JI45" s="41"/>
      <c r="JJ45" s="41"/>
      <c r="JK45" s="41"/>
      <c r="JL45" s="41"/>
      <c r="JM45" s="41"/>
      <c r="JN45" s="41"/>
      <c r="JO45" s="41"/>
      <c r="JP45" s="41"/>
      <c r="JQ45" s="41"/>
      <c r="JR45" s="41"/>
      <c r="JS45" s="41"/>
      <c r="JT45" s="41"/>
      <c r="JU45" s="41"/>
      <c r="JV45" s="41"/>
      <c r="JW45" s="41"/>
      <c r="JX45" s="41"/>
      <c r="JY45" s="41"/>
      <c r="JZ45" s="41"/>
      <c r="KA45" s="41"/>
      <c r="KB45" s="41"/>
      <c r="KC45" s="41"/>
      <c r="KD45" s="41"/>
      <c r="KE45" s="41"/>
      <c r="KF45" s="41"/>
      <c r="KG45" s="41"/>
      <c r="KH45" s="41"/>
      <c r="KI45" s="41"/>
      <c r="KJ45" s="41"/>
      <c r="KK45" s="41"/>
      <c r="KL45" s="41"/>
      <c r="KM45" s="41"/>
      <c r="KN45" s="41"/>
      <c r="KO45" s="41"/>
      <c r="KP45" s="41"/>
      <c r="KQ45" s="41"/>
      <c r="KR45" s="41"/>
      <c r="KS45" s="41"/>
      <c r="KT45" s="41"/>
      <c r="KU45" s="41"/>
      <c r="KV45" s="41"/>
      <c r="KW45" s="41"/>
      <c r="KX45" s="41"/>
      <c r="KY45" s="41"/>
      <c r="KZ45" s="41"/>
      <c r="LA45" s="41"/>
      <c r="LB45" s="41"/>
      <c r="LC45" s="41"/>
      <c r="LD45" s="41"/>
      <c r="LE45" s="41"/>
      <c r="LF45" s="41"/>
      <c r="LG45" s="41"/>
      <c r="LH45" s="41"/>
      <c r="LI45" s="41"/>
      <c r="LJ45" s="41"/>
      <c r="LK45" s="41"/>
      <c r="LL45" s="41"/>
      <c r="LM45" s="41"/>
      <c r="LN45" s="41"/>
      <c r="LO45" s="41"/>
      <c r="LP45" s="41"/>
      <c r="LQ45" s="41"/>
      <c r="LR45" s="41"/>
      <c r="LS45" s="41"/>
      <c r="LT45" s="41"/>
      <c r="LU45" s="41"/>
      <c r="LV45" s="41"/>
      <c r="LW45" s="41"/>
      <c r="LX45" s="41"/>
      <c r="LY45" s="41"/>
      <c r="LZ45" s="41"/>
      <c r="MA45" s="41"/>
      <c r="MB45" s="41"/>
      <c r="MC45" s="41"/>
      <c r="MD45" s="41"/>
      <c r="ME45" s="41"/>
      <c r="MF45" s="41"/>
      <c r="MG45" s="41"/>
      <c r="MH45" s="41"/>
      <c r="MI45" s="41"/>
      <c r="MJ45" s="41"/>
      <c r="MK45" s="41"/>
      <c r="ML45" s="41"/>
      <c r="MM45" s="41"/>
      <c r="MN45" s="41"/>
      <c r="MO45" s="41"/>
      <c r="MP45" s="41"/>
      <c r="MQ45" s="41"/>
      <c r="MR45" s="41"/>
      <c r="MS45" s="41"/>
      <c r="MT45" s="41"/>
      <c r="MU45" s="41"/>
      <c r="MV45" s="41"/>
      <c r="MW45" s="41"/>
      <c r="MX45" s="41"/>
      <c r="MY45" s="41"/>
      <c r="MZ45" s="41"/>
      <c r="NA45" s="41"/>
      <c r="NB45" s="41"/>
      <c r="NC45" s="41"/>
      <c r="ND45" s="41"/>
      <c r="NE45" s="41"/>
      <c r="NF45" s="41"/>
      <c r="NG45" s="41"/>
      <c r="NH45" s="41"/>
      <c r="NI45" s="41"/>
      <c r="NJ45" s="41"/>
      <c r="NK45" s="41"/>
      <c r="NL45" s="41"/>
      <c r="NM45" s="41"/>
      <c r="NN45" s="41"/>
      <c r="NO45" s="41"/>
      <c r="NP45" s="41"/>
      <c r="NQ45" s="41"/>
      <c r="NR45" s="41"/>
      <c r="NS45" s="41"/>
      <c r="NT45" s="41"/>
      <c r="NU45" s="41"/>
      <c r="NV45" s="41"/>
      <c r="NW45" s="41"/>
      <c r="NX45" s="41"/>
      <c r="NY45" s="41"/>
      <c r="NZ45" s="41"/>
      <c r="OA45" s="41"/>
      <c r="OB45" s="41"/>
      <c r="OC45" s="41"/>
      <c r="OD45" s="41"/>
      <c r="OE45" s="41"/>
      <c r="OF45" s="41"/>
      <c r="OG45" s="41"/>
      <c r="OH45" s="41"/>
      <c r="OI45" s="41"/>
      <c r="OJ45" s="41"/>
      <c r="OK45" s="41"/>
      <c r="OL45" s="41"/>
      <c r="OM45" s="41"/>
      <c r="ON45" s="41"/>
      <c r="OO45" s="41"/>
      <c r="OP45" s="41"/>
      <c r="OQ45" s="41"/>
      <c r="OR45" s="41"/>
      <c r="OS45" s="41"/>
      <c r="OT45" s="41"/>
      <c r="OU45" s="41"/>
      <c r="OV45" s="41"/>
      <c r="OW45" s="41"/>
      <c r="OX45" s="41"/>
      <c r="OY45" s="41"/>
      <c r="OZ45" s="41"/>
      <c r="PA45" s="41"/>
      <c r="PB45" s="41"/>
      <c r="PC45" s="41"/>
      <c r="PD45" s="41"/>
      <c r="PE45" s="41"/>
      <c r="PF45" s="41"/>
      <c r="PG45" s="41"/>
      <c r="PH45" s="41"/>
      <c r="PI45" s="41"/>
      <c r="PJ45" s="41"/>
      <c r="PK45" s="41"/>
      <c r="PL45" s="41"/>
      <c r="PM45" s="41"/>
      <c r="PN45" s="41"/>
      <c r="PO45" s="41"/>
      <c r="PP45" s="41"/>
      <c r="PQ45" s="41"/>
      <c r="PR45" s="41"/>
      <c r="PS45" s="41"/>
      <c r="PT45" s="41"/>
      <c r="PU45" s="41"/>
      <c r="PV45" s="41"/>
      <c r="PW45" s="41"/>
      <c r="PX45" s="41"/>
      <c r="PY45" s="41"/>
      <c r="PZ45" s="41"/>
      <c r="QA45" s="41"/>
      <c r="QB45" s="41"/>
      <c r="QC45" s="41"/>
      <c r="QD45" s="41"/>
      <c r="QE45" s="41"/>
      <c r="QF45" s="41"/>
      <c r="QG45" s="41"/>
      <c r="QH45" s="41"/>
      <c r="QI45" s="41"/>
      <c r="QJ45" s="41"/>
      <c r="QK45" s="41"/>
      <c r="QL45" s="41"/>
      <c r="QM45" s="41"/>
      <c r="QN45" s="41"/>
      <c r="QO45" s="41"/>
      <c r="QP45" s="41"/>
      <c r="QQ45" s="41"/>
      <c r="QR45" s="41"/>
      <c r="QS45" s="41"/>
      <c r="QT45" s="41"/>
      <c r="QU45" s="41"/>
      <c r="QV45" s="41"/>
      <c r="QW45" s="41"/>
      <c r="QX45" s="41"/>
      <c r="QY45" s="41"/>
      <c r="QZ45" s="41"/>
      <c r="RA45" s="41"/>
      <c r="RB45" s="41"/>
      <c r="RC45" s="41"/>
      <c r="RD45" s="41"/>
      <c r="RE45" s="41"/>
      <c r="RF45" s="41"/>
      <c r="RG45" s="41"/>
      <c r="RH45" s="41"/>
      <c r="RI45" s="41"/>
      <c r="RJ45" s="41"/>
      <c r="RK45" s="41"/>
      <c r="RL45" s="41"/>
      <c r="RM45" s="41"/>
      <c r="RN45" s="41"/>
      <c r="RO45" s="41"/>
      <c r="RP45" s="41"/>
      <c r="RQ45" s="41"/>
      <c r="RR45" s="41"/>
      <c r="RS45" s="41"/>
      <c r="RT45" s="41"/>
      <c r="RU45" s="41"/>
      <c r="RV45" s="41"/>
      <c r="RW45" s="41"/>
      <c r="RX45" s="41"/>
      <c r="RY45" s="41"/>
      <c r="RZ45" s="41"/>
      <c r="SA45" s="41"/>
      <c r="SB45" s="41"/>
      <c r="SC45" s="41"/>
      <c r="SD45" s="41"/>
      <c r="SE45" s="41"/>
      <c r="SF45" s="41"/>
      <c r="SG45" s="41"/>
      <c r="SH45" s="41"/>
      <c r="SI45" s="41"/>
      <c r="SJ45" s="41"/>
      <c r="SK45" s="41"/>
      <c r="SL45" s="41"/>
      <c r="SM45" s="41"/>
      <c r="SN45" s="41"/>
      <c r="SO45" s="41"/>
      <c r="SP45" s="41"/>
      <c r="SQ45" s="41"/>
      <c r="SR45" s="41"/>
      <c r="SS45" s="41"/>
      <c r="ST45" s="41"/>
      <c r="SU45" s="41"/>
      <c r="SV45" s="41"/>
      <c r="SW45" s="41"/>
      <c r="SX45" s="41"/>
      <c r="SY45" s="41"/>
      <c r="SZ45" s="41"/>
      <c r="TA45" s="41"/>
      <c r="TB45" s="41"/>
      <c r="TC45" s="41"/>
      <c r="TD45" s="41"/>
      <c r="TE45" s="41"/>
      <c r="TF45" s="41"/>
      <c r="TG45" s="41"/>
      <c r="TH45" s="41"/>
      <c r="TI45" s="41"/>
      <c r="TJ45" s="41"/>
      <c r="TK45" s="41"/>
      <c r="TL45" s="41"/>
      <c r="TM45" s="41"/>
      <c r="TN45" s="41"/>
      <c r="TO45" s="41"/>
      <c r="TP45" s="41"/>
      <c r="TQ45" s="41"/>
      <c r="TR45" s="41"/>
      <c r="TS45" s="41"/>
      <c r="TT45" s="41"/>
      <c r="TU45" s="41"/>
      <c r="TV45" s="41"/>
      <c r="TW45" s="41"/>
      <c r="TX45" s="41"/>
      <c r="TY45" s="41"/>
      <c r="TZ45" s="41"/>
      <c r="UA45" s="41"/>
      <c r="UB45" s="41"/>
      <c r="UC45" s="41"/>
      <c r="UD45" s="41"/>
      <c r="UE45" s="41"/>
      <c r="UF45" s="41"/>
      <c r="UG45" s="41"/>
      <c r="UH45" s="41"/>
      <c r="UI45" s="41"/>
      <c r="UJ45" s="41"/>
      <c r="UK45" s="41"/>
      <c r="UL45" s="41"/>
      <c r="UM45" s="41"/>
      <c r="UN45" s="41"/>
      <c r="UO45" s="41"/>
      <c r="UP45" s="41"/>
      <c r="UQ45" s="41"/>
      <c r="UR45" s="41"/>
      <c r="US45" s="41"/>
      <c r="UT45" s="41"/>
      <c r="UU45" s="41"/>
      <c r="UV45" s="41"/>
      <c r="UW45" s="41"/>
      <c r="UX45" s="41"/>
      <c r="UY45" s="41"/>
      <c r="UZ45" s="41"/>
      <c r="VA45" s="41"/>
      <c r="VB45" s="41"/>
      <c r="VC45" s="41"/>
      <c r="VD45" s="41"/>
      <c r="VE45" s="41"/>
      <c r="VF45" s="41"/>
      <c r="VG45" s="41"/>
      <c r="VH45" s="41"/>
      <c r="VI45" s="41"/>
      <c r="VJ45" s="41"/>
      <c r="VK45" s="41"/>
      <c r="VL45" s="41"/>
      <c r="VM45" s="41"/>
      <c r="VN45" s="41"/>
      <c r="VO45" s="41"/>
      <c r="VP45" s="41"/>
      <c r="VQ45" s="41"/>
      <c r="VR45" s="41"/>
      <c r="VS45" s="41"/>
      <c r="VT45" s="41"/>
      <c r="VU45" s="41"/>
      <c r="VV45" s="41"/>
      <c r="VW45" s="41"/>
      <c r="VX45" s="41"/>
      <c r="VY45" s="41"/>
      <c r="VZ45" s="41"/>
      <c r="WA45" s="41"/>
      <c r="WB45" s="41"/>
      <c r="WC45" s="41"/>
      <c r="WD45" s="41"/>
      <c r="WE45" s="41"/>
      <c r="WF45" s="41"/>
      <c r="WG45" s="41"/>
      <c r="WH45" s="41"/>
      <c r="WI45" s="41"/>
      <c r="WJ45" s="41"/>
      <c r="WK45" s="41"/>
      <c r="WL45" s="41"/>
      <c r="WM45" s="41"/>
      <c r="WN45" s="41"/>
      <c r="WO45" s="41"/>
      <c r="WP45" s="41"/>
      <c r="WQ45" s="41"/>
      <c r="WR45" s="41"/>
      <c r="WS45" s="41"/>
      <c r="WT45" s="41"/>
      <c r="WU45" s="41"/>
      <c r="WV45" s="41"/>
      <c r="WW45" s="41"/>
      <c r="WX45" s="41"/>
      <c r="WY45" s="41"/>
      <c r="WZ45" s="41"/>
      <c r="XA45" s="41"/>
      <c r="XB45" s="41"/>
      <c r="XC45" s="41"/>
      <c r="XD45" s="41"/>
      <c r="XE45" s="41"/>
      <c r="XF45" s="41"/>
      <c r="XG45" s="41"/>
      <c r="XH45" s="41"/>
      <c r="XI45" s="41"/>
      <c r="XJ45" s="41"/>
      <c r="XK45" s="41"/>
      <c r="XL45" s="41"/>
      <c r="XM45" s="41"/>
      <c r="XN45" s="41"/>
      <c r="XO45" s="41"/>
      <c r="XP45" s="41"/>
      <c r="XQ45" s="41"/>
      <c r="XR45" s="41"/>
      <c r="XS45" s="41"/>
      <c r="XT45" s="41"/>
      <c r="XU45" s="41"/>
      <c r="XV45" s="41"/>
      <c r="XW45" s="41"/>
      <c r="XX45" s="41"/>
      <c r="XY45" s="41"/>
      <c r="XZ45" s="41"/>
      <c r="YA45" s="41"/>
      <c r="YB45" s="41"/>
      <c r="YC45" s="41"/>
      <c r="YD45" s="41"/>
      <c r="YE45" s="41"/>
      <c r="YF45" s="41"/>
      <c r="YG45" s="41"/>
      <c r="YH45" s="41"/>
      <c r="YI45" s="41"/>
      <c r="YJ45" s="41"/>
      <c r="YK45" s="41"/>
      <c r="YL45" s="41"/>
      <c r="YM45" s="41"/>
      <c r="YN45" s="41"/>
      <c r="YO45" s="41"/>
      <c r="YP45" s="41"/>
      <c r="YQ45" s="41"/>
      <c r="YR45" s="41"/>
      <c r="YS45" s="41"/>
      <c r="YT45" s="41"/>
      <c r="YU45" s="41"/>
      <c r="YV45" s="41"/>
      <c r="YW45" s="41"/>
      <c r="YX45" s="41"/>
      <c r="YY45" s="41"/>
      <c r="YZ45" s="41"/>
      <c r="ZA45" s="41"/>
      <c r="ZB45" s="41"/>
      <c r="ZC45" s="41"/>
      <c r="ZD45" s="41"/>
      <c r="ZE45" s="41"/>
      <c r="ZF45" s="41"/>
      <c r="ZG45" s="41"/>
      <c r="ZH45" s="41"/>
      <c r="ZI45" s="41"/>
      <c r="ZJ45" s="41"/>
      <c r="ZK45" s="41"/>
      <c r="ZL45" s="41"/>
      <c r="ZM45" s="41"/>
      <c r="ZN45" s="41"/>
      <c r="ZO45" s="41"/>
      <c r="ZP45" s="41"/>
      <c r="ZQ45" s="41"/>
      <c r="ZR45" s="41"/>
      <c r="ZS45" s="41"/>
      <c r="ZT45" s="41"/>
      <c r="ZU45" s="41"/>
      <c r="ZV45" s="41"/>
      <c r="ZW45" s="41"/>
      <c r="ZX45" s="41"/>
      <c r="ZY45" s="41"/>
      <c r="ZZ45" s="41"/>
      <c r="AAA45" s="41"/>
      <c r="AAB45" s="41"/>
      <c r="AAC45" s="41"/>
    </row>
    <row r="46" spans="1:705" s="42" customFormat="1" ht="42" hidden="1" x14ac:dyDescent="0.3">
      <c r="A46" s="26">
        <v>42</v>
      </c>
      <c r="B46" s="140">
        <v>239532</v>
      </c>
      <c r="C46" s="140">
        <v>42</v>
      </c>
      <c r="D46" s="139">
        <v>45909</v>
      </c>
      <c r="E46" s="139">
        <f t="shared" si="8"/>
        <v>45908</v>
      </c>
      <c r="F46" s="139">
        <f t="shared" si="5"/>
        <v>45919</v>
      </c>
      <c r="G46" s="139">
        <v>45919</v>
      </c>
      <c r="H46" s="139">
        <v>45950</v>
      </c>
      <c r="I46" s="140" t="s">
        <v>75</v>
      </c>
      <c r="J46" s="140" t="s">
        <v>164</v>
      </c>
      <c r="K46" s="141">
        <f t="shared" si="9"/>
        <v>31</v>
      </c>
      <c r="L46" s="140">
        <v>1141531</v>
      </c>
      <c r="M46" s="140" t="s">
        <v>15</v>
      </c>
      <c r="N46" s="140">
        <v>803255</v>
      </c>
      <c r="O46" s="140" t="s">
        <v>246</v>
      </c>
      <c r="P46" s="143">
        <v>45917</v>
      </c>
      <c r="Q46" s="143">
        <v>45932</v>
      </c>
      <c r="R46" s="137" t="s">
        <v>211</v>
      </c>
      <c r="S46" s="140">
        <v>35038</v>
      </c>
      <c r="T46" s="154">
        <v>1</v>
      </c>
      <c r="U46" s="140" t="s">
        <v>98</v>
      </c>
      <c r="V46" s="154">
        <v>15</v>
      </c>
      <c r="W46" s="154">
        <v>15</v>
      </c>
      <c r="X46" s="155">
        <v>0</v>
      </c>
      <c r="Y46" s="154">
        <v>0</v>
      </c>
      <c r="Z46" s="154">
        <v>0</v>
      </c>
      <c r="AA46" s="154">
        <v>0</v>
      </c>
      <c r="AB46" s="154">
        <v>6</v>
      </c>
      <c r="AC46" s="154">
        <v>6</v>
      </c>
      <c r="AD46" s="154">
        <v>0</v>
      </c>
      <c r="AE46" s="154">
        <v>0</v>
      </c>
      <c r="AF46" s="154">
        <v>0</v>
      </c>
      <c r="AG46" s="154">
        <v>0</v>
      </c>
      <c r="AH46" s="154">
        <v>1</v>
      </c>
      <c r="AI46" s="154">
        <v>1</v>
      </c>
      <c r="AJ46" s="154">
        <v>0</v>
      </c>
      <c r="AK46" s="154">
        <v>0</v>
      </c>
      <c r="AL46" s="154">
        <v>0</v>
      </c>
      <c r="AM46" s="154">
        <v>0</v>
      </c>
      <c r="AN46" s="154">
        <v>0</v>
      </c>
      <c r="AO46" s="154">
        <v>0</v>
      </c>
      <c r="AP46" s="154">
        <v>1</v>
      </c>
      <c r="AQ46" s="154">
        <v>1</v>
      </c>
      <c r="AR46" s="154">
        <v>0</v>
      </c>
      <c r="AS46" s="154">
        <v>0</v>
      </c>
      <c r="AT46" s="154">
        <v>1</v>
      </c>
      <c r="AU46" s="154">
        <v>1</v>
      </c>
      <c r="AV46" s="154">
        <v>0</v>
      </c>
      <c r="AW46" s="154">
        <v>0</v>
      </c>
      <c r="AX46" s="146">
        <f t="shared" si="6"/>
        <v>2392</v>
      </c>
      <c r="AY46" s="146">
        <f t="shared" si="7"/>
        <v>2392</v>
      </c>
      <c r="AZ46" s="140" t="s">
        <v>562</v>
      </c>
      <c r="BA46" s="140" t="s">
        <v>562</v>
      </c>
      <c r="BB46" s="140">
        <v>2</v>
      </c>
      <c r="BC46" s="140">
        <v>42</v>
      </c>
      <c r="BD46" s="149"/>
      <c r="BE46" s="145"/>
      <c r="BF46" s="150"/>
      <c r="BG46" s="151">
        <v>45931</v>
      </c>
      <c r="BH46" s="153" t="s">
        <v>535</v>
      </c>
      <c r="BI46" s="153" t="s">
        <v>562</v>
      </c>
      <c r="CC46" s="41"/>
      <c r="CD46" s="41"/>
      <c r="CE46" s="41"/>
      <c r="CF46" s="41"/>
      <c r="CG46" s="41"/>
      <c r="CH46" s="41"/>
      <c r="CI46" s="41"/>
      <c r="CJ46" s="41"/>
      <c r="CK46" s="41"/>
      <c r="CL46" s="41"/>
      <c r="CM46" s="41"/>
      <c r="CN46" s="41"/>
      <c r="CO46" s="41"/>
      <c r="CP46" s="41"/>
      <c r="CQ46" s="41"/>
      <c r="CR46" s="41"/>
      <c r="CS46" s="41"/>
      <c r="CT46" s="41"/>
      <c r="CU46" s="41"/>
      <c r="CV46" s="41"/>
      <c r="CW46" s="41"/>
      <c r="CX46" s="41"/>
      <c r="CY46" s="41"/>
      <c r="CZ46" s="41"/>
      <c r="DA46" s="41"/>
      <c r="DB46" s="41"/>
      <c r="DC46" s="41"/>
      <c r="DD46" s="41"/>
      <c r="DE46" s="41"/>
      <c r="DF46" s="41"/>
      <c r="DG46" s="41"/>
      <c r="DH46" s="41"/>
      <c r="DI46" s="41"/>
      <c r="DJ46" s="41"/>
      <c r="DK46" s="41"/>
      <c r="DL46" s="41"/>
      <c r="DM46" s="41"/>
      <c r="DN46" s="41"/>
      <c r="DO46" s="41"/>
      <c r="DP46" s="41"/>
      <c r="DQ46" s="41"/>
      <c r="DR46" s="41"/>
      <c r="DS46" s="41"/>
      <c r="DT46" s="41"/>
      <c r="DU46" s="41"/>
      <c r="DV46" s="41"/>
      <c r="DW46" s="41"/>
      <c r="DX46" s="41"/>
      <c r="DY46" s="41"/>
      <c r="DZ46" s="41"/>
      <c r="EA46" s="41"/>
      <c r="EB46" s="41"/>
      <c r="EC46" s="41"/>
      <c r="ED46" s="41"/>
      <c r="EE46" s="41"/>
      <c r="EF46" s="41"/>
      <c r="EG46" s="41"/>
      <c r="EH46" s="41"/>
      <c r="EI46" s="41"/>
      <c r="EJ46" s="41"/>
      <c r="EK46" s="41"/>
      <c r="EL46" s="41"/>
      <c r="EM46" s="41"/>
      <c r="EN46" s="41"/>
      <c r="EO46" s="41"/>
      <c r="EP46" s="41"/>
      <c r="EQ46" s="41"/>
      <c r="ER46" s="41"/>
      <c r="ES46" s="41"/>
      <c r="ET46" s="41"/>
      <c r="EU46" s="41"/>
      <c r="EV46" s="41"/>
      <c r="EW46" s="41"/>
      <c r="EX46" s="41"/>
      <c r="EY46" s="41"/>
      <c r="EZ46" s="41"/>
      <c r="FA46" s="41"/>
      <c r="FB46" s="41"/>
      <c r="FC46" s="41"/>
      <c r="FD46" s="41"/>
      <c r="FE46" s="41"/>
      <c r="FF46" s="41"/>
      <c r="FG46" s="41"/>
      <c r="FH46" s="41"/>
      <c r="FI46" s="41"/>
      <c r="FJ46" s="41"/>
      <c r="FK46" s="41"/>
      <c r="FL46" s="41"/>
      <c r="FM46" s="41"/>
      <c r="FN46" s="41"/>
      <c r="FO46" s="41"/>
      <c r="FP46" s="41"/>
      <c r="FQ46" s="41"/>
      <c r="FR46" s="41"/>
      <c r="FS46" s="41"/>
      <c r="FT46" s="41"/>
      <c r="FU46" s="41"/>
      <c r="FV46" s="41"/>
      <c r="FW46" s="41"/>
      <c r="FX46" s="41"/>
      <c r="FY46" s="41"/>
      <c r="FZ46" s="41"/>
      <c r="GA46" s="41"/>
      <c r="GB46" s="41"/>
      <c r="GC46" s="41"/>
      <c r="GD46" s="41"/>
      <c r="GE46" s="41"/>
      <c r="GF46" s="41"/>
      <c r="GG46" s="41"/>
      <c r="GH46" s="41"/>
      <c r="GI46" s="41"/>
      <c r="GJ46" s="41"/>
      <c r="GK46" s="41"/>
      <c r="GL46" s="41"/>
      <c r="GM46" s="41"/>
      <c r="GN46" s="41"/>
      <c r="GO46" s="41"/>
      <c r="GP46" s="41"/>
      <c r="GQ46" s="41"/>
      <c r="GR46" s="41"/>
      <c r="GS46" s="41"/>
      <c r="GT46" s="41"/>
      <c r="GU46" s="41"/>
      <c r="GV46" s="41"/>
      <c r="GW46" s="41"/>
      <c r="GX46" s="41"/>
      <c r="GY46" s="41"/>
      <c r="GZ46" s="41"/>
      <c r="HA46" s="41"/>
      <c r="HB46" s="41"/>
      <c r="HC46" s="41"/>
      <c r="HD46" s="41"/>
      <c r="HE46" s="41"/>
      <c r="HF46" s="41"/>
      <c r="HG46" s="41"/>
      <c r="HH46" s="41"/>
      <c r="HI46" s="41"/>
      <c r="HJ46" s="41"/>
      <c r="HK46" s="41"/>
      <c r="HL46" s="41"/>
      <c r="HM46" s="41"/>
      <c r="HN46" s="41"/>
      <c r="HO46" s="41"/>
      <c r="HP46" s="41"/>
      <c r="HQ46" s="41"/>
      <c r="HR46" s="41"/>
      <c r="HS46" s="41"/>
      <c r="HT46" s="41"/>
      <c r="HU46" s="41"/>
      <c r="HV46" s="41"/>
      <c r="HW46" s="41"/>
      <c r="HX46" s="41"/>
      <c r="HY46" s="41"/>
      <c r="HZ46" s="41"/>
      <c r="IA46" s="41"/>
      <c r="IB46" s="41"/>
      <c r="IC46" s="41"/>
      <c r="ID46" s="41"/>
      <c r="IE46" s="41"/>
      <c r="IF46" s="41"/>
      <c r="IG46" s="41"/>
      <c r="IH46" s="41"/>
      <c r="II46" s="41"/>
      <c r="IJ46" s="41"/>
      <c r="IK46" s="41"/>
      <c r="IL46" s="41"/>
      <c r="IM46" s="41"/>
      <c r="IN46" s="41"/>
      <c r="IO46" s="41"/>
      <c r="IP46" s="41"/>
      <c r="IQ46" s="41"/>
      <c r="IR46" s="41"/>
      <c r="IS46" s="41"/>
      <c r="IT46" s="41"/>
      <c r="IU46" s="41"/>
      <c r="IV46" s="41"/>
      <c r="IW46" s="41"/>
      <c r="IX46" s="41"/>
      <c r="IY46" s="41"/>
      <c r="IZ46" s="41"/>
      <c r="JA46" s="41"/>
      <c r="JB46" s="41"/>
      <c r="JC46" s="41"/>
      <c r="JD46" s="41"/>
      <c r="JE46" s="41"/>
      <c r="JF46" s="41"/>
      <c r="JG46" s="41"/>
      <c r="JH46" s="41"/>
      <c r="JI46" s="41"/>
      <c r="JJ46" s="41"/>
      <c r="JK46" s="41"/>
      <c r="JL46" s="41"/>
      <c r="JM46" s="41"/>
      <c r="JN46" s="41"/>
      <c r="JO46" s="41"/>
      <c r="JP46" s="41"/>
      <c r="JQ46" s="41"/>
      <c r="JR46" s="41"/>
      <c r="JS46" s="41"/>
      <c r="JT46" s="41"/>
      <c r="JU46" s="41"/>
      <c r="JV46" s="41"/>
      <c r="JW46" s="41"/>
      <c r="JX46" s="41"/>
      <c r="JY46" s="41"/>
      <c r="JZ46" s="41"/>
      <c r="KA46" s="41"/>
      <c r="KB46" s="41"/>
      <c r="KC46" s="41"/>
      <c r="KD46" s="41"/>
      <c r="KE46" s="41"/>
      <c r="KF46" s="41"/>
      <c r="KG46" s="41"/>
      <c r="KH46" s="41"/>
      <c r="KI46" s="41"/>
      <c r="KJ46" s="41"/>
      <c r="KK46" s="41"/>
      <c r="KL46" s="41"/>
      <c r="KM46" s="41"/>
      <c r="KN46" s="41"/>
      <c r="KO46" s="41"/>
      <c r="KP46" s="41"/>
      <c r="KQ46" s="41"/>
      <c r="KR46" s="41"/>
      <c r="KS46" s="41"/>
      <c r="KT46" s="41"/>
      <c r="KU46" s="41"/>
      <c r="KV46" s="41"/>
      <c r="KW46" s="41"/>
      <c r="KX46" s="41"/>
      <c r="KY46" s="41"/>
      <c r="KZ46" s="41"/>
      <c r="LA46" s="41"/>
      <c r="LB46" s="41"/>
      <c r="LC46" s="41"/>
      <c r="LD46" s="41"/>
      <c r="LE46" s="41"/>
      <c r="LF46" s="41"/>
      <c r="LG46" s="41"/>
      <c r="LH46" s="41"/>
      <c r="LI46" s="41"/>
      <c r="LJ46" s="41"/>
      <c r="LK46" s="41"/>
      <c r="LL46" s="41"/>
      <c r="LM46" s="41"/>
      <c r="LN46" s="41"/>
      <c r="LO46" s="41"/>
      <c r="LP46" s="41"/>
      <c r="LQ46" s="41"/>
      <c r="LR46" s="41"/>
      <c r="LS46" s="41"/>
      <c r="LT46" s="41"/>
      <c r="LU46" s="41"/>
      <c r="LV46" s="41"/>
      <c r="LW46" s="41"/>
      <c r="LX46" s="41"/>
      <c r="LY46" s="41"/>
      <c r="LZ46" s="41"/>
      <c r="MA46" s="41"/>
      <c r="MB46" s="41"/>
      <c r="MC46" s="41"/>
      <c r="MD46" s="41"/>
      <c r="ME46" s="41"/>
      <c r="MF46" s="41"/>
      <c r="MG46" s="41"/>
      <c r="MH46" s="41"/>
      <c r="MI46" s="41"/>
      <c r="MJ46" s="41"/>
      <c r="MK46" s="41"/>
      <c r="ML46" s="41"/>
      <c r="MM46" s="41"/>
      <c r="MN46" s="41"/>
      <c r="MO46" s="41"/>
      <c r="MP46" s="41"/>
      <c r="MQ46" s="41"/>
      <c r="MR46" s="41"/>
      <c r="MS46" s="41"/>
      <c r="MT46" s="41"/>
      <c r="MU46" s="41"/>
      <c r="MV46" s="41"/>
      <c r="MW46" s="41"/>
      <c r="MX46" s="41"/>
      <c r="MY46" s="41"/>
      <c r="MZ46" s="41"/>
      <c r="NA46" s="41"/>
      <c r="NB46" s="41"/>
      <c r="NC46" s="41"/>
      <c r="ND46" s="41"/>
      <c r="NE46" s="41"/>
      <c r="NF46" s="41"/>
      <c r="NG46" s="41"/>
      <c r="NH46" s="41"/>
      <c r="NI46" s="41"/>
      <c r="NJ46" s="41"/>
      <c r="NK46" s="41"/>
      <c r="NL46" s="41"/>
      <c r="NM46" s="41"/>
      <c r="NN46" s="41"/>
      <c r="NO46" s="41"/>
      <c r="NP46" s="41"/>
      <c r="NQ46" s="41"/>
      <c r="NR46" s="41"/>
      <c r="NS46" s="41"/>
      <c r="NT46" s="41"/>
      <c r="NU46" s="41"/>
      <c r="NV46" s="41"/>
      <c r="NW46" s="41"/>
      <c r="NX46" s="41"/>
      <c r="NY46" s="41"/>
      <c r="NZ46" s="41"/>
      <c r="OA46" s="41"/>
      <c r="OB46" s="41"/>
      <c r="OC46" s="41"/>
      <c r="OD46" s="41"/>
      <c r="OE46" s="41"/>
      <c r="OF46" s="41"/>
      <c r="OG46" s="41"/>
      <c r="OH46" s="41"/>
      <c r="OI46" s="41"/>
      <c r="OJ46" s="41"/>
      <c r="OK46" s="41"/>
      <c r="OL46" s="41"/>
      <c r="OM46" s="41"/>
      <c r="ON46" s="41"/>
      <c r="OO46" s="41"/>
      <c r="OP46" s="41"/>
      <c r="OQ46" s="41"/>
      <c r="OR46" s="41"/>
      <c r="OS46" s="41"/>
      <c r="OT46" s="41"/>
      <c r="OU46" s="41"/>
      <c r="OV46" s="41"/>
      <c r="OW46" s="41"/>
      <c r="OX46" s="41"/>
      <c r="OY46" s="41"/>
      <c r="OZ46" s="41"/>
      <c r="PA46" s="41"/>
      <c r="PB46" s="41"/>
      <c r="PC46" s="41"/>
      <c r="PD46" s="41"/>
      <c r="PE46" s="41"/>
      <c r="PF46" s="41"/>
      <c r="PG46" s="41"/>
      <c r="PH46" s="41"/>
      <c r="PI46" s="41"/>
      <c r="PJ46" s="41"/>
      <c r="PK46" s="41"/>
      <c r="PL46" s="41"/>
      <c r="PM46" s="41"/>
      <c r="PN46" s="41"/>
      <c r="PO46" s="41"/>
      <c r="PP46" s="41"/>
      <c r="PQ46" s="41"/>
      <c r="PR46" s="41"/>
      <c r="PS46" s="41"/>
      <c r="PT46" s="41"/>
      <c r="PU46" s="41"/>
      <c r="PV46" s="41"/>
      <c r="PW46" s="41"/>
      <c r="PX46" s="41"/>
      <c r="PY46" s="41"/>
      <c r="PZ46" s="41"/>
      <c r="QA46" s="41"/>
      <c r="QB46" s="41"/>
      <c r="QC46" s="41"/>
      <c r="QD46" s="41"/>
      <c r="QE46" s="41"/>
      <c r="QF46" s="41"/>
      <c r="QG46" s="41"/>
      <c r="QH46" s="41"/>
      <c r="QI46" s="41"/>
      <c r="QJ46" s="41"/>
      <c r="QK46" s="41"/>
      <c r="QL46" s="41"/>
      <c r="QM46" s="41"/>
      <c r="QN46" s="41"/>
      <c r="QO46" s="41"/>
      <c r="QP46" s="41"/>
      <c r="QQ46" s="41"/>
      <c r="QR46" s="41"/>
      <c r="QS46" s="41"/>
      <c r="QT46" s="41"/>
      <c r="QU46" s="41"/>
      <c r="QV46" s="41"/>
      <c r="QW46" s="41"/>
      <c r="QX46" s="41"/>
      <c r="QY46" s="41"/>
      <c r="QZ46" s="41"/>
      <c r="RA46" s="41"/>
      <c r="RB46" s="41"/>
      <c r="RC46" s="41"/>
      <c r="RD46" s="41"/>
      <c r="RE46" s="41"/>
      <c r="RF46" s="41"/>
      <c r="RG46" s="41"/>
      <c r="RH46" s="41"/>
      <c r="RI46" s="41"/>
      <c r="RJ46" s="41"/>
      <c r="RK46" s="41"/>
      <c r="RL46" s="41"/>
      <c r="RM46" s="41"/>
      <c r="RN46" s="41"/>
      <c r="RO46" s="41"/>
      <c r="RP46" s="41"/>
      <c r="RQ46" s="41"/>
      <c r="RR46" s="41"/>
      <c r="RS46" s="41"/>
      <c r="RT46" s="41"/>
      <c r="RU46" s="41"/>
      <c r="RV46" s="41"/>
      <c r="RW46" s="41"/>
      <c r="RX46" s="41"/>
      <c r="RY46" s="41"/>
      <c r="RZ46" s="41"/>
      <c r="SA46" s="41"/>
      <c r="SB46" s="41"/>
      <c r="SC46" s="41"/>
      <c r="SD46" s="41"/>
      <c r="SE46" s="41"/>
      <c r="SF46" s="41"/>
      <c r="SG46" s="41"/>
      <c r="SH46" s="41"/>
      <c r="SI46" s="41"/>
      <c r="SJ46" s="41"/>
      <c r="SK46" s="41"/>
      <c r="SL46" s="41"/>
      <c r="SM46" s="41"/>
      <c r="SN46" s="41"/>
      <c r="SO46" s="41"/>
      <c r="SP46" s="41"/>
      <c r="SQ46" s="41"/>
      <c r="SR46" s="41"/>
      <c r="SS46" s="41"/>
      <c r="ST46" s="41"/>
      <c r="SU46" s="41"/>
      <c r="SV46" s="41"/>
      <c r="SW46" s="41"/>
      <c r="SX46" s="41"/>
      <c r="SY46" s="41"/>
      <c r="SZ46" s="41"/>
      <c r="TA46" s="41"/>
      <c r="TB46" s="41"/>
      <c r="TC46" s="41"/>
      <c r="TD46" s="41"/>
      <c r="TE46" s="41"/>
      <c r="TF46" s="41"/>
      <c r="TG46" s="41"/>
      <c r="TH46" s="41"/>
      <c r="TI46" s="41"/>
      <c r="TJ46" s="41"/>
      <c r="TK46" s="41"/>
      <c r="TL46" s="41"/>
      <c r="TM46" s="41"/>
      <c r="TN46" s="41"/>
      <c r="TO46" s="41"/>
      <c r="TP46" s="41"/>
      <c r="TQ46" s="41"/>
      <c r="TR46" s="41"/>
      <c r="TS46" s="41"/>
      <c r="TT46" s="41"/>
      <c r="TU46" s="41"/>
      <c r="TV46" s="41"/>
      <c r="TW46" s="41"/>
      <c r="TX46" s="41"/>
      <c r="TY46" s="41"/>
      <c r="TZ46" s="41"/>
      <c r="UA46" s="41"/>
      <c r="UB46" s="41"/>
      <c r="UC46" s="41"/>
      <c r="UD46" s="41"/>
      <c r="UE46" s="41"/>
      <c r="UF46" s="41"/>
      <c r="UG46" s="41"/>
      <c r="UH46" s="41"/>
      <c r="UI46" s="41"/>
      <c r="UJ46" s="41"/>
      <c r="UK46" s="41"/>
      <c r="UL46" s="41"/>
      <c r="UM46" s="41"/>
      <c r="UN46" s="41"/>
      <c r="UO46" s="41"/>
      <c r="UP46" s="41"/>
      <c r="UQ46" s="41"/>
      <c r="UR46" s="41"/>
      <c r="US46" s="41"/>
      <c r="UT46" s="41"/>
      <c r="UU46" s="41"/>
      <c r="UV46" s="41"/>
      <c r="UW46" s="41"/>
      <c r="UX46" s="41"/>
      <c r="UY46" s="41"/>
      <c r="UZ46" s="41"/>
      <c r="VA46" s="41"/>
      <c r="VB46" s="41"/>
      <c r="VC46" s="41"/>
      <c r="VD46" s="41"/>
      <c r="VE46" s="41"/>
      <c r="VF46" s="41"/>
      <c r="VG46" s="41"/>
      <c r="VH46" s="41"/>
      <c r="VI46" s="41"/>
      <c r="VJ46" s="41"/>
      <c r="VK46" s="41"/>
      <c r="VL46" s="41"/>
      <c r="VM46" s="41"/>
      <c r="VN46" s="41"/>
      <c r="VO46" s="41"/>
      <c r="VP46" s="41"/>
      <c r="VQ46" s="41"/>
      <c r="VR46" s="41"/>
      <c r="VS46" s="41"/>
      <c r="VT46" s="41"/>
      <c r="VU46" s="41"/>
      <c r="VV46" s="41"/>
      <c r="VW46" s="41"/>
      <c r="VX46" s="41"/>
      <c r="VY46" s="41"/>
      <c r="VZ46" s="41"/>
      <c r="WA46" s="41"/>
      <c r="WB46" s="41"/>
      <c r="WC46" s="41"/>
      <c r="WD46" s="41"/>
      <c r="WE46" s="41"/>
      <c r="WF46" s="41"/>
      <c r="WG46" s="41"/>
      <c r="WH46" s="41"/>
      <c r="WI46" s="41"/>
      <c r="WJ46" s="41"/>
      <c r="WK46" s="41"/>
      <c r="WL46" s="41"/>
      <c r="WM46" s="41"/>
      <c r="WN46" s="41"/>
      <c r="WO46" s="41"/>
      <c r="WP46" s="41"/>
      <c r="WQ46" s="41"/>
      <c r="WR46" s="41"/>
      <c r="WS46" s="41"/>
      <c r="WT46" s="41"/>
      <c r="WU46" s="41"/>
      <c r="WV46" s="41"/>
      <c r="WW46" s="41"/>
      <c r="WX46" s="41"/>
      <c r="WY46" s="41"/>
      <c r="WZ46" s="41"/>
      <c r="XA46" s="41"/>
      <c r="XB46" s="41"/>
      <c r="XC46" s="41"/>
      <c r="XD46" s="41"/>
      <c r="XE46" s="41"/>
      <c r="XF46" s="41"/>
      <c r="XG46" s="41"/>
      <c r="XH46" s="41"/>
      <c r="XI46" s="41"/>
      <c r="XJ46" s="41"/>
      <c r="XK46" s="41"/>
      <c r="XL46" s="41"/>
      <c r="XM46" s="41"/>
      <c r="XN46" s="41"/>
      <c r="XO46" s="41"/>
      <c r="XP46" s="41"/>
      <c r="XQ46" s="41"/>
      <c r="XR46" s="41"/>
      <c r="XS46" s="41"/>
      <c r="XT46" s="41"/>
      <c r="XU46" s="41"/>
      <c r="XV46" s="41"/>
      <c r="XW46" s="41"/>
      <c r="XX46" s="41"/>
      <c r="XY46" s="41"/>
      <c r="XZ46" s="41"/>
      <c r="YA46" s="41"/>
      <c r="YB46" s="41"/>
      <c r="YC46" s="41"/>
      <c r="YD46" s="41"/>
      <c r="YE46" s="41"/>
      <c r="YF46" s="41"/>
      <c r="YG46" s="41"/>
      <c r="YH46" s="41"/>
      <c r="YI46" s="41"/>
      <c r="YJ46" s="41"/>
      <c r="YK46" s="41"/>
      <c r="YL46" s="41"/>
      <c r="YM46" s="41"/>
      <c r="YN46" s="41"/>
      <c r="YO46" s="41"/>
      <c r="YP46" s="41"/>
      <c r="YQ46" s="41"/>
      <c r="YR46" s="41"/>
      <c r="YS46" s="41"/>
      <c r="YT46" s="41"/>
      <c r="YU46" s="41"/>
      <c r="YV46" s="41"/>
      <c r="YW46" s="41"/>
      <c r="YX46" s="41"/>
      <c r="YY46" s="41"/>
      <c r="YZ46" s="41"/>
      <c r="ZA46" s="41"/>
      <c r="ZB46" s="41"/>
      <c r="ZC46" s="41"/>
      <c r="ZD46" s="41"/>
      <c r="ZE46" s="41"/>
      <c r="ZF46" s="41"/>
      <c r="ZG46" s="41"/>
      <c r="ZH46" s="41"/>
      <c r="ZI46" s="41"/>
      <c r="ZJ46" s="41"/>
      <c r="ZK46" s="41"/>
      <c r="ZL46" s="41"/>
      <c r="ZM46" s="41"/>
      <c r="ZN46" s="41"/>
      <c r="ZO46" s="41"/>
      <c r="ZP46" s="41"/>
      <c r="ZQ46" s="41"/>
      <c r="ZR46" s="41"/>
      <c r="ZS46" s="41"/>
      <c r="ZT46" s="41"/>
      <c r="ZU46" s="41"/>
      <c r="ZV46" s="41"/>
      <c r="ZW46" s="41"/>
      <c r="ZX46" s="41"/>
      <c r="ZY46" s="41"/>
      <c r="ZZ46" s="41"/>
      <c r="AAA46" s="41"/>
      <c r="AAB46" s="41"/>
      <c r="AAC46" s="41"/>
    </row>
    <row r="47" spans="1:705" s="42" customFormat="1" ht="21" hidden="1" x14ac:dyDescent="0.3">
      <c r="A47" s="26">
        <v>43</v>
      </c>
      <c r="B47" s="140">
        <v>239533</v>
      </c>
      <c r="C47" s="140">
        <v>43</v>
      </c>
      <c r="D47" s="139">
        <v>45909</v>
      </c>
      <c r="E47" s="139">
        <f t="shared" si="8"/>
        <v>45908</v>
      </c>
      <c r="F47" s="139">
        <f t="shared" si="5"/>
        <v>45919</v>
      </c>
      <c r="G47" s="139">
        <v>45919</v>
      </c>
      <c r="H47" s="139">
        <v>45942</v>
      </c>
      <c r="I47" s="140" t="s">
        <v>75</v>
      </c>
      <c r="J47" s="140" t="s">
        <v>165</v>
      </c>
      <c r="K47" s="141">
        <f t="shared" si="9"/>
        <v>23</v>
      </c>
      <c r="L47" s="140">
        <v>1141534</v>
      </c>
      <c r="M47" s="140" t="s">
        <v>15</v>
      </c>
      <c r="N47" s="142">
        <v>804441</v>
      </c>
      <c r="O47" s="140" t="s">
        <v>246</v>
      </c>
      <c r="P47" s="143">
        <v>45932</v>
      </c>
      <c r="Q47" s="143">
        <v>45947</v>
      </c>
      <c r="R47" s="137" t="s">
        <v>211</v>
      </c>
      <c r="S47" s="193" t="s">
        <v>168</v>
      </c>
      <c r="T47" s="154">
        <v>1</v>
      </c>
      <c r="U47" s="140" t="s">
        <v>166</v>
      </c>
      <c r="V47" s="154">
        <v>9</v>
      </c>
      <c r="W47" s="154">
        <v>9</v>
      </c>
      <c r="X47" s="155">
        <v>0</v>
      </c>
      <c r="Y47" s="154">
        <v>0</v>
      </c>
      <c r="Z47" s="154">
        <v>0</v>
      </c>
      <c r="AA47" s="154">
        <v>0</v>
      </c>
      <c r="AB47" s="154">
        <v>9</v>
      </c>
      <c r="AC47" s="154">
        <v>9</v>
      </c>
      <c r="AD47" s="154">
        <v>0</v>
      </c>
      <c r="AE47" s="154">
        <v>0</v>
      </c>
      <c r="AF47" s="154">
        <v>0</v>
      </c>
      <c r="AG47" s="154">
        <v>0</v>
      </c>
      <c r="AH47" s="154">
        <v>1</v>
      </c>
      <c r="AI47" s="154">
        <v>1</v>
      </c>
      <c r="AJ47" s="154">
        <v>0</v>
      </c>
      <c r="AK47" s="154">
        <v>0</v>
      </c>
      <c r="AL47" s="154">
        <v>0</v>
      </c>
      <c r="AM47" s="154">
        <v>0</v>
      </c>
      <c r="AN47" s="154">
        <v>0</v>
      </c>
      <c r="AO47" s="154">
        <v>0</v>
      </c>
      <c r="AP47" s="154">
        <v>1</v>
      </c>
      <c r="AQ47" s="154">
        <v>1</v>
      </c>
      <c r="AR47" s="154">
        <v>0</v>
      </c>
      <c r="AS47" s="154">
        <v>0</v>
      </c>
      <c r="AT47" s="154"/>
      <c r="AU47" s="154"/>
      <c r="AV47" s="154">
        <v>1</v>
      </c>
      <c r="AW47" s="154">
        <v>1</v>
      </c>
      <c r="AX47" s="146">
        <f t="shared" si="6"/>
        <v>2803</v>
      </c>
      <c r="AY47" s="146">
        <f t="shared" si="7"/>
        <v>2803</v>
      </c>
      <c r="AZ47" s="140" t="s">
        <v>562</v>
      </c>
      <c r="BA47" s="140" t="s">
        <v>562</v>
      </c>
      <c r="BB47" s="137">
        <v>2</v>
      </c>
      <c r="BC47" s="140">
        <v>43</v>
      </c>
      <c r="BD47" s="149"/>
      <c r="BE47" s="145"/>
      <c r="BF47" s="150"/>
      <c r="BG47" s="152">
        <v>45931</v>
      </c>
      <c r="BH47" s="153" t="s">
        <v>535</v>
      </c>
      <c r="BI47" s="153" t="s">
        <v>562</v>
      </c>
      <c r="CC47" s="41"/>
      <c r="CD47" s="41"/>
      <c r="CE47" s="41"/>
      <c r="CF47" s="41"/>
      <c r="CG47" s="41"/>
      <c r="CH47" s="41"/>
      <c r="CI47" s="41"/>
      <c r="CJ47" s="41"/>
      <c r="CK47" s="41"/>
      <c r="CL47" s="41"/>
      <c r="CM47" s="41"/>
      <c r="CN47" s="41"/>
      <c r="CO47" s="41"/>
      <c r="CP47" s="41"/>
      <c r="CQ47" s="41"/>
      <c r="CR47" s="41"/>
      <c r="CS47" s="41"/>
      <c r="CT47" s="41"/>
      <c r="CU47" s="41"/>
      <c r="CV47" s="41"/>
      <c r="CW47" s="41"/>
      <c r="CX47" s="41"/>
      <c r="CY47" s="41"/>
      <c r="CZ47" s="41"/>
      <c r="DA47" s="41"/>
      <c r="DB47" s="41"/>
      <c r="DC47" s="41"/>
      <c r="DD47" s="41"/>
      <c r="DE47" s="41"/>
      <c r="DF47" s="41"/>
      <c r="DG47" s="41"/>
      <c r="DH47" s="41"/>
      <c r="DI47" s="41"/>
      <c r="DJ47" s="41"/>
      <c r="DK47" s="41"/>
      <c r="DL47" s="41"/>
      <c r="DM47" s="41"/>
      <c r="DN47" s="41"/>
      <c r="DO47" s="41"/>
      <c r="DP47" s="41"/>
      <c r="DQ47" s="41"/>
      <c r="DR47" s="41"/>
      <c r="DS47" s="41"/>
      <c r="DT47" s="41"/>
      <c r="DU47" s="41"/>
      <c r="DV47" s="41"/>
      <c r="DW47" s="41"/>
      <c r="DX47" s="41"/>
      <c r="DY47" s="41"/>
      <c r="DZ47" s="41"/>
      <c r="EA47" s="41"/>
      <c r="EB47" s="41"/>
      <c r="EC47" s="41"/>
      <c r="ED47" s="41"/>
      <c r="EE47" s="41"/>
      <c r="EF47" s="41"/>
      <c r="EG47" s="41"/>
      <c r="EH47" s="41"/>
      <c r="EI47" s="41"/>
      <c r="EJ47" s="41"/>
      <c r="EK47" s="41"/>
      <c r="EL47" s="41"/>
      <c r="EM47" s="41"/>
      <c r="EN47" s="41"/>
      <c r="EO47" s="41"/>
      <c r="EP47" s="41"/>
      <c r="EQ47" s="41"/>
      <c r="ER47" s="41"/>
      <c r="ES47" s="41"/>
      <c r="ET47" s="41"/>
      <c r="EU47" s="41"/>
      <c r="EV47" s="41"/>
      <c r="EW47" s="41"/>
      <c r="EX47" s="41"/>
      <c r="EY47" s="41"/>
      <c r="EZ47" s="41"/>
      <c r="FA47" s="41"/>
      <c r="FB47" s="41"/>
      <c r="FC47" s="41"/>
      <c r="FD47" s="41"/>
      <c r="FE47" s="41"/>
      <c r="FF47" s="41"/>
      <c r="FG47" s="41"/>
      <c r="FH47" s="41"/>
      <c r="FI47" s="41"/>
      <c r="FJ47" s="41"/>
      <c r="FK47" s="41"/>
      <c r="FL47" s="41"/>
      <c r="FM47" s="41"/>
      <c r="FN47" s="41"/>
      <c r="FO47" s="41"/>
      <c r="FP47" s="41"/>
      <c r="FQ47" s="41"/>
      <c r="FR47" s="41"/>
      <c r="FS47" s="41"/>
      <c r="FT47" s="41"/>
      <c r="FU47" s="41"/>
      <c r="FV47" s="41"/>
      <c r="FW47" s="41"/>
      <c r="FX47" s="41"/>
      <c r="FY47" s="41"/>
      <c r="FZ47" s="41"/>
      <c r="GA47" s="41"/>
      <c r="GB47" s="41"/>
      <c r="GC47" s="41"/>
      <c r="GD47" s="41"/>
      <c r="GE47" s="41"/>
      <c r="GF47" s="41"/>
      <c r="GG47" s="41"/>
      <c r="GH47" s="41"/>
      <c r="GI47" s="41"/>
      <c r="GJ47" s="41"/>
      <c r="GK47" s="41"/>
      <c r="GL47" s="41"/>
      <c r="GM47" s="41"/>
      <c r="GN47" s="41"/>
      <c r="GO47" s="41"/>
      <c r="GP47" s="41"/>
      <c r="GQ47" s="41"/>
      <c r="GR47" s="41"/>
      <c r="GS47" s="41"/>
      <c r="GT47" s="41"/>
      <c r="GU47" s="41"/>
      <c r="GV47" s="41"/>
      <c r="GW47" s="41"/>
      <c r="GX47" s="41"/>
      <c r="GY47" s="41"/>
      <c r="GZ47" s="41"/>
      <c r="HA47" s="41"/>
      <c r="HB47" s="41"/>
      <c r="HC47" s="41"/>
      <c r="HD47" s="41"/>
      <c r="HE47" s="41"/>
      <c r="HF47" s="41"/>
      <c r="HG47" s="41"/>
      <c r="HH47" s="41"/>
      <c r="HI47" s="41"/>
      <c r="HJ47" s="41"/>
      <c r="HK47" s="41"/>
      <c r="HL47" s="41"/>
      <c r="HM47" s="41"/>
      <c r="HN47" s="41"/>
      <c r="HO47" s="41"/>
      <c r="HP47" s="41"/>
      <c r="HQ47" s="41"/>
      <c r="HR47" s="41"/>
      <c r="HS47" s="41"/>
      <c r="HT47" s="41"/>
      <c r="HU47" s="41"/>
      <c r="HV47" s="41"/>
      <c r="HW47" s="41"/>
      <c r="HX47" s="41"/>
      <c r="HY47" s="41"/>
      <c r="HZ47" s="41"/>
      <c r="IA47" s="41"/>
      <c r="IB47" s="41"/>
      <c r="IC47" s="41"/>
      <c r="ID47" s="41"/>
      <c r="IE47" s="41"/>
      <c r="IF47" s="41"/>
      <c r="IG47" s="41"/>
      <c r="IH47" s="41"/>
      <c r="II47" s="41"/>
      <c r="IJ47" s="41"/>
      <c r="IK47" s="41"/>
      <c r="IL47" s="41"/>
      <c r="IM47" s="41"/>
      <c r="IN47" s="41"/>
      <c r="IO47" s="41"/>
      <c r="IP47" s="41"/>
      <c r="IQ47" s="41"/>
      <c r="IR47" s="41"/>
      <c r="IS47" s="41"/>
      <c r="IT47" s="41"/>
      <c r="IU47" s="41"/>
      <c r="IV47" s="41"/>
      <c r="IW47" s="41"/>
      <c r="IX47" s="41"/>
      <c r="IY47" s="41"/>
      <c r="IZ47" s="41"/>
      <c r="JA47" s="41"/>
      <c r="JB47" s="41"/>
      <c r="JC47" s="41"/>
      <c r="JD47" s="41"/>
      <c r="JE47" s="41"/>
      <c r="JF47" s="41"/>
      <c r="JG47" s="41"/>
      <c r="JH47" s="41"/>
      <c r="JI47" s="41"/>
      <c r="JJ47" s="41"/>
      <c r="JK47" s="41"/>
      <c r="JL47" s="41"/>
      <c r="JM47" s="41"/>
      <c r="JN47" s="41"/>
      <c r="JO47" s="41"/>
      <c r="JP47" s="41"/>
      <c r="JQ47" s="41"/>
      <c r="JR47" s="41"/>
      <c r="JS47" s="41"/>
      <c r="JT47" s="41"/>
      <c r="JU47" s="41"/>
      <c r="JV47" s="41"/>
      <c r="JW47" s="41"/>
      <c r="JX47" s="41"/>
      <c r="JY47" s="41"/>
      <c r="JZ47" s="41"/>
      <c r="KA47" s="41"/>
      <c r="KB47" s="41"/>
      <c r="KC47" s="41"/>
      <c r="KD47" s="41"/>
      <c r="KE47" s="41"/>
      <c r="KF47" s="41"/>
      <c r="KG47" s="41"/>
      <c r="KH47" s="41"/>
      <c r="KI47" s="41"/>
      <c r="KJ47" s="41"/>
      <c r="KK47" s="41"/>
      <c r="KL47" s="41"/>
      <c r="KM47" s="41"/>
      <c r="KN47" s="41"/>
      <c r="KO47" s="41"/>
      <c r="KP47" s="41"/>
      <c r="KQ47" s="41"/>
      <c r="KR47" s="41"/>
      <c r="KS47" s="41"/>
      <c r="KT47" s="41"/>
      <c r="KU47" s="41"/>
      <c r="KV47" s="41"/>
      <c r="KW47" s="41"/>
      <c r="KX47" s="41"/>
      <c r="KY47" s="41"/>
      <c r="KZ47" s="41"/>
      <c r="LA47" s="41"/>
      <c r="LB47" s="41"/>
      <c r="LC47" s="41"/>
      <c r="LD47" s="41"/>
      <c r="LE47" s="41"/>
      <c r="LF47" s="41"/>
      <c r="LG47" s="41"/>
      <c r="LH47" s="41"/>
      <c r="LI47" s="41"/>
      <c r="LJ47" s="41"/>
      <c r="LK47" s="41"/>
      <c r="LL47" s="41"/>
      <c r="LM47" s="41"/>
      <c r="LN47" s="41"/>
      <c r="LO47" s="41"/>
      <c r="LP47" s="41"/>
      <c r="LQ47" s="41"/>
      <c r="LR47" s="41"/>
      <c r="LS47" s="41"/>
      <c r="LT47" s="41"/>
      <c r="LU47" s="41"/>
      <c r="LV47" s="41"/>
      <c r="LW47" s="41"/>
      <c r="LX47" s="41"/>
      <c r="LY47" s="41"/>
      <c r="LZ47" s="41"/>
      <c r="MA47" s="41"/>
      <c r="MB47" s="41"/>
      <c r="MC47" s="41"/>
      <c r="MD47" s="41"/>
      <c r="ME47" s="41"/>
      <c r="MF47" s="41"/>
      <c r="MG47" s="41"/>
      <c r="MH47" s="41"/>
      <c r="MI47" s="41"/>
      <c r="MJ47" s="41"/>
      <c r="MK47" s="41"/>
      <c r="ML47" s="41"/>
      <c r="MM47" s="41"/>
      <c r="MN47" s="41"/>
      <c r="MO47" s="41"/>
      <c r="MP47" s="41"/>
      <c r="MQ47" s="41"/>
      <c r="MR47" s="41"/>
      <c r="MS47" s="41"/>
      <c r="MT47" s="41"/>
      <c r="MU47" s="41"/>
      <c r="MV47" s="41"/>
      <c r="MW47" s="41"/>
      <c r="MX47" s="41"/>
      <c r="MY47" s="41"/>
      <c r="MZ47" s="41"/>
      <c r="NA47" s="41"/>
      <c r="NB47" s="41"/>
      <c r="NC47" s="41"/>
      <c r="ND47" s="41"/>
      <c r="NE47" s="41"/>
      <c r="NF47" s="41"/>
      <c r="NG47" s="41"/>
      <c r="NH47" s="41"/>
      <c r="NI47" s="41"/>
      <c r="NJ47" s="41"/>
      <c r="NK47" s="41"/>
      <c r="NL47" s="41"/>
      <c r="NM47" s="41"/>
      <c r="NN47" s="41"/>
      <c r="NO47" s="41"/>
      <c r="NP47" s="41"/>
      <c r="NQ47" s="41"/>
      <c r="NR47" s="41"/>
      <c r="NS47" s="41"/>
      <c r="NT47" s="41"/>
      <c r="NU47" s="41"/>
      <c r="NV47" s="41"/>
      <c r="NW47" s="41"/>
      <c r="NX47" s="41"/>
      <c r="NY47" s="41"/>
      <c r="NZ47" s="41"/>
      <c r="OA47" s="41"/>
      <c r="OB47" s="41"/>
      <c r="OC47" s="41"/>
      <c r="OD47" s="41"/>
      <c r="OE47" s="41"/>
      <c r="OF47" s="41"/>
      <c r="OG47" s="41"/>
      <c r="OH47" s="41"/>
      <c r="OI47" s="41"/>
      <c r="OJ47" s="41"/>
      <c r="OK47" s="41"/>
      <c r="OL47" s="41"/>
      <c r="OM47" s="41"/>
      <c r="ON47" s="41"/>
      <c r="OO47" s="41"/>
      <c r="OP47" s="41"/>
      <c r="OQ47" s="41"/>
      <c r="OR47" s="41"/>
      <c r="OS47" s="41"/>
      <c r="OT47" s="41"/>
      <c r="OU47" s="41"/>
      <c r="OV47" s="41"/>
      <c r="OW47" s="41"/>
      <c r="OX47" s="41"/>
      <c r="OY47" s="41"/>
      <c r="OZ47" s="41"/>
      <c r="PA47" s="41"/>
      <c r="PB47" s="41"/>
      <c r="PC47" s="41"/>
      <c r="PD47" s="41"/>
      <c r="PE47" s="41"/>
      <c r="PF47" s="41"/>
      <c r="PG47" s="41"/>
      <c r="PH47" s="41"/>
      <c r="PI47" s="41"/>
      <c r="PJ47" s="41"/>
      <c r="PK47" s="41"/>
      <c r="PL47" s="41"/>
      <c r="PM47" s="41"/>
      <c r="PN47" s="41"/>
      <c r="PO47" s="41"/>
      <c r="PP47" s="41"/>
      <c r="PQ47" s="41"/>
      <c r="PR47" s="41"/>
      <c r="PS47" s="41"/>
      <c r="PT47" s="41"/>
      <c r="PU47" s="41"/>
      <c r="PV47" s="41"/>
      <c r="PW47" s="41"/>
      <c r="PX47" s="41"/>
      <c r="PY47" s="41"/>
      <c r="PZ47" s="41"/>
      <c r="QA47" s="41"/>
      <c r="QB47" s="41"/>
      <c r="QC47" s="41"/>
      <c r="QD47" s="41"/>
      <c r="QE47" s="41"/>
      <c r="QF47" s="41"/>
      <c r="QG47" s="41"/>
      <c r="QH47" s="41"/>
      <c r="QI47" s="41"/>
      <c r="QJ47" s="41"/>
      <c r="QK47" s="41"/>
      <c r="QL47" s="41"/>
      <c r="QM47" s="41"/>
      <c r="QN47" s="41"/>
      <c r="QO47" s="41"/>
      <c r="QP47" s="41"/>
      <c r="QQ47" s="41"/>
      <c r="QR47" s="41"/>
      <c r="QS47" s="41"/>
      <c r="QT47" s="41"/>
      <c r="QU47" s="41"/>
      <c r="QV47" s="41"/>
      <c r="QW47" s="41"/>
      <c r="QX47" s="41"/>
      <c r="QY47" s="41"/>
      <c r="QZ47" s="41"/>
      <c r="RA47" s="41"/>
      <c r="RB47" s="41"/>
      <c r="RC47" s="41"/>
      <c r="RD47" s="41"/>
      <c r="RE47" s="41"/>
      <c r="RF47" s="41"/>
      <c r="RG47" s="41"/>
      <c r="RH47" s="41"/>
      <c r="RI47" s="41"/>
      <c r="RJ47" s="41"/>
      <c r="RK47" s="41"/>
      <c r="RL47" s="41"/>
      <c r="RM47" s="41"/>
      <c r="RN47" s="41"/>
      <c r="RO47" s="41"/>
      <c r="RP47" s="41"/>
      <c r="RQ47" s="41"/>
      <c r="RR47" s="41"/>
      <c r="RS47" s="41"/>
      <c r="RT47" s="41"/>
      <c r="RU47" s="41"/>
      <c r="RV47" s="41"/>
      <c r="RW47" s="41"/>
      <c r="RX47" s="41"/>
      <c r="RY47" s="41"/>
      <c r="RZ47" s="41"/>
      <c r="SA47" s="41"/>
      <c r="SB47" s="41"/>
      <c r="SC47" s="41"/>
      <c r="SD47" s="41"/>
      <c r="SE47" s="41"/>
      <c r="SF47" s="41"/>
      <c r="SG47" s="41"/>
      <c r="SH47" s="41"/>
      <c r="SI47" s="41"/>
      <c r="SJ47" s="41"/>
      <c r="SK47" s="41"/>
      <c r="SL47" s="41"/>
      <c r="SM47" s="41"/>
      <c r="SN47" s="41"/>
      <c r="SO47" s="41"/>
      <c r="SP47" s="41"/>
      <c r="SQ47" s="41"/>
      <c r="SR47" s="41"/>
      <c r="SS47" s="41"/>
      <c r="ST47" s="41"/>
      <c r="SU47" s="41"/>
      <c r="SV47" s="41"/>
      <c r="SW47" s="41"/>
      <c r="SX47" s="41"/>
      <c r="SY47" s="41"/>
      <c r="SZ47" s="41"/>
      <c r="TA47" s="41"/>
      <c r="TB47" s="41"/>
      <c r="TC47" s="41"/>
      <c r="TD47" s="41"/>
      <c r="TE47" s="41"/>
      <c r="TF47" s="41"/>
      <c r="TG47" s="41"/>
      <c r="TH47" s="41"/>
      <c r="TI47" s="41"/>
      <c r="TJ47" s="41"/>
      <c r="TK47" s="41"/>
      <c r="TL47" s="41"/>
      <c r="TM47" s="41"/>
      <c r="TN47" s="41"/>
      <c r="TO47" s="41"/>
      <c r="TP47" s="41"/>
      <c r="TQ47" s="41"/>
      <c r="TR47" s="41"/>
      <c r="TS47" s="41"/>
      <c r="TT47" s="41"/>
      <c r="TU47" s="41"/>
      <c r="TV47" s="41"/>
      <c r="TW47" s="41"/>
      <c r="TX47" s="41"/>
      <c r="TY47" s="41"/>
      <c r="TZ47" s="41"/>
      <c r="UA47" s="41"/>
      <c r="UB47" s="41"/>
      <c r="UC47" s="41"/>
      <c r="UD47" s="41"/>
      <c r="UE47" s="41"/>
      <c r="UF47" s="41"/>
      <c r="UG47" s="41"/>
      <c r="UH47" s="41"/>
      <c r="UI47" s="41"/>
      <c r="UJ47" s="41"/>
      <c r="UK47" s="41"/>
      <c r="UL47" s="41"/>
      <c r="UM47" s="41"/>
      <c r="UN47" s="41"/>
      <c r="UO47" s="41"/>
      <c r="UP47" s="41"/>
      <c r="UQ47" s="41"/>
      <c r="UR47" s="41"/>
      <c r="US47" s="41"/>
      <c r="UT47" s="41"/>
      <c r="UU47" s="41"/>
      <c r="UV47" s="41"/>
      <c r="UW47" s="41"/>
      <c r="UX47" s="41"/>
      <c r="UY47" s="41"/>
      <c r="UZ47" s="41"/>
      <c r="VA47" s="41"/>
      <c r="VB47" s="41"/>
      <c r="VC47" s="41"/>
      <c r="VD47" s="41"/>
      <c r="VE47" s="41"/>
      <c r="VF47" s="41"/>
      <c r="VG47" s="41"/>
      <c r="VH47" s="41"/>
      <c r="VI47" s="41"/>
      <c r="VJ47" s="41"/>
      <c r="VK47" s="41"/>
      <c r="VL47" s="41"/>
      <c r="VM47" s="41"/>
      <c r="VN47" s="41"/>
      <c r="VO47" s="41"/>
      <c r="VP47" s="41"/>
      <c r="VQ47" s="41"/>
      <c r="VR47" s="41"/>
      <c r="VS47" s="41"/>
      <c r="VT47" s="41"/>
      <c r="VU47" s="41"/>
      <c r="VV47" s="41"/>
      <c r="VW47" s="41"/>
      <c r="VX47" s="41"/>
      <c r="VY47" s="41"/>
      <c r="VZ47" s="41"/>
      <c r="WA47" s="41"/>
      <c r="WB47" s="41"/>
      <c r="WC47" s="41"/>
      <c r="WD47" s="41"/>
      <c r="WE47" s="41"/>
      <c r="WF47" s="41"/>
      <c r="WG47" s="41"/>
      <c r="WH47" s="41"/>
      <c r="WI47" s="41"/>
      <c r="WJ47" s="41"/>
      <c r="WK47" s="41"/>
      <c r="WL47" s="41"/>
      <c r="WM47" s="41"/>
      <c r="WN47" s="41"/>
      <c r="WO47" s="41"/>
      <c r="WP47" s="41"/>
      <c r="WQ47" s="41"/>
      <c r="WR47" s="41"/>
      <c r="WS47" s="41"/>
      <c r="WT47" s="41"/>
      <c r="WU47" s="41"/>
      <c r="WV47" s="41"/>
      <c r="WW47" s="41"/>
      <c r="WX47" s="41"/>
      <c r="WY47" s="41"/>
      <c r="WZ47" s="41"/>
      <c r="XA47" s="41"/>
      <c r="XB47" s="41"/>
      <c r="XC47" s="41"/>
      <c r="XD47" s="41"/>
      <c r="XE47" s="41"/>
      <c r="XF47" s="41"/>
      <c r="XG47" s="41"/>
      <c r="XH47" s="41"/>
      <c r="XI47" s="41"/>
      <c r="XJ47" s="41"/>
      <c r="XK47" s="41"/>
      <c r="XL47" s="41"/>
      <c r="XM47" s="41"/>
      <c r="XN47" s="41"/>
      <c r="XO47" s="41"/>
      <c r="XP47" s="41"/>
      <c r="XQ47" s="41"/>
      <c r="XR47" s="41"/>
      <c r="XS47" s="41"/>
      <c r="XT47" s="41"/>
      <c r="XU47" s="41"/>
      <c r="XV47" s="41"/>
      <c r="XW47" s="41"/>
      <c r="XX47" s="41"/>
      <c r="XY47" s="41"/>
      <c r="XZ47" s="41"/>
      <c r="YA47" s="41"/>
      <c r="YB47" s="41"/>
      <c r="YC47" s="41"/>
      <c r="YD47" s="41"/>
      <c r="YE47" s="41"/>
      <c r="YF47" s="41"/>
      <c r="YG47" s="41"/>
      <c r="YH47" s="41"/>
      <c r="YI47" s="41"/>
      <c r="YJ47" s="41"/>
      <c r="YK47" s="41"/>
      <c r="YL47" s="41"/>
      <c r="YM47" s="41"/>
      <c r="YN47" s="41"/>
      <c r="YO47" s="41"/>
      <c r="YP47" s="41"/>
      <c r="YQ47" s="41"/>
      <c r="YR47" s="41"/>
      <c r="YS47" s="41"/>
      <c r="YT47" s="41"/>
      <c r="YU47" s="41"/>
      <c r="YV47" s="41"/>
      <c r="YW47" s="41"/>
      <c r="YX47" s="41"/>
      <c r="YY47" s="41"/>
      <c r="YZ47" s="41"/>
      <c r="ZA47" s="41"/>
      <c r="ZB47" s="41"/>
      <c r="ZC47" s="41"/>
      <c r="ZD47" s="41"/>
      <c r="ZE47" s="41"/>
      <c r="ZF47" s="41"/>
      <c r="ZG47" s="41"/>
      <c r="ZH47" s="41"/>
      <c r="ZI47" s="41"/>
      <c r="ZJ47" s="41"/>
      <c r="ZK47" s="41"/>
      <c r="ZL47" s="41"/>
      <c r="ZM47" s="41"/>
      <c r="ZN47" s="41"/>
      <c r="ZO47" s="41"/>
      <c r="ZP47" s="41"/>
      <c r="ZQ47" s="41"/>
      <c r="ZR47" s="41"/>
      <c r="ZS47" s="41"/>
      <c r="ZT47" s="41"/>
      <c r="ZU47" s="41"/>
      <c r="ZV47" s="41"/>
      <c r="ZW47" s="41"/>
      <c r="ZX47" s="41"/>
      <c r="ZY47" s="41"/>
      <c r="ZZ47" s="41"/>
      <c r="AAA47" s="41"/>
      <c r="AAB47" s="41"/>
      <c r="AAC47" s="41"/>
    </row>
    <row r="48" spans="1:705" s="42" customFormat="1" ht="42" hidden="1" x14ac:dyDescent="0.3">
      <c r="A48" s="26">
        <v>44</v>
      </c>
      <c r="B48" s="140">
        <v>239534</v>
      </c>
      <c r="C48" s="140">
        <v>44</v>
      </c>
      <c r="D48" s="139">
        <v>45909</v>
      </c>
      <c r="E48" s="139">
        <f t="shared" si="8"/>
        <v>45908</v>
      </c>
      <c r="F48" s="139">
        <f t="shared" si="5"/>
        <v>45919</v>
      </c>
      <c r="G48" s="139">
        <v>45919</v>
      </c>
      <c r="H48" s="139">
        <v>45931</v>
      </c>
      <c r="I48" s="140" t="s">
        <v>75</v>
      </c>
      <c r="J48" s="140" t="s">
        <v>167</v>
      </c>
      <c r="K48" s="141">
        <f t="shared" si="9"/>
        <v>12</v>
      </c>
      <c r="L48" s="140">
        <v>1141535</v>
      </c>
      <c r="M48" s="140" t="s">
        <v>15</v>
      </c>
      <c r="N48" s="142">
        <v>803240</v>
      </c>
      <c r="O48" s="140" t="s">
        <v>246</v>
      </c>
      <c r="P48" s="143">
        <v>45922</v>
      </c>
      <c r="Q48" s="143">
        <v>45937</v>
      </c>
      <c r="R48" s="137" t="s">
        <v>211</v>
      </c>
      <c r="S48" s="140">
        <v>17492</v>
      </c>
      <c r="T48" s="154">
        <v>1</v>
      </c>
      <c r="U48" s="140" t="s">
        <v>169</v>
      </c>
      <c r="V48" s="154">
        <v>4</v>
      </c>
      <c r="W48" s="154">
        <v>4</v>
      </c>
      <c r="X48" s="155">
        <v>0</v>
      </c>
      <c r="Y48" s="154">
        <v>0</v>
      </c>
      <c r="Z48" s="154">
        <v>0</v>
      </c>
      <c r="AA48" s="154">
        <v>0</v>
      </c>
      <c r="AB48" s="154">
        <v>3</v>
      </c>
      <c r="AC48" s="154">
        <v>3</v>
      </c>
      <c r="AD48" s="154">
        <v>0</v>
      </c>
      <c r="AE48" s="154">
        <v>0</v>
      </c>
      <c r="AF48" s="154">
        <v>0</v>
      </c>
      <c r="AG48" s="154">
        <v>0</v>
      </c>
      <c r="AH48" s="154">
        <v>1</v>
      </c>
      <c r="AI48" s="154">
        <v>1</v>
      </c>
      <c r="AJ48" s="154">
        <v>0</v>
      </c>
      <c r="AK48" s="154">
        <v>0</v>
      </c>
      <c r="AL48" s="154">
        <v>0</v>
      </c>
      <c r="AM48" s="154">
        <v>0</v>
      </c>
      <c r="AN48" s="154">
        <v>0</v>
      </c>
      <c r="AO48" s="154">
        <v>0</v>
      </c>
      <c r="AP48" s="154">
        <v>1</v>
      </c>
      <c r="AQ48" s="154">
        <v>1</v>
      </c>
      <c r="AR48" s="154">
        <v>0</v>
      </c>
      <c r="AS48" s="154">
        <v>0</v>
      </c>
      <c r="AT48" s="154">
        <v>1</v>
      </c>
      <c r="AU48" s="154">
        <v>1</v>
      </c>
      <c r="AV48" s="154">
        <v>0</v>
      </c>
      <c r="AW48" s="154">
        <v>0</v>
      </c>
      <c r="AX48" s="146">
        <f t="shared" si="6"/>
        <v>1561</v>
      </c>
      <c r="AY48" s="146">
        <f t="shared" si="7"/>
        <v>1561</v>
      </c>
      <c r="AZ48" s="140" t="s">
        <v>562</v>
      </c>
      <c r="BA48" s="140" t="s">
        <v>562</v>
      </c>
      <c r="BB48" s="137">
        <v>6</v>
      </c>
      <c r="BC48" s="140">
        <v>44</v>
      </c>
      <c r="BD48" s="149"/>
      <c r="BE48" s="145"/>
      <c r="BF48" s="150"/>
      <c r="BG48" s="152">
        <v>45901</v>
      </c>
      <c r="BH48" s="153" t="s">
        <v>15</v>
      </c>
      <c r="BI48" s="153" t="s">
        <v>562</v>
      </c>
      <c r="CC48" s="41"/>
      <c r="CD48" s="41"/>
      <c r="CE48" s="41"/>
      <c r="CF48" s="41"/>
      <c r="CG48" s="41"/>
      <c r="CH48" s="41"/>
      <c r="CI48" s="41"/>
      <c r="CJ48" s="41"/>
      <c r="CK48" s="41"/>
      <c r="CL48" s="41"/>
      <c r="CM48" s="41"/>
      <c r="CN48" s="41"/>
      <c r="CO48" s="41"/>
      <c r="CP48" s="41"/>
      <c r="CQ48" s="41"/>
      <c r="CR48" s="41"/>
      <c r="CS48" s="41"/>
      <c r="CT48" s="41"/>
      <c r="CU48" s="41"/>
      <c r="CV48" s="41"/>
      <c r="CW48" s="41"/>
      <c r="CX48" s="41"/>
      <c r="CY48" s="41"/>
      <c r="CZ48" s="41"/>
      <c r="DA48" s="41"/>
      <c r="DB48" s="41"/>
      <c r="DC48" s="41"/>
      <c r="DD48" s="41"/>
      <c r="DE48" s="41"/>
      <c r="DF48" s="41"/>
      <c r="DG48" s="41"/>
      <c r="DH48" s="41"/>
      <c r="DI48" s="41"/>
      <c r="DJ48" s="41"/>
      <c r="DK48" s="41"/>
      <c r="DL48" s="41"/>
      <c r="DM48" s="41"/>
      <c r="DN48" s="41"/>
      <c r="DO48" s="41"/>
      <c r="DP48" s="41"/>
      <c r="DQ48" s="41"/>
      <c r="DR48" s="41"/>
      <c r="DS48" s="41"/>
      <c r="DT48" s="41"/>
      <c r="DU48" s="41"/>
      <c r="DV48" s="41"/>
      <c r="DW48" s="41"/>
      <c r="DX48" s="41"/>
      <c r="DY48" s="41"/>
      <c r="DZ48" s="41"/>
      <c r="EA48" s="41"/>
      <c r="EB48" s="41"/>
      <c r="EC48" s="41"/>
      <c r="ED48" s="41"/>
      <c r="EE48" s="41"/>
      <c r="EF48" s="41"/>
      <c r="EG48" s="41"/>
      <c r="EH48" s="41"/>
      <c r="EI48" s="41"/>
      <c r="EJ48" s="41"/>
      <c r="EK48" s="41"/>
      <c r="EL48" s="41"/>
      <c r="EM48" s="41"/>
      <c r="EN48" s="41"/>
      <c r="EO48" s="41"/>
      <c r="EP48" s="41"/>
      <c r="EQ48" s="41"/>
      <c r="ER48" s="41"/>
      <c r="ES48" s="41"/>
      <c r="ET48" s="41"/>
      <c r="EU48" s="41"/>
      <c r="EV48" s="41"/>
      <c r="EW48" s="41"/>
      <c r="EX48" s="41"/>
      <c r="EY48" s="41"/>
      <c r="EZ48" s="41"/>
      <c r="FA48" s="41"/>
      <c r="FB48" s="41"/>
      <c r="FC48" s="41"/>
      <c r="FD48" s="41"/>
      <c r="FE48" s="41"/>
      <c r="FF48" s="41"/>
      <c r="FG48" s="41"/>
      <c r="FH48" s="41"/>
      <c r="FI48" s="41"/>
      <c r="FJ48" s="41"/>
      <c r="FK48" s="41"/>
      <c r="FL48" s="41"/>
      <c r="FM48" s="41"/>
      <c r="FN48" s="41"/>
      <c r="FO48" s="41"/>
      <c r="FP48" s="41"/>
      <c r="FQ48" s="41"/>
      <c r="FR48" s="41"/>
      <c r="FS48" s="41"/>
      <c r="FT48" s="41"/>
      <c r="FU48" s="41"/>
      <c r="FV48" s="41"/>
      <c r="FW48" s="41"/>
      <c r="FX48" s="41"/>
      <c r="FY48" s="41"/>
      <c r="FZ48" s="41"/>
      <c r="GA48" s="41"/>
      <c r="GB48" s="41"/>
      <c r="GC48" s="41"/>
      <c r="GD48" s="41"/>
      <c r="GE48" s="41"/>
      <c r="GF48" s="41"/>
      <c r="GG48" s="41"/>
      <c r="GH48" s="41"/>
      <c r="GI48" s="41"/>
      <c r="GJ48" s="41"/>
      <c r="GK48" s="41"/>
      <c r="GL48" s="41"/>
      <c r="GM48" s="41"/>
      <c r="GN48" s="41"/>
      <c r="GO48" s="41"/>
      <c r="GP48" s="41"/>
      <c r="GQ48" s="41"/>
      <c r="GR48" s="41"/>
      <c r="GS48" s="41"/>
      <c r="GT48" s="41"/>
      <c r="GU48" s="41"/>
      <c r="GV48" s="41"/>
      <c r="GW48" s="41"/>
      <c r="GX48" s="41"/>
      <c r="GY48" s="41"/>
      <c r="GZ48" s="41"/>
      <c r="HA48" s="41"/>
      <c r="HB48" s="41"/>
      <c r="HC48" s="41"/>
      <c r="HD48" s="41"/>
      <c r="HE48" s="41"/>
      <c r="HF48" s="41"/>
      <c r="HG48" s="41"/>
      <c r="HH48" s="41"/>
      <c r="HI48" s="41"/>
      <c r="HJ48" s="41"/>
      <c r="HK48" s="41"/>
      <c r="HL48" s="41"/>
      <c r="HM48" s="41"/>
      <c r="HN48" s="41"/>
      <c r="HO48" s="41"/>
      <c r="HP48" s="41"/>
      <c r="HQ48" s="41"/>
      <c r="HR48" s="41"/>
      <c r="HS48" s="41"/>
      <c r="HT48" s="41"/>
      <c r="HU48" s="41"/>
      <c r="HV48" s="41"/>
      <c r="HW48" s="41"/>
      <c r="HX48" s="41"/>
      <c r="HY48" s="41"/>
      <c r="HZ48" s="41"/>
      <c r="IA48" s="41"/>
      <c r="IB48" s="41"/>
      <c r="IC48" s="41"/>
      <c r="ID48" s="41"/>
      <c r="IE48" s="41"/>
      <c r="IF48" s="41"/>
      <c r="IG48" s="41"/>
      <c r="IH48" s="41"/>
      <c r="II48" s="41"/>
      <c r="IJ48" s="41"/>
      <c r="IK48" s="41"/>
      <c r="IL48" s="41"/>
      <c r="IM48" s="41"/>
      <c r="IN48" s="41"/>
      <c r="IO48" s="41"/>
      <c r="IP48" s="41"/>
      <c r="IQ48" s="41"/>
      <c r="IR48" s="41"/>
      <c r="IS48" s="41"/>
      <c r="IT48" s="41"/>
      <c r="IU48" s="41"/>
      <c r="IV48" s="41"/>
      <c r="IW48" s="41"/>
      <c r="IX48" s="41"/>
      <c r="IY48" s="41"/>
      <c r="IZ48" s="41"/>
      <c r="JA48" s="41"/>
      <c r="JB48" s="41"/>
      <c r="JC48" s="41"/>
      <c r="JD48" s="41"/>
      <c r="JE48" s="41"/>
      <c r="JF48" s="41"/>
      <c r="JG48" s="41"/>
      <c r="JH48" s="41"/>
      <c r="JI48" s="41"/>
      <c r="JJ48" s="41"/>
      <c r="JK48" s="41"/>
      <c r="JL48" s="41"/>
      <c r="JM48" s="41"/>
      <c r="JN48" s="41"/>
      <c r="JO48" s="41"/>
      <c r="JP48" s="41"/>
      <c r="JQ48" s="41"/>
      <c r="JR48" s="41"/>
      <c r="JS48" s="41"/>
      <c r="JT48" s="41"/>
      <c r="JU48" s="41"/>
      <c r="JV48" s="41"/>
      <c r="JW48" s="41"/>
      <c r="JX48" s="41"/>
      <c r="JY48" s="41"/>
      <c r="JZ48" s="41"/>
      <c r="KA48" s="41"/>
      <c r="KB48" s="41"/>
      <c r="KC48" s="41"/>
      <c r="KD48" s="41"/>
      <c r="KE48" s="41"/>
      <c r="KF48" s="41"/>
      <c r="KG48" s="41"/>
      <c r="KH48" s="41"/>
      <c r="KI48" s="41"/>
      <c r="KJ48" s="41"/>
      <c r="KK48" s="41"/>
      <c r="KL48" s="41"/>
      <c r="KM48" s="41"/>
      <c r="KN48" s="41"/>
      <c r="KO48" s="41"/>
      <c r="KP48" s="41"/>
      <c r="KQ48" s="41"/>
      <c r="KR48" s="41"/>
      <c r="KS48" s="41"/>
      <c r="KT48" s="41"/>
      <c r="KU48" s="41"/>
      <c r="KV48" s="41"/>
      <c r="KW48" s="41"/>
      <c r="KX48" s="41"/>
      <c r="KY48" s="41"/>
      <c r="KZ48" s="41"/>
      <c r="LA48" s="41"/>
      <c r="LB48" s="41"/>
      <c r="LC48" s="41"/>
      <c r="LD48" s="41"/>
      <c r="LE48" s="41"/>
      <c r="LF48" s="41"/>
      <c r="LG48" s="41"/>
      <c r="LH48" s="41"/>
      <c r="LI48" s="41"/>
      <c r="LJ48" s="41"/>
      <c r="LK48" s="41"/>
      <c r="LL48" s="41"/>
      <c r="LM48" s="41"/>
      <c r="LN48" s="41"/>
      <c r="LO48" s="41"/>
      <c r="LP48" s="41"/>
      <c r="LQ48" s="41"/>
      <c r="LR48" s="41"/>
      <c r="LS48" s="41"/>
      <c r="LT48" s="41"/>
      <c r="LU48" s="41"/>
      <c r="LV48" s="41"/>
      <c r="LW48" s="41"/>
      <c r="LX48" s="41"/>
      <c r="LY48" s="41"/>
      <c r="LZ48" s="41"/>
      <c r="MA48" s="41"/>
      <c r="MB48" s="41"/>
      <c r="MC48" s="41"/>
      <c r="MD48" s="41"/>
      <c r="ME48" s="41"/>
      <c r="MF48" s="41"/>
      <c r="MG48" s="41"/>
      <c r="MH48" s="41"/>
      <c r="MI48" s="41"/>
      <c r="MJ48" s="41"/>
      <c r="MK48" s="41"/>
      <c r="ML48" s="41"/>
      <c r="MM48" s="41"/>
      <c r="MN48" s="41"/>
      <c r="MO48" s="41"/>
      <c r="MP48" s="41"/>
      <c r="MQ48" s="41"/>
      <c r="MR48" s="41"/>
      <c r="MS48" s="41"/>
      <c r="MT48" s="41"/>
      <c r="MU48" s="41"/>
      <c r="MV48" s="41"/>
      <c r="MW48" s="41"/>
      <c r="MX48" s="41"/>
      <c r="MY48" s="41"/>
      <c r="MZ48" s="41"/>
      <c r="NA48" s="41"/>
      <c r="NB48" s="41"/>
      <c r="NC48" s="41"/>
      <c r="ND48" s="41"/>
      <c r="NE48" s="41"/>
      <c r="NF48" s="41"/>
      <c r="NG48" s="41"/>
      <c r="NH48" s="41"/>
      <c r="NI48" s="41"/>
      <c r="NJ48" s="41"/>
      <c r="NK48" s="41"/>
      <c r="NL48" s="41"/>
      <c r="NM48" s="41"/>
      <c r="NN48" s="41"/>
      <c r="NO48" s="41"/>
      <c r="NP48" s="41"/>
      <c r="NQ48" s="41"/>
      <c r="NR48" s="41"/>
      <c r="NS48" s="41"/>
      <c r="NT48" s="41"/>
      <c r="NU48" s="41"/>
      <c r="NV48" s="41"/>
      <c r="NW48" s="41"/>
      <c r="NX48" s="41"/>
      <c r="NY48" s="41"/>
      <c r="NZ48" s="41"/>
      <c r="OA48" s="41"/>
      <c r="OB48" s="41"/>
      <c r="OC48" s="41"/>
      <c r="OD48" s="41"/>
      <c r="OE48" s="41"/>
      <c r="OF48" s="41"/>
      <c r="OG48" s="41"/>
      <c r="OH48" s="41"/>
      <c r="OI48" s="41"/>
      <c r="OJ48" s="41"/>
      <c r="OK48" s="41"/>
      <c r="OL48" s="41"/>
      <c r="OM48" s="41"/>
      <c r="ON48" s="41"/>
      <c r="OO48" s="41"/>
      <c r="OP48" s="41"/>
      <c r="OQ48" s="41"/>
      <c r="OR48" s="41"/>
      <c r="OS48" s="41"/>
      <c r="OT48" s="41"/>
      <c r="OU48" s="41"/>
      <c r="OV48" s="41"/>
      <c r="OW48" s="41"/>
      <c r="OX48" s="41"/>
      <c r="OY48" s="41"/>
      <c r="OZ48" s="41"/>
      <c r="PA48" s="41"/>
      <c r="PB48" s="41"/>
      <c r="PC48" s="41"/>
      <c r="PD48" s="41"/>
      <c r="PE48" s="41"/>
      <c r="PF48" s="41"/>
      <c r="PG48" s="41"/>
      <c r="PH48" s="41"/>
      <c r="PI48" s="41"/>
      <c r="PJ48" s="41"/>
      <c r="PK48" s="41"/>
      <c r="PL48" s="41"/>
      <c r="PM48" s="41"/>
      <c r="PN48" s="41"/>
      <c r="PO48" s="41"/>
      <c r="PP48" s="41"/>
      <c r="PQ48" s="41"/>
      <c r="PR48" s="41"/>
      <c r="PS48" s="41"/>
      <c r="PT48" s="41"/>
      <c r="PU48" s="41"/>
      <c r="PV48" s="41"/>
      <c r="PW48" s="41"/>
      <c r="PX48" s="41"/>
      <c r="PY48" s="41"/>
      <c r="PZ48" s="41"/>
      <c r="QA48" s="41"/>
      <c r="QB48" s="41"/>
      <c r="QC48" s="41"/>
      <c r="QD48" s="41"/>
      <c r="QE48" s="41"/>
      <c r="QF48" s="41"/>
      <c r="QG48" s="41"/>
      <c r="QH48" s="41"/>
      <c r="QI48" s="41"/>
      <c r="QJ48" s="41"/>
      <c r="QK48" s="41"/>
      <c r="QL48" s="41"/>
      <c r="QM48" s="41"/>
      <c r="QN48" s="41"/>
      <c r="QO48" s="41"/>
      <c r="QP48" s="41"/>
      <c r="QQ48" s="41"/>
      <c r="QR48" s="41"/>
      <c r="QS48" s="41"/>
      <c r="QT48" s="41"/>
      <c r="QU48" s="41"/>
      <c r="QV48" s="41"/>
      <c r="QW48" s="41"/>
      <c r="QX48" s="41"/>
      <c r="QY48" s="41"/>
      <c r="QZ48" s="41"/>
      <c r="RA48" s="41"/>
      <c r="RB48" s="41"/>
      <c r="RC48" s="41"/>
      <c r="RD48" s="41"/>
      <c r="RE48" s="41"/>
      <c r="RF48" s="41"/>
      <c r="RG48" s="41"/>
      <c r="RH48" s="41"/>
      <c r="RI48" s="41"/>
      <c r="RJ48" s="41"/>
      <c r="RK48" s="41"/>
      <c r="RL48" s="41"/>
      <c r="RM48" s="41"/>
      <c r="RN48" s="41"/>
      <c r="RO48" s="41"/>
      <c r="RP48" s="41"/>
      <c r="RQ48" s="41"/>
      <c r="RR48" s="41"/>
      <c r="RS48" s="41"/>
      <c r="RT48" s="41"/>
      <c r="RU48" s="41"/>
      <c r="RV48" s="41"/>
      <c r="RW48" s="41"/>
      <c r="RX48" s="41"/>
      <c r="RY48" s="41"/>
      <c r="RZ48" s="41"/>
      <c r="SA48" s="41"/>
      <c r="SB48" s="41"/>
      <c r="SC48" s="41"/>
      <c r="SD48" s="41"/>
      <c r="SE48" s="41"/>
      <c r="SF48" s="41"/>
      <c r="SG48" s="41"/>
      <c r="SH48" s="41"/>
      <c r="SI48" s="41"/>
      <c r="SJ48" s="41"/>
      <c r="SK48" s="41"/>
      <c r="SL48" s="41"/>
      <c r="SM48" s="41"/>
      <c r="SN48" s="41"/>
      <c r="SO48" s="41"/>
      <c r="SP48" s="41"/>
      <c r="SQ48" s="41"/>
      <c r="SR48" s="41"/>
      <c r="SS48" s="41"/>
      <c r="ST48" s="41"/>
      <c r="SU48" s="41"/>
      <c r="SV48" s="41"/>
      <c r="SW48" s="41"/>
      <c r="SX48" s="41"/>
      <c r="SY48" s="41"/>
      <c r="SZ48" s="41"/>
      <c r="TA48" s="41"/>
      <c r="TB48" s="41"/>
      <c r="TC48" s="41"/>
      <c r="TD48" s="41"/>
      <c r="TE48" s="41"/>
      <c r="TF48" s="41"/>
      <c r="TG48" s="41"/>
      <c r="TH48" s="41"/>
      <c r="TI48" s="41"/>
      <c r="TJ48" s="41"/>
      <c r="TK48" s="41"/>
      <c r="TL48" s="41"/>
      <c r="TM48" s="41"/>
      <c r="TN48" s="41"/>
      <c r="TO48" s="41"/>
      <c r="TP48" s="41"/>
      <c r="TQ48" s="41"/>
      <c r="TR48" s="41"/>
      <c r="TS48" s="41"/>
      <c r="TT48" s="41"/>
      <c r="TU48" s="41"/>
      <c r="TV48" s="41"/>
      <c r="TW48" s="41"/>
      <c r="TX48" s="41"/>
      <c r="TY48" s="41"/>
      <c r="TZ48" s="41"/>
      <c r="UA48" s="41"/>
      <c r="UB48" s="41"/>
      <c r="UC48" s="41"/>
      <c r="UD48" s="41"/>
      <c r="UE48" s="41"/>
      <c r="UF48" s="41"/>
      <c r="UG48" s="41"/>
      <c r="UH48" s="41"/>
      <c r="UI48" s="41"/>
      <c r="UJ48" s="41"/>
      <c r="UK48" s="41"/>
      <c r="UL48" s="41"/>
      <c r="UM48" s="41"/>
      <c r="UN48" s="41"/>
      <c r="UO48" s="41"/>
      <c r="UP48" s="41"/>
      <c r="UQ48" s="41"/>
      <c r="UR48" s="41"/>
      <c r="US48" s="41"/>
      <c r="UT48" s="41"/>
      <c r="UU48" s="41"/>
      <c r="UV48" s="41"/>
      <c r="UW48" s="41"/>
      <c r="UX48" s="41"/>
      <c r="UY48" s="41"/>
      <c r="UZ48" s="41"/>
      <c r="VA48" s="41"/>
      <c r="VB48" s="41"/>
      <c r="VC48" s="41"/>
      <c r="VD48" s="41"/>
      <c r="VE48" s="41"/>
      <c r="VF48" s="41"/>
      <c r="VG48" s="41"/>
      <c r="VH48" s="41"/>
      <c r="VI48" s="41"/>
      <c r="VJ48" s="41"/>
      <c r="VK48" s="41"/>
      <c r="VL48" s="41"/>
      <c r="VM48" s="41"/>
      <c r="VN48" s="41"/>
      <c r="VO48" s="41"/>
      <c r="VP48" s="41"/>
      <c r="VQ48" s="41"/>
      <c r="VR48" s="41"/>
      <c r="VS48" s="41"/>
      <c r="VT48" s="41"/>
      <c r="VU48" s="41"/>
      <c r="VV48" s="41"/>
      <c r="VW48" s="41"/>
      <c r="VX48" s="41"/>
      <c r="VY48" s="41"/>
      <c r="VZ48" s="41"/>
      <c r="WA48" s="41"/>
      <c r="WB48" s="41"/>
      <c r="WC48" s="41"/>
      <c r="WD48" s="41"/>
      <c r="WE48" s="41"/>
      <c r="WF48" s="41"/>
      <c r="WG48" s="41"/>
      <c r="WH48" s="41"/>
      <c r="WI48" s="41"/>
      <c r="WJ48" s="41"/>
      <c r="WK48" s="41"/>
      <c r="WL48" s="41"/>
      <c r="WM48" s="41"/>
      <c r="WN48" s="41"/>
      <c r="WO48" s="41"/>
      <c r="WP48" s="41"/>
      <c r="WQ48" s="41"/>
      <c r="WR48" s="41"/>
      <c r="WS48" s="41"/>
      <c r="WT48" s="41"/>
      <c r="WU48" s="41"/>
      <c r="WV48" s="41"/>
      <c r="WW48" s="41"/>
      <c r="WX48" s="41"/>
      <c r="WY48" s="41"/>
      <c r="WZ48" s="41"/>
      <c r="XA48" s="41"/>
      <c r="XB48" s="41"/>
      <c r="XC48" s="41"/>
      <c r="XD48" s="41"/>
      <c r="XE48" s="41"/>
      <c r="XF48" s="41"/>
      <c r="XG48" s="41"/>
      <c r="XH48" s="41"/>
      <c r="XI48" s="41"/>
      <c r="XJ48" s="41"/>
      <c r="XK48" s="41"/>
      <c r="XL48" s="41"/>
      <c r="XM48" s="41"/>
      <c r="XN48" s="41"/>
      <c r="XO48" s="41"/>
      <c r="XP48" s="41"/>
      <c r="XQ48" s="41"/>
      <c r="XR48" s="41"/>
      <c r="XS48" s="41"/>
      <c r="XT48" s="41"/>
      <c r="XU48" s="41"/>
      <c r="XV48" s="41"/>
      <c r="XW48" s="41"/>
      <c r="XX48" s="41"/>
      <c r="XY48" s="41"/>
      <c r="XZ48" s="41"/>
      <c r="YA48" s="41"/>
      <c r="YB48" s="41"/>
      <c r="YC48" s="41"/>
      <c r="YD48" s="41"/>
      <c r="YE48" s="41"/>
      <c r="YF48" s="41"/>
      <c r="YG48" s="41"/>
      <c r="YH48" s="41"/>
      <c r="YI48" s="41"/>
      <c r="YJ48" s="41"/>
      <c r="YK48" s="41"/>
      <c r="YL48" s="41"/>
      <c r="YM48" s="41"/>
      <c r="YN48" s="41"/>
      <c r="YO48" s="41"/>
      <c r="YP48" s="41"/>
      <c r="YQ48" s="41"/>
      <c r="YR48" s="41"/>
      <c r="YS48" s="41"/>
      <c r="YT48" s="41"/>
      <c r="YU48" s="41"/>
      <c r="YV48" s="41"/>
      <c r="YW48" s="41"/>
      <c r="YX48" s="41"/>
      <c r="YY48" s="41"/>
      <c r="YZ48" s="41"/>
      <c r="ZA48" s="41"/>
      <c r="ZB48" s="41"/>
      <c r="ZC48" s="41"/>
      <c r="ZD48" s="41"/>
      <c r="ZE48" s="41"/>
      <c r="ZF48" s="41"/>
      <c r="ZG48" s="41"/>
      <c r="ZH48" s="41"/>
      <c r="ZI48" s="41"/>
      <c r="ZJ48" s="41"/>
      <c r="ZK48" s="41"/>
      <c r="ZL48" s="41"/>
      <c r="ZM48" s="41"/>
      <c r="ZN48" s="41"/>
      <c r="ZO48" s="41"/>
      <c r="ZP48" s="41"/>
      <c r="ZQ48" s="41"/>
      <c r="ZR48" s="41"/>
      <c r="ZS48" s="41"/>
      <c r="ZT48" s="41"/>
      <c r="ZU48" s="41"/>
      <c r="ZV48" s="41"/>
      <c r="ZW48" s="41"/>
      <c r="ZX48" s="41"/>
      <c r="ZY48" s="41"/>
      <c r="ZZ48" s="41"/>
      <c r="AAA48" s="41"/>
      <c r="AAB48" s="41"/>
      <c r="AAC48" s="41"/>
    </row>
    <row r="49" spans="1:705" s="42" customFormat="1" ht="48" hidden="1" customHeight="1" x14ac:dyDescent="0.3">
      <c r="A49" s="26">
        <v>45</v>
      </c>
      <c r="B49" s="140">
        <v>239535</v>
      </c>
      <c r="C49" s="140">
        <v>45</v>
      </c>
      <c r="D49" s="139">
        <v>45909</v>
      </c>
      <c r="E49" s="139">
        <f t="shared" si="8"/>
        <v>45908</v>
      </c>
      <c r="F49" s="139">
        <f t="shared" si="5"/>
        <v>45919</v>
      </c>
      <c r="G49" s="139">
        <v>45919</v>
      </c>
      <c r="H49" s="139">
        <v>45929</v>
      </c>
      <c r="I49" s="140" t="s">
        <v>75</v>
      </c>
      <c r="J49" s="140" t="s">
        <v>170</v>
      </c>
      <c r="K49" s="141">
        <f t="shared" si="9"/>
        <v>10</v>
      </c>
      <c r="L49" s="140">
        <v>1141551</v>
      </c>
      <c r="M49" s="140" t="s">
        <v>15</v>
      </c>
      <c r="N49" s="140">
        <v>803230</v>
      </c>
      <c r="O49" s="140" t="s">
        <v>246</v>
      </c>
      <c r="P49" s="143">
        <v>45920</v>
      </c>
      <c r="Q49" s="143">
        <v>45935</v>
      </c>
      <c r="R49" s="137" t="s">
        <v>211</v>
      </c>
      <c r="S49" s="140">
        <v>2224</v>
      </c>
      <c r="T49" s="154">
        <v>1</v>
      </c>
      <c r="U49" s="140" t="s">
        <v>122</v>
      </c>
      <c r="V49" s="154">
        <v>20</v>
      </c>
      <c r="W49" s="154">
        <v>20</v>
      </c>
      <c r="X49" s="155">
        <v>0</v>
      </c>
      <c r="Y49" s="154">
        <v>0</v>
      </c>
      <c r="Z49" s="154">
        <v>0</v>
      </c>
      <c r="AA49" s="154">
        <v>0</v>
      </c>
      <c r="AB49" s="154">
        <v>20</v>
      </c>
      <c r="AC49" s="154">
        <v>20</v>
      </c>
      <c r="AD49" s="154"/>
      <c r="AE49" s="154">
        <v>0</v>
      </c>
      <c r="AF49" s="154">
        <v>0</v>
      </c>
      <c r="AG49" s="154">
        <v>0</v>
      </c>
      <c r="AH49" s="154">
        <v>1</v>
      </c>
      <c r="AI49" s="154">
        <v>1</v>
      </c>
      <c r="AJ49" s="154">
        <v>0</v>
      </c>
      <c r="AK49" s="154">
        <v>0</v>
      </c>
      <c r="AL49" s="154">
        <v>0</v>
      </c>
      <c r="AM49" s="154">
        <v>0</v>
      </c>
      <c r="AN49" s="154">
        <v>0</v>
      </c>
      <c r="AO49" s="154">
        <v>0</v>
      </c>
      <c r="AP49" s="154">
        <v>1</v>
      </c>
      <c r="AQ49" s="154">
        <v>1</v>
      </c>
      <c r="AR49" s="154">
        <v>0</v>
      </c>
      <c r="AS49" s="154">
        <v>0</v>
      </c>
      <c r="AT49" s="154">
        <v>0</v>
      </c>
      <c r="AU49" s="154">
        <v>0</v>
      </c>
      <c r="AV49" s="154">
        <v>1</v>
      </c>
      <c r="AW49" s="154">
        <v>1</v>
      </c>
      <c r="AX49" s="146">
        <f t="shared" si="6"/>
        <v>4090</v>
      </c>
      <c r="AY49" s="146">
        <f t="shared" si="7"/>
        <v>4090</v>
      </c>
      <c r="AZ49" s="140" t="s">
        <v>562</v>
      </c>
      <c r="BA49" s="140" t="s">
        <v>562</v>
      </c>
      <c r="BB49" s="137">
        <v>5</v>
      </c>
      <c r="BC49" s="140">
        <v>45</v>
      </c>
      <c r="BD49" s="149"/>
      <c r="BE49" s="145"/>
      <c r="BF49" s="150"/>
      <c r="BG49" s="152">
        <v>45901</v>
      </c>
      <c r="BH49" s="153" t="s">
        <v>15</v>
      </c>
      <c r="BI49" s="153" t="s">
        <v>562</v>
      </c>
      <c r="CC49" s="41"/>
      <c r="CD49" s="41"/>
      <c r="CE49" s="41"/>
      <c r="CF49" s="41"/>
      <c r="CG49" s="41"/>
      <c r="CH49" s="41"/>
      <c r="CI49" s="41"/>
      <c r="CJ49" s="41"/>
      <c r="CK49" s="41"/>
      <c r="CL49" s="41"/>
      <c r="CM49" s="41"/>
      <c r="CN49" s="41"/>
      <c r="CO49" s="41"/>
      <c r="CP49" s="41"/>
      <c r="CQ49" s="41"/>
      <c r="CR49" s="41"/>
      <c r="CS49" s="41"/>
      <c r="CT49" s="41"/>
      <c r="CU49" s="41"/>
      <c r="CV49" s="41"/>
      <c r="CW49" s="41"/>
      <c r="CX49" s="41"/>
      <c r="CY49" s="41"/>
      <c r="CZ49" s="41"/>
      <c r="DA49" s="41"/>
      <c r="DB49" s="41"/>
      <c r="DC49" s="41"/>
      <c r="DD49" s="41"/>
      <c r="DE49" s="41"/>
      <c r="DF49" s="41"/>
      <c r="DG49" s="41"/>
      <c r="DH49" s="41"/>
      <c r="DI49" s="41"/>
      <c r="DJ49" s="41"/>
      <c r="DK49" s="41"/>
      <c r="DL49" s="41"/>
      <c r="DM49" s="41"/>
      <c r="DN49" s="41"/>
      <c r="DO49" s="41"/>
      <c r="DP49" s="41"/>
      <c r="DQ49" s="41"/>
      <c r="DR49" s="41"/>
      <c r="DS49" s="41"/>
      <c r="DT49" s="41"/>
      <c r="DU49" s="41"/>
      <c r="DV49" s="41"/>
      <c r="DW49" s="41"/>
      <c r="DX49" s="41"/>
      <c r="DY49" s="41"/>
      <c r="DZ49" s="41"/>
      <c r="EA49" s="41"/>
      <c r="EB49" s="41"/>
      <c r="EC49" s="41"/>
      <c r="ED49" s="41"/>
      <c r="EE49" s="41"/>
      <c r="EF49" s="41"/>
      <c r="EG49" s="41"/>
      <c r="EH49" s="41"/>
      <c r="EI49" s="41"/>
      <c r="EJ49" s="41"/>
      <c r="EK49" s="41"/>
      <c r="EL49" s="41"/>
      <c r="EM49" s="41"/>
      <c r="EN49" s="41"/>
      <c r="EO49" s="41"/>
      <c r="EP49" s="41"/>
      <c r="EQ49" s="41"/>
      <c r="ER49" s="41"/>
      <c r="ES49" s="41"/>
      <c r="ET49" s="41"/>
      <c r="EU49" s="41"/>
      <c r="EV49" s="41"/>
      <c r="EW49" s="41"/>
      <c r="EX49" s="41"/>
      <c r="EY49" s="41"/>
      <c r="EZ49" s="41"/>
      <c r="FA49" s="41"/>
      <c r="FB49" s="41"/>
      <c r="FC49" s="41"/>
      <c r="FD49" s="41"/>
      <c r="FE49" s="41"/>
      <c r="FF49" s="41"/>
      <c r="FG49" s="41"/>
      <c r="FH49" s="41"/>
      <c r="FI49" s="41"/>
      <c r="FJ49" s="41"/>
      <c r="FK49" s="41"/>
      <c r="FL49" s="41"/>
      <c r="FM49" s="41"/>
      <c r="FN49" s="41"/>
      <c r="FO49" s="41"/>
      <c r="FP49" s="41"/>
      <c r="FQ49" s="41"/>
      <c r="FR49" s="41"/>
      <c r="FS49" s="41"/>
      <c r="FT49" s="41"/>
      <c r="FU49" s="41"/>
      <c r="FV49" s="41"/>
      <c r="FW49" s="41"/>
      <c r="FX49" s="41"/>
      <c r="FY49" s="41"/>
      <c r="FZ49" s="41"/>
      <c r="GA49" s="41"/>
      <c r="GB49" s="41"/>
      <c r="GC49" s="41"/>
      <c r="GD49" s="41"/>
      <c r="GE49" s="41"/>
      <c r="GF49" s="41"/>
      <c r="GG49" s="41"/>
      <c r="GH49" s="41"/>
      <c r="GI49" s="41"/>
      <c r="GJ49" s="41"/>
      <c r="GK49" s="41"/>
      <c r="GL49" s="41"/>
      <c r="GM49" s="41"/>
      <c r="GN49" s="41"/>
      <c r="GO49" s="41"/>
      <c r="GP49" s="41"/>
      <c r="GQ49" s="41"/>
      <c r="GR49" s="41"/>
      <c r="GS49" s="41"/>
      <c r="GT49" s="41"/>
      <c r="GU49" s="41"/>
      <c r="GV49" s="41"/>
      <c r="GW49" s="41"/>
      <c r="GX49" s="41"/>
      <c r="GY49" s="41"/>
      <c r="GZ49" s="41"/>
      <c r="HA49" s="41"/>
      <c r="HB49" s="41"/>
      <c r="HC49" s="41"/>
      <c r="HD49" s="41"/>
      <c r="HE49" s="41"/>
      <c r="HF49" s="41"/>
      <c r="HG49" s="41"/>
      <c r="HH49" s="41"/>
      <c r="HI49" s="41"/>
      <c r="HJ49" s="41"/>
      <c r="HK49" s="41"/>
      <c r="HL49" s="41"/>
      <c r="HM49" s="41"/>
      <c r="HN49" s="41"/>
      <c r="HO49" s="41"/>
      <c r="HP49" s="41"/>
      <c r="HQ49" s="41"/>
      <c r="HR49" s="41"/>
      <c r="HS49" s="41"/>
      <c r="HT49" s="41"/>
      <c r="HU49" s="41"/>
      <c r="HV49" s="41"/>
      <c r="HW49" s="41"/>
      <c r="HX49" s="41"/>
      <c r="HY49" s="41"/>
      <c r="HZ49" s="41"/>
      <c r="IA49" s="41"/>
      <c r="IB49" s="41"/>
      <c r="IC49" s="41"/>
      <c r="ID49" s="41"/>
      <c r="IE49" s="41"/>
      <c r="IF49" s="41"/>
      <c r="IG49" s="41"/>
      <c r="IH49" s="41"/>
      <c r="II49" s="41"/>
      <c r="IJ49" s="41"/>
      <c r="IK49" s="41"/>
      <c r="IL49" s="41"/>
      <c r="IM49" s="41"/>
      <c r="IN49" s="41"/>
      <c r="IO49" s="41"/>
      <c r="IP49" s="41"/>
      <c r="IQ49" s="41"/>
      <c r="IR49" s="41"/>
      <c r="IS49" s="41"/>
      <c r="IT49" s="41"/>
      <c r="IU49" s="41"/>
      <c r="IV49" s="41"/>
      <c r="IW49" s="41"/>
      <c r="IX49" s="41"/>
      <c r="IY49" s="41"/>
      <c r="IZ49" s="41"/>
      <c r="JA49" s="41"/>
      <c r="JB49" s="41"/>
      <c r="JC49" s="41"/>
      <c r="JD49" s="41"/>
      <c r="JE49" s="41"/>
      <c r="JF49" s="41"/>
      <c r="JG49" s="41"/>
      <c r="JH49" s="41"/>
      <c r="JI49" s="41"/>
      <c r="JJ49" s="41"/>
      <c r="JK49" s="41"/>
      <c r="JL49" s="41"/>
      <c r="JM49" s="41"/>
      <c r="JN49" s="41"/>
      <c r="JO49" s="41"/>
      <c r="JP49" s="41"/>
      <c r="JQ49" s="41"/>
      <c r="JR49" s="41"/>
      <c r="JS49" s="41"/>
      <c r="JT49" s="41"/>
      <c r="JU49" s="41"/>
      <c r="JV49" s="41"/>
      <c r="JW49" s="41"/>
      <c r="JX49" s="41"/>
      <c r="JY49" s="41"/>
      <c r="JZ49" s="41"/>
      <c r="KA49" s="41"/>
      <c r="KB49" s="41"/>
      <c r="KC49" s="41"/>
      <c r="KD49" s="41"/>
      <c r="KE49" s="41"/>
      <c r="KF49" s="41"/>
      <c r="KG49" s="41"/>
      <c r="KH49" s="41"/>
      <c r="KI49" s="41"/>
      <c r="KJ49" s="41"/>
      <c r="KK49" s="41"/>
      <c r="KL49" s="41"/>
      <c r="KM49" s="41"/>
      <c r="KN49" s="41"/>
      <c r="KO49" s="41"/>
      <c r="KP49" s="41"/>
      <c r="KQ49" s="41"/>
      <c r="KR49" s="41"/>
      <c r="KS49" s="41"/>
      <c r="KT49" s="41"/>
      <c r="KU49" s="41"/>
      <c r="KV49" s="41"/>
      <c r="KW49" s="41"/>
      <c r="KX49" s="41"/>
      <c r="KY49" s="41"/>
      <c r="KZ49" s="41"/>
      <c r="LA49" s="41"/>
      <c r="LB49" s="41"/>
      <c r="LC49" s="41"/>
      <c r="LD49" s="41"/>
      <c r="LE49" s="41"/>
      <c r="LF49" s="41"/>
      <c r="LG49" s="41"/>
      <c r="LH49" s="41"/>
      <c r="LI49" s="41"/>
      <c r="LJ49" s="41"/>
      <c r="LK49" s="41"/>
      <c r="LL49" s="41"/>
      <c r="LM49" s="41"/>
      <c r="LN49" s="41"/>
      <c r="LO49" s="41"/>
      <c r="LP49" s="41"/>
      <c r="LQ49" s="41"/>
      <c r="LR49" s="41"/>
      <c r="LS49" s="41"/>
      <c r="LT49" s="41"/>
      <c r="LU49" s="41"/>
      <c r="LV49" s="41"/>
      <c r="LW49" s="41"/>
      <c r="LX49" s="41"/>
      <c r="LY49" s="41"/>
      <c r="LZ49" s="41"/>
      <c r="MA49" s="41"/>
      <c r="MB49" s="41"/>
      <c r="MC49" s="41"/>
      <c r="MD49" s="41"/>
      <c r="ME49" s="41"/>
      <c r="MF49" s="41"/>
      <c r="MG49" s="41"/>
      <c r="MH49" s="41"/>
      <c r="MI49" s="41"/>
      <c r="MJ49" s="41"/>
      <c r="MK49" s="41"/>
      <c r="ML49" s="41"/>
      <c r="MM49" s="41"/>
      <c r="MN49" s="41"/>
      <c r="MO49" s="41"/>
      <c r="MP49" s="41"/>
      <c r="MQ49" s="41"/>
      <c r="MR49" s="41"/>
      <c r="MS49" s="41"/>
      <c r="MT49" s="41"/>
      <c r="MU49" s="41"/>
      <c r="MV49" s="41"/>
      <c r="MW49" s="41"/>
      <c r="MX49" s="41"/>
      <c r="MY49" s="41"/>
      <c r="MZ49" s="41"/>
      <c r="NA49" s="41"/>
      <c r="NB49" s="41"/>
      <c r="NC49" s="41"/>
      <c r="ND49" s="41"/>
      <c r="NE49" s="41"/>
      <c r="NF49" s="41"/>
      <c r="NG49" s="41"/>
      <c r="NH49" s="41"/>
      <c r="NI49" s="41"/>
      <c r="NJ49" s="41"/>
      <c r="NK49" s="41"/>
      <c r="NL49" s="41"/>
      <c r="NM49" s="41"/>
      <c r="NN49" s="41"/>
      <c r="NO49" s="41"/>
      <c r="NP49" s="41"/>
      <c r="NQ49" s="41"/>
      <c r="NR49" s="41"/>
      <c r="NS49" s="41"/>
      <c r="NT49" s="41"/>
      <c r="NU49" s="41"/>
      <c r="NV49" s="41"/>
      <c r="NW49" s="41"/>
      <c r="NX49" s="41"/>
      <c r="NY49" s="41"/>
      <c r="NZ49" s="41"/>
      <c r="OA49" s="41"/>
      <c r="OB49" s="41"/>
      <c r="OC49" s="41"/>
      <c r="OD49" s="41"/>
      <c r="OE49" s="41"/>
      <c r="OF49" s="41"/>
      <c r="OG49" s="41"/>
      <c r="OH49" s="41"/>
      <c r="OI49" s="41"/>
      <c r="OJ49" s="41"/>
      <c r="OK49" s="41"/>
      <c r="OL49" s="41"/>
      <c r="OM49" s="41"/>
      <c r="ON49" s="41"/>
      <c r="OO49" s="41"/>
      <c r="OP49" s="41"/>
      <c r="OQ49" s="41"/>
      <c r="OR49" s="41"/>
      <c r="OS49" s="41"/>
      <c r="OT49" s="41"/>
      <c r="OU49" s="41"/>
      <c r="OV49" s="41"/>
      <c r="OW49" s="41"/>
      <c r="OX49" s="41"/>
      <c r="OY49" s="41"/>
      <c r="OZ49" s="41"/>
      <c r="PA49" s="41"/>
      <c r="PB49" s="41"/>
      <c r="PC49" s="41"/>
      <c r="PD49" s="41"/>
      <c r="PE49" s="41"/>
      <c r="PF49" s="41"/>
      <c r="PG49" s="41"/>
      <c r="PH49" s="41"/>
      <c r="PI49" s="41"/>
      <c r="PJ49" s="41"/>
      <c r="PK49" s="41"/>
      <c r="PL49" s="41"/>
      <c r="PM49" s="41"/>
      <c r="PN49" s="41"/>
      <c r="PO49" s="41"/>
      <c r="PP49" s="41"/>
      <c r="PQ49" s="41"/>
      <c r="PR49" s="41"/>
      <c r="PS49" s="41"/>
      <c r="PT49" s="41"/>
      <c r="PU49" s="41"/>
      <c r="PV49" s="41"/>
      <c r="PW49" s="41"/>
      <c r="PX49" s="41"/>
      <c r="PY49" s="41"/>
      <c r="PZ49" s="41"/>
      <c r="QA49" s="41"/>
      <c r="QB49" s="41"/>
      <c r="QC49" s="41"/>
      <c r="QD49" s="41"/>
      <c r="QE49" s="41"/>
      <c r="QF49" s="41"/>
      <c r="QG49" s="41"/>
      <c r="QH49" s="41"/>
      <c r="QI49" s="41"/>
      <c r="QJ49" s="41"/>
      <c r="QK49" s="41"/>
      <c r="QL49" s="41"/>
      <c r="QM49" s="41"/>
      <c r="QN49" s="41"/>
      <c r="QO49" s="41"/>
      <c r="QP49" s="41"/>
      <c r="QQ49" s="41"/>
      <c r="QR49" s="41"/>
      <c r="QS49" s="41"/>
      <c r="QT49" s="41"/>
      <c r="QU49" s="41"/>
      <c r="QV49" s="41"/>
      <c r="QW49" s="41"/>
      <c r="QX49" s="41"/>
      <c r="QY49" s="41"/>
      <c r="QZ49" s="41"/>
      <c r="RA49" s="41"/>
      <c r="RB49" s="41"/>
      <c r="RC49" s="41"/>
      <c r="RD49" s="41"/>
      <c r="RE49" s="41"/>
      <c r="RF49" s="41"/>
      <c r="RG49" s="41"/>
      <c r="RH49" s="41"/>
      <c r="RI49" s="41"/>
      <c r="RJ49" s="41"/>
      <c r="RK49" s="41"/>
      <c r="RL49" s="41"/>
      <c r="RM49" s="41"/>
      <c r="RN49" s="41"/>
      <c r="RO49" s="41"/>
      <c r="RP49" s="41"/>
      <c r="RQ49" s="41"/>
      <c r="RR49" s="41"/>
      <c r="RS49" s="41"/>
      <c r="RT49" s="41"/>
      <c r="RU49" s="41"/>
      <c r="RV49" s="41"/>
      <c r="RW49" s="41"/>
      <c r="RX49" s="41"/>
      <c r="RY49" s="41"/>
      <c r="RZ49" s="41"/>
      <c r="SA49" s="41"/>
      <c r="SB49" s="41"/>
      <c r="SC49" s="41"/>
      <c r="SD49" s="41"/>
      <c r="SE49" s="41"/>
      <c r="SF49" s="41"/>
      <c r="SG49" s="41"/>
      <c r="SH49" s="41"/>
      <c r="SI49" s="41"/>
      <c r="SJ49" s="41"/>
      <c r="SK49" s="41"/>
      <c r="SL49" s="41"/>
      <c r="SM49" s="41"/>
      <c r="SN49" s="41"/>
      <c r="SO49" s="41"/>
      <c r="SP49" s="41"/>
      <c r="SQ49" s="41"/>
      <c r="SR49" s="41"/>
      <c r="SS49" s="41"/>
      <c r="ST49" s="41"/>
      <c r="SU49" s="41"/>
      <c r="SV49" s="41"/>
      <c r="SW49" s="41"/>
      <c r="SX49" s="41"/>
      <c r="SY49" s="41"/>
      <c r="SZ49" s="41"/>
      <c r="TA49" s="41"/>
      <c r="TB49" s="41"/>
      <c r="TC49" s="41"/>
      <c r="TD49" s="41"/>
      <c r="TE49" s="41"/>
      <c r="TF49" s="41"/>
      <c r="TG49" s="41"/>
      <c r="TH49" s="41"/>
      <c r="TI49" s="41"/>
      <c r="TJ49" s="41"/>
      <c r="TK49" s="41"/>
      <c r="TL49" s="41"/>
      <c r="TM49" s="41"/>
      <c r="TN49" s="41"/>
      <c r="TO49" s="41"/>
      <c r="TP49" s="41"/>
      <c r="TQ49" s="41"/>
      <c r="TR49" s="41"/>
      <c r="TS49" s="41"/>
      <c r="TT49" s="41"/>
      <c r="TU49" s="41"/>
      <c r="TV49" s="41"/>
      <c r="TW49" s="41"/>
      <c r="TX49" s="41"/>
      <c r="TY49" s="41"/>
      <c r="TZ49" s="41"/>
      <c r="UA49" s="41"/>
      <c r="UB49" s="41"/>
      <c r="UC49" s="41"/>
      <c r="UD49" s="41"/>
      <c r="UE49" s="41"/>
      <c r="UF49" s="41"/>
      <c r="UG49" s="41"/>
      <c r="UH49" s="41"/>
      <c r="UI49" s="41"/>
      <c r="UJ49" s="41"/>
      <c r="UK49" s="41"/>
      <c r="UL49" s="41"/>
      <c r="UM49" s="41"/>
      <c r="UN49" s="41"/>
      <c r="UO49" s="41"/>
      <c r="UP49" s="41"/>
      <c r="UQ49" s="41"/>
      <c r="UR49" s="41"/>
      <c r="US49" s="41"/>
      <c r="UT49" s="41"/>
      <c r="UU49" s="41"/>
      <c r="UV49" s="41"/>
      <c r="UW49" s="41"/>
      <c r="UX49" s="41"/>
      <c r="UY49" s="41"/>
      <c r="UZ49" s="41"/>
      <c r="VA49" s="41"/>
      <c r="VB49" s="41"/>
      <c r="VC49" s="41"/>
      <c r="VD49" s="41"/>
      <c r="VE49" s="41"/>
      <c r="VF49" s="41"/>
      <c r="VG49" s="41"/>
      <c r="VH49" s="41"/>
      <c r="VI49" s="41"/>
      <c r="VJ49" s="41"/>
      <c r="VK49" s="41"/>
      <c r="VL49" s="41"/>
      <c r="VM49" s="41"/>
      <c r="VN49" s="41"/>
      <c r="VO49" s="41"/>
      <c r="VP49" s="41"/>
      <c r="VQ49" s="41"/>
      <c r="VR49" s="41"/>
      <c r="VS49" s="41"/>
      <c r="VT49" s="41"/>
      <c r="VU49" s="41"/>
      <c r="VV49" s="41"/>
      <c r="VW49" s="41"/>
      <c r="VX49" s="41"/>
      <c r="VY49" s="41"/>
      <c r="VZ49" s="41"/>
      <c r="WA49" s="41"/>
      <c r="WB49" s="41"/>
      <c r="WC49" s="41"/>
      <c r="WD49" s="41"/>
      <c r="WE49" s="41"/>
      <c r="WF49" s="41"/>
      <c r="WG49" s="41"/>
      <c r="WH49" s="41"/>
      <c r="WI49" s="41"/>
      <c r="WJ49" s="41"/>
      <c r="WK49" s="41"/>
      <c r="WL49" s="41"/>
      <c r="WM49" s="41"/>
      <c r="WN49" s="41"/>
      <c r="WO49" s="41"/>
      <c r="WP49" s="41"/>
      <c r="WQ49" s="41"/>
      <c r="WR49" s="41"/>
      <c r="WS49" s="41"/>
      <c r="WT49" s="41"/>
      <c r="WU49" s="41"/>
      <c r="WV49" s="41"/>
      <c r="WW49" s="41"/>
      <c r="WX49" s="41"/>
      <c r="WY49" s="41"/>
      <c r="WZ49" s="41"/>
      <c r="XA49" s="41"/>
      <c r="XB49" s="41"/>
      <c r="XC49" s="41"/>
      <c r="XD49" s="41"/>
      <c r="XE49" s="41"/>
      <c r="XF49" s="41"/>
      <c r="XG49" s="41"/>
      <c r="XH49" s="41"/>
      <c r="XI49" s="41"/>
      <c r="XJ49" s="41"/>
      <c r="XK49" s="41"/>
      <c r="XL49" s="41"/>
      <c r="XM49" s="41"/>
      <c r="XN49" s="41"/>
      <c r="XO49" s="41"/>
      <c r="XP49" s="41"/>
      <c r="XQ49" s="41"/>
      <c r="XR49" s="41"/>
      <c r="XS49" s="41"/>
      <c r="XT49" s="41"/>
      <c r="XU49" s="41"/>
      <c r="XV49" s="41"/>
      <c r="XW49" s="41"/>
      <c r="XX49" s="41"/>
      <c r="XY49" s="41"/>
      <c r="XZ49" s="41"/>
      <c r="YA49" s="41"/>
      <c r="YB49" s="41"/>
      <c r="YC49" s="41"/>
      <c r="YD49" s="41"/>
      <c r="YE49" s="41"/>
      <c r="YF49" s="41"/>
      <c r="YG49" s="41"/>
      <c r="YH49" s="41"/>
      <c r="YI49" s="41"/>
      <c r="YJ49" s="41"/>
      <c r="YK49" s="41"/>
      <c r="YL49" s="41"/>
      <c r="YM49" s="41"/>
      <c r="YN49" s="41"/>
      <c r="YO49" s="41"/>
      <c r="YP49" s="41"/>
      <c r="YQ49" s="41"/>
      <c r="YR49" s="41"/>
      <c r="YS49" s="41"/>
      <c r="YT49" s="41"/>
      <c r="YU49" s="41"/>
      <c r="YV49" s="41"/>
      <c r="YW49" s="41"/>
      <c r="YX49" s="41"/>
      <c r="YY49" s="41"/>
      <c r="YZ49" s="41"/>
      <c r="ZA49" s="41"/>
      <c r="ZB49" s="41"/>
      <c r="ZC49" s="41"/>
      <c r="ZD49" s="41"/>
      <c r="ZE49" s="41"/>
      <c r="ZF49" s="41"/>
      <c r="ZG49" s="41"/>
      <c r="ZH49" s="41"/>
      <c r="ZI49" s="41"/>
      <c r="ZJ49" s="41"/>
      <c r="ZK49" s="41"/>
      <c r="ZL49" s="41"/>
      <c r="ZM49" s="41"/>
      <c r="ZN49" s="41"/>
      <c r="ZO49" s="41"/>
      <c r="ZP49" s="41"/>
      <c r="ZQ49" s="41"/>
      <c r="ZR49" s="41"/>
      <c r="ZS49" s="41"/>
      <c r="ZT49" s="41"/>
      <c r="ZU49" s="41"/>
      <c r="ZV49" s="41"/>
      <c r="ZW49" s="41"/>
      <c r="ZX49" s="41"/>
      <c r="ZY49" s="41"/>
      <c r="ZZ49" s="41"/>
      <c r="AAA49" s="41"/>
      <c r="AAB49" s="41"/>
      <c r="AAC49" s="41"/>
    </row>
    <row r="50" spans="1:705" s="41" customFormat="1" ht="42" hidden="1" x14ac:dyDescent="0.3">
      <c r="A50" s="26">
        <v>46</v>
      </c>
      <c r="B50" s="140">
        <v>239536</v>
      </c>
      <c r="C50" s="140">
        <v>46</v>
      </c>
      <c r="D50" s="139">
        <v>45909</v>
      </c>
      <c r="E50" s="139">
        <f t="shared" si="8"/>
        <v>45908</v>
      </c>
      <c r="F50" s="139">
        <f t="shared" si="5"/>
        <v>45919</v>
      </c>
      <c r="G50" s="139">
        <v>45919</v>
      </c>
      <c r="H50" s="139">
        <v>45920</v>
      </c>
      <c r="I50" s="140" t="s">
        <v>75</v>
      </c>
      <c r="J50" s="140" t="s">
        <v>171</v>
      </c>
      <c r="K50" s="141">
        <f t="shared" si="9"/>
        <v>1</v>
      </c>
      <c r="L50" s="140">
        <v>1141567</v>
      </c>
      <c r="M50" s="140" t="s">
        <v>15</v>
      </c>
      <c r="N50" s="140">
        <v>803255</v>
      </c>
      <c r="O50" s="140" t="s">
        <v>246</v>
      </c>
      <c r="P50" s="143">
        <v>45917</v>
      </c>
      <c r="Q50" s="143">
        <v>45932</v>
      </c>
      <c r="R50" s="137" t="s">
        <v>211</v>
      </c>
      <c r="S50" s="140">
        <v>16152</v>
      </c>
      <c r="T50" s="154">
        <v>1</v>
      </c>
      <c r="U50" s="140" t="s">
        <v>98</v>
      </c>
      <c r="V50" s="154">
        <v>6</v>
      </c>
      <c r="W50" s="154">
        <v>6</v>
      </c>
      <c r="X50" s="155">
        <v>0</v>
      </c>
      <c r="Y50" s="154">
        <v>0</v>
      </c>
      <c r="Z50" s="154">
        <v>0</v>
      </c>
      <c r="AA50" s="154">
        <v>0</v>
      </c>
      <c r="AB50" s="154">
        <v>6</v>
      </c>
      <c r="AC50" s="154">
        <v>6</v>
      </c>
      <c r="AD50" s="154">
        <v>0</v>
      </c>
      <c r="AE50" s="154">
        <v>0</v>
      </c>
      <c r="AF50" s="154">
        <v>0</v>
      </c>
      <c r="AG50" s="154">
        <v>0</v>
      </c>
      <c r="AH50" s="154">
        <v>1</v>
      </c>
      <c r="AI50" s="154">
        <v>1</v>
      </c>
      <c r="AJ50" s="154">
        <v>0</v>
      </c>
      <c r="AK50" s="154">
        <v>0</v>
      </c>
      <c r="AL50" s="154">
        <v>0</v>
      </c>
      <c r="AM50" s="154">
        <v>0</v>
      </c>
      <c r="AN50" s="154">
        <v>0</v>
      </c>
      <c r="AO50" s="154">
        <v>0</v>
      </c>
      <c r="AP50" s="154">
        <v>1</v>
      </c>
      <c r="AQ50" s="154">
        <v>1</v>
      </c>
      <c r="AR50" s="154">
        <v>0</v>
      </c>
      <c r="AS50" s="154">
        <v>0</v>
      </c>
      <c r="AT50" s="154">
        <v>1</v>
      </c>
      <c r="AU50" s="154">
        <v>1</v>
      </c>
      <c r="AV50" s="154">
        <v>0</v>
      </c>
      <c r="AW50" s="154">
        <v>0</v>
      </c>
      <c r="AX50" s="146">
        <f t="shared" si="6"/>
        <v>1852</v>
      </c>
      <c r="AY50" s="146">
        <f t="shared" si="7"/>
        <v>1852</v>
      </c>
      <c r="AZ50" s="140" t="s">
        <v>562</v>
      </c>
      <c r="BA50" s="140" t="s">
        <v>562</v>
      </c>
      <c r="BB50" s="140">
        <v>1</v>
      </c>
      <c r="BC50" s="140">
        <v>46</v>
      </c>
      <c r="BD50" s="149"/>
      <c r="BE50" s="145"/>
      <c r="BF50" s="150"/>
      <c r="BG50" s="152">
        <v>45901</v>
      </c>
      <c r="BH50" s="153" t="s">
        <v>535</v>
      </c>
      <c r="BI50" s="153" t="s">
        <v>562</v>
      </c>
    </row>
    <row r="51" spans="1:705" s="41" customFormat="1" ht="42" hidden="1" x14ac:dyDescent="0.3">
      <c r="A51" s="26">
        <v>47</v>
      </c>
      <c r="B51" s="140">
        <v>239537</v>
      </c>
      <c r="C51" s="140">
        <v>47</v>
      </c>
      <c r="D51" s="139">
        <v>45909</v>
      </c>
      <c r="E51" s="139">
        <f t="shared" si="8"/>
        <v>45908</v>
      </c>
      <c r="F51" s="139">
        <f t="shared" si="5"/>
        <v>45919</v>
      </c>
      <c r="G51" s="139">
        <v>45919</v>
      </c>
      <c r="H51" s="139">
        <v>45948</v>
      </c>
      <c r="I51" s="140" t="s">
        <v>75</v>
      </c>
      <c r="J51" s="140" t="s">
        <v>172</v>
      </c>
      <c r="K51" s="141">
        <f t="shared" si="9"/>
        <v>29</v>
      </c>
      <c r="L51" s="140">
        <v>1141572</v>
      </c>
      <c r="M51" s="140" t="s">
        <v>15</v>
      </c>
      <c r="N51" s="142">
        <v>803250</v>
      </c>
      <c r="O51" s="140" t="s">
        <v>246</v>
      </c>
      <c r="P51" s="143">
        <v>45935</v>
      </c>
      <c r="Q51" s="143">
        <v>46107</v>
      </c>
      <c r="R51" s="137" t="s">
        <v>211</v>
      </c>
      <c r="S51" s="140">
        <v>4482</v>
      </c>
      <c r="T51" s="154">
        <v>1</v>
      </c>
      <c r="U51" s="140" t="s">
        <v>173</v>
      </c>
      <c r="V51" s="154">
        <v>5</v>
      </c>
      <c r="W51" s="154">
        <v>5</v>
      </c>
      <c r="X51" s="155">
        <v>0</v>
      </c>
      <c r="Y51" s="154">
        <v>0</v>
      </c>
      <c r="Z51" s="154">
        <v>0</v>
      </c>
      <c r="AA51" s="154">
        <v>0</v>
      </c>
      <c r="AB51" s="154">
        <v>5</v>
      </c>
      <c r="AC51" s="154">
        <v>5</v>
      </c>
      <c r="AD51" s="154">
        <v>0</v>
      </c>
      <c r="AE51" s="154">
        <v>0</v>
      </c>
      <c r="AF51" s="154">
        <v>0</v>
      </c>
      <c r="AG51" s="154">
        <v>0</v>
      </c>
      <c r="AH51" s="154">
        <v>1</v>
      </c>
      <c r="AI51" s="154">
        <v>1</v>
      </c>
      <c r="AJ51" s="154">
        <v>0</v>
      </c>
      <c r="AK51" s="154">
        <v>0</v>
      </c>
      <c r="AL51" s="154">
        <v>0</v>
      </c>
      <c r="AM51" s="154">
        <v>0</v>
      </c>
      <c r="AN51" s="154">
        <v>1</v>
      </c>
      <c r="AO51" s="154">
        <v>1</v>
      </c>
      <c r="AP51" s="154">
        <v>1</v>
      </c>
      <c r="AQ51" s="154">
        <v>1</v>
      </c>
      <c r="AR51" s="154"/>
      <c r="AS51" s="154">
        <v>0</v>
      </c>
      <c r="AT51" s="154">
        <v>1</v>
      </c>
      <c r="AU51" s="154">
        <v>1</v>
      </c>
      <c r="AV51" s="154">
        <v>0</v>
      </c>
      <c r="AW51" s="154">
        <v>0</v>
      </c>
      <c r="AX51" s="146">
        <f t="shared" si="6"/>
        <v>1795</v>
      </c>
      <c r="AY51" s="146">
        <f t="shared" si="7"/>
        <v>1795</v>
      </c>
      <c r="AZ51" s="140" t="s">
        <v>562</v>
      </c>
      <c r="BA51" s="140" t="s">
        <v>562</v>
      </c>
      <c r="BB51" s="140">
        <v>2</v>
      </c>
      <c r="BC51" s="140">
        <v>47</v>
      </c>
      <c r="BD51" s="149"/>
      <c r="BE51" s="145"/>
      <c r="BF51" s="150"/>
      <c r="BG51" s="152">
        <v>45931</v>
      </c>
      <c r="BH51" s="153" t="s">
        <v>535</v>
      </c>
      <c r="BI51" s="153" t="s">
        <v>562</v>
      </c>
    </row>
    <row r="52" spans="1:705" s="41" customFormat="1" ht="42" hidden="1" x14ac:dyDescent="0.3">
      <c r="A52" s="26">
        <v>48</v>
      </c>
      <c r="B52" s="137">
        <v>239538</v>
      </c>
      <c r="C52" s="138">
        <v>48</v>
      </c>
      <c r="D52" s="139">
        <v>45909</v>
      </c>
      <c r="E52" s="139">
        <f t="shared" si="8"/>
        <v>45908</v>
      </c>
      <c r="F52" s="139">
        <f t="shared" si="5"/>
        <v>45919</v>
      </c>
      <c r="G52" s="139">
        <v>45919</v>
      </c>
      <c r="H52" s="139">
        <v>45940</v>
      </c>
      <c r="I52" s="140" t="s">
        <v>75</v>
      </c>
      <c r="J52" s="140" t="s">
        <v>174</v>
      </c>
      <c r="K52" s="141">
        <f t="shared" si="9"/>
        <v>21</v>
      </c>
      <c r="L52" s="141">
        <v>1141577</v>
      </c>
      <c r="M52" s="140" t="s">
        <v>15</v>
      </c>
      <c r="N52" s="140">
        <v>803255</v>
      </c>
      <c r="O52" s="140" t="s">
        <v>246</v>
      </c>
      <c r="P52" s="143">
        <v>45917</v>
      </c>
      <c r="Q52" s="143">
        <v>45932</v>
      </c>
      <c r="R52" s="137" t="s">
        <v>211</v>
      </c>
      <c r="S52" s="144" t="s">
        <v>175</v>
      </c>
      <c r="T52" s="154">
        <v>1</v>
      </c>
      <c r="U52" s="137" t="s">
        <v>98</v>
      </c>
      <c r="V52" s="154">
        <v>0</v>
      </c>
      <c r="W52" s="146">
        <v>0</v>
      </c>
      <c r="X52" s="155">
        <v>0</v>
      </c>
      <c r="Y52" s="154">
        <v>0</v>
      </c>
      <c r="Z52" s="154">
        <v>0</v>
      </c>
      <c r="AA52" s="154">
        <v>0</v>
      </c>
      <c r="AB52" s="154">
        <v>0</v>
      </c>
      <c r="AC52" s="146"/>
      <c r="AD52" s="154">
        <v>0</v>
      </c>
      <c r="AE52" s="154">
        <v>0</v>
      </c>
      <c r="AF52" s="154">
        <v>0</v>
      </c>
      <c r="AG52" s="154">
        <v>0</v>
      </c>
      <c r="AH52" s="154">
        <v>1</v>
      </c>
      <c r="AI52" s="146">
        <v>1</v>
      </c>
      <c r="AJ52" s="146">
        <v>0</v>
      </c>
      <c r="AK52" s="146">
        <v>0</v>
      </c>
      <c r="AL52" s="146">
        <v>0</v>
      </c>
      <c r="AM52" s="146">
        <v>0</v>
      </c>
      <c r="AN52" s="146">
        <v>0</v>
      </c>
      <c r="AO52" s="146">
        <v>0</v>
      </c>
      <c r="AP52" s="154">
        <v>0</v>
      </c>
      <c r="AQ52" s="146"/>
      <c r="AR52" s="146">
        <v>0</v>
      </c>
      <c r="AS52" s="146">
        <v>0</v>
      </c>
      <c r="AT52" s="154">
        <v>1</v>
      </c>
      <c r="AU52" s="146">
        <v>1</v>
      </c>
      <c r="AV52" s="154">
        <v>0</v>
      </c>
      <c r="AW52" s="154">
        <v>0</v>
      </c>
      <c r="AX52" s="146">
        <f t="shared" si="6"/>
        <v>520</v>
      </c>
      <c r="AY52" s="146">
        <f t="shared" si="7"/>
        <v>520</v>
      </c>
      <c r="AZ52" s="140" t="s">
        <v>562</v>
      </c>
      <c r="BA52" s="140" t="s">
        <v>562</v>
      </c>
      <c r="BB52" s="140">
        <v>8</v>
      </c>
      <c r="BC52" s="148">
        <v>48</v>
      </c>
      <c r="BD52" s="149"/>
      <c r="BE52" s="145"/>
      <c r="BF52" s="150"/>
      <c r="BG52" s="152">
        <v>45901</v>
      </c>
      <c r="BH52" s="153" t="s">
        <v>15</v>
      </c>
      <c r="BI52" s="153" t="s">
        <v>562</v>
      </c>
    </row>
    <row r="53" spans="1:705" s="41" customFormat="1" ht="42" hidden="1" x14ac:dyDescent="0.3">
      <c r="A53" s="26">
        <v>49</v>
      </c>
      <c r="B53" s="137">
        <v>239548</v>
      </c>
      <c r="C53" s="138">
        <v>49</v>
      </c>
      <c r="D53" s="139">
        <v>45910</v>
      </c>
      <c r="E53" s="139">
        <f t="shared" si="8"/>
        <v>45909</v>
      </c>
      <c r="F53" s="139">
        <f t="shared" si="5"/>
        <v>45920</v>
      </c>
      <c r="G53" s="139">
        <v>45971</v>
      </c>
      <c r="H53" s="139">
        <v>45960</v>
      </c>
      <c r="I53" s="139" t="s">
        <v>123</v>
      </c>
      <c r="J53" s="140" t="s">
        <v>176</v>
      </c>
      <c r="K53" s="141">
        <f t="shared" si="9"/>
        <v>40</v>
      </c>
      <c r="L53" s="141">
        <v>1141843</v>
      </c>
      <c r="M53" s="140" t="s">
        <v>15</v>
      </c>
      <c r="N53" s="142" t="s">
        <v>623</v>
      </c>
      <c r="O53" s="140" t="s">
        <v>246</v>
      </c>
      <c r="P53" s="143">
        <v>45935</v>
      </c>
      <c r="Q53" s="143">
        <v>46114</v>
      </c>
      <c r="R53" s="137" t="s">
        <v>211</v>
      </c>
      <c r="S53" s="144" t="s">
        <v>177</v>
      </c>
      <c r="T53" s="154">
        <v>1</v>
      </c>
      <c r="U53" s="137" t="s">
        <v>106</v>
      </c>
      <c r="V53" s="146">
        <v>92</v>
      </c>
      <c r="W53" s="146">
        <v>92</v>
      </c>
      <c r="X53" s="155">
        <v>0</v>
      </c>
      <c r="Y53" s="154">
        <v>0</v>
      </c>
      <c r="Z53" s="154">
        <v>0</v>
      </c>
      <c r="AA53" s="154">
        <v>0</v>
      </c>
      <c r="AB53" s="146">
        <v>84</v>
      </c>
      <c r="AC53" s="146">
        <v>84</v>
      </c>
      <c r="AD53" s="154">
        <v>0</v>
      </c>
      <c r="AE53" s="154">
        <v>0</v>
      </c>
      <c r="AF53" s="154">
        <v>0</v>
      </c>
      <c r="AG53" s="154">
        <v>0</v>
      </c>
      <c r="AH53" s="146">
        <v>4</v>
      </c>
      <c r="AI53" s="146">
        <v>4</v>
      </c>
      <c r="AJ53" s="146">
        <v>0</v>
      </c>
      <c r="AK53" s="146">
        <v>0</v>
      </c>
      <c r="AL53" s="146">
        <v>3</v>
      </c>
      <c r="AM53" s="146">
        <v>3</v>
      </c>
      <c r="AN53" s="146">
        <v>6</v>
      </c>
      <c r="AO53" s="146">
        <v>6</v>
      </c>
      <c r="AP53" s="146">
        <v>4</v>
      </c>
      <c r="AQ53" s="146">
        <v>4</v>
      </c>
      <c r="AR53" s="146">
        <v>0</v>
      </c>
      <c r="AS53" s="146">
        <v>0</v>
      </c>
      <c r="AT53" s="146">
        <v>1</v>
      </c>
      <c r="AU53" s="146">
        <v>1</v>
      </c>
      <c r="AV53" s="154">
        <v>0</v>
      </c>
      <c r="AW53" s="154">
        <v>0</v>
      </c>
      <c r="AX53" s="146">
        <f t="shared" si="6"/>
        <v>15988</v>
      </c>
      <c r="AY53" s="146">
        <f t="shared" si="7"/>
        <v>15988</v>
      </c>
      <c r="AZ53" s="140" t="s">
        <v>562</v>
      </c>
      <c r="BA53" s="140" t="s">
        <v>562</v>
      </c>
      <c r="BB53" s="140">
        <v>6</v>
      </c>
      <c r="BC53" s="148">
        <v>49</v>
      </c>
      <c r="BD53" s="149"/>
      <c r="BE53" s="145"/>
      <c r="BF53" s="150"/>
      <c r="BG53" s="152">
        <v>45992</v>
      </c>
      <c r="BH53" s="153" t="s">
        <v>15</v>
      </c>
      <c r="BI53" s="153" t="s">
        <v>562</v>
      </c>
    </row>
    <row r="54" spans="1:705" s="41" customFormat="1" ht="42" hidden="1" x14ac:dyDescent="0.3">
      <c r="A54" s="26">
        <v>50</v>
      </c>
      <c r="B54" s="137">
        <v>239562</v>
      </c>
      <c r="C54" s="138">
        <v>50</v>
      </c>
      <c r="D54" s="139">
        <v>45910</v>
      </c>
      <c r="E54" s="139">
        <f t="shared" si="8"/>
        <v>45909</v>
      </c>
      <c r="F54" s="139">
        <f t="shared" si="5"/>
        <v>45920</v>
      </c>
      <c r="G54" s="139">
        <v>45920</v>
      </c>
      <c r="H54" s="139">
        <v>45928</v>
      </c>
      <c r="I54" s="139" t="s">
        <v>75</v>
      </c>
      <c r="J54" s="140" t="s">
        <v>179</v>
      </c>
      <c r="K54" s="141">
        <f t="shared" si="9"/>
        <v>8</v>
      </c>
      <c r="L54" s="141">
        <v>1142015</v>
      </c>
      <c r="M54" s="140" t="s">
        <v>15</v>
      </c>
      <c r="N54" s="140">
        <v>803626</v>
      </c>
      <c r="O54" s="140" t="s">
        <v>246</v>
      </c>
      <c r="P54" s="143">
        <v>45922</v>
      </c>
      <c r="Q54" s="143">
        <v>45937</v>
      </c>
      <c r="R54" s="137" t="s">
        <v>211</v>
      </c>
      <c r="S54" s="144" t="s">
        <v>180</v>
      </c>
      <c r="T54" s="154">
        <v>1</v>
      </c>
      <c r="U54" s="137" t="s">
        <v>181</v>
      </c>
      <c r="V54" s="146">
        <v>0</v>
      </c>
      <c r="W54" s="146">
        <v>0</v>
      </c>
      <c r="X54" s="155">
        <v>0</v>
      </c>
      <c r="Y54" s="154">
        <v>0</v>
      </c>
      <c r="Z54" s="154">
        <v>0</v>
      </c>
      <c r="AA54" s="154">
        <v>0</v>
      </c>
      <c r="AB54" s="146">
        <v>0</v>
      </c>
      <c r="AC54" s="146"/>
      <c r="AD54" s="154">
        <v>0</v>
      </c>
      <c r="AE54" s="154">
        <v>0</v>
      </c>
      <c r="AF54" s="154">
        <v>0</v>
      </c>
      <c r="AG54" s="154">
        <v>0</v>
      </c>
      <c r="AH54" s="146">
        <v>1</v>
      </c>
      <c r="AI54" s="146">
        <v>1</v>
      </c>
      <c r="AJ54" s="146">
        <v>0</v>
      </c>
      <c r="AK54" s="146">
        <v>0</v>
      </c>
      <c r="AL54" s="146">
        <v>0</v>
      </c>
      <c r="AM54" s="146">
        <v>0</v>
      </c>
      <c r="AN54" s="146">
        <v>0</v>
      </c>
      <c r="AO54" s="146">
        <v>0</v>
      </c>
      <c r="AP54" s="146">
        <v>0</v>
      </c>
      <c r="AQ54" s="146"/>
      <c r="AR54" s="146">
        <v>0</v>
      </c>
      <c r="AS54" s="146">
        <v>0</v>
      </c>
      <c r="AT54" s="146">
        <v>1</v>
      </c>
      <c r="AU54" s="146">
        <v>1</v>
      </c>
      <c r="AV54" s="154">
        <v>0</v>
      </c>
      <c r="AW54" s="154">
        <v>0</v>
      </c>
      <c r="AX54" s="146">
        <f t="shared" si="6"/>
        <v>520</v>
      </c>
      <c r="AY54" s="146">
        <f t="shared" si="7"/>
        <v>520</v>
      </c>
      <c r="AZ54" s="140" t="s">
        <v>562</v>
      </c>
      <c r="BA54" s="140" t="s">
        <v>562</v>
      </c>
      <c r="BB54" s="140">
        <v>7</v>
      </c>
      <c r="BC54" s="148">
        <v>50</v>
      </c>
      <c r="BD54" s="149"/>
      <c r="BE54" s="145"/>
      <c r="BF54" s="150"/>
      <c r="BG54" s="152">
        <v>45901</v>
      </c>
      <c r="BH54" s="153" t="s">
        <v>15</v>
      </c>
      <c r="BI54" s="153" t="s">
        <v>562</v>
      </c>
    </row>
    <row r="55" spans="1:705" s="108" customFormat="1" ht="42" hidden="1" x14ac:dyDescent="0.3">
      <c r="A55" s="26">
        <v>51</v>
      </c>
      <c r="B55" s="137">
        <v>239563</v>
      </c>
      <c r="C55" s="138">
        <v>51</v>
      </c>
      <c r="D55" s="139">
        <v>45910</v>
      </c>
      <c r="E55" s="139">
        <f t="shared" si="8"/>
        <v>45909</v>
      </c>
      <c r="F55" s="139">
        <f t="shared" si="5"/>
        <v>45920</v>
      </c>
      <c r="G55" s="139">
        <v>45920</v>
      </c>
      <c r="H55" s="139">
        <v>45937</v>
      </c>
      <c r="I55" s="139" t="s">
        <v>75</v>
      </c>
      <c r="J55" s="140" t="s">
        <v>182</v>
      </c>
      <c r="K55" s="141">
        <f t="shared" si="9"/>
        <v>17</v>
      </c>
      <c r="L55" s="142">
        <v>1142019</v>
      </c>
      <c r="M55" s="140" t="s">
        <v>15</v>
      </c>
      <c r="N55" s="142">
        <v>803247</v>
      </c>
      <c r="O55" s="140" t="s">
        <v>246</v>
      </c>
      <c r="P55" s="143">
        <v>45931</v>
      </c>
      <c r="Q55" s="143">
        <v>46107</v>
      </c>
      <c r="R55" s="137" t="s">
        <v>211</v>
      </c>
      <c r="S55" s="144" t="s">
        <v>183</v>
      </c>
      <c r="T55" s="154">
        <v>1</v>
      </c>
      <c r="U55" s="137" t="s">
        <v>160</v>
      </c>
      <c r="V55" s="146">
        <v>9</v>
      </c>
      <c r="W55" s="146">
        <v>9</v>
      </c>
      <c r="X55" s="155">
        <v>0</v>
      </c>
      <c r="Y55" s="154">
        <v>0</v>
      </c>
      <c r="Z55" s="154">
        <v>0</v>
      </c>
      <c r="AA55" s="154">
        <v>0</v>
      </c>
      <c r="AB55" s="146">
        <v>9</v>
      </c>
      <c r="AC55" s="146">
        <v>9</v>
      </c>
      <c r="AD55" s="154">
        <v>0</v>
      </c>
      <c r="AE55" s="154">
        <v>0</v>
      </c>
      <c r="AF55" s="154">
        <v>0</v>
      </c>
      <c r="AG55" s="154">
        <v>0</v>
      </c>
      <c r="AH55" s="146">
        <v>1</v>
      </c>
      <c r="AI55" s="146">
        <v>1</v>
      </c>
      <c r="AJ55" s="146">
        <v>0</v>
      </c>
      <c r="AK55" s="146">
        <v>0</v>
      </c>
      <c r="AL55" s="146">
        <v>0</v>
      </c>
      <c r="AM55" s="146">
        <v>0</v>
      </c>
      <c r="AN55" s="146">
        <v>1</v>
      </c>
      <c r="AO55" s="146">
        <v>1</v>
      </c>
      <c r="AP55" s="146">
        <v>1</v>
      </c>
      <c r="AQ55" s="146">
        <v>1</v>
      </c>
      <c r="AR55" s="146">
        <v>0</v>
      </c>
      <c r="AS55" s="146">
        <v>0</v>
      </c>
      <c r="AT55" s="146">
        <v>1</v>
      </c>
      <c r="AU55" s="146">
        <v>1</v>
      </c>
      <c r="AV55" s="154">
        <v>0</v>
      </c>
      <c r="AW55" s="154">
        <v>0</v>
      </c>
      <c r="AX55" s="146">
        <f t="shared" si="6"/>
        <v>2263</v>
      </c>
      <c r="AY55" s="146">
        <f t="shared" si="7"/>
        <v>2263</v>
      </c>
      <c r="AZ55" s="140" t="s">
        <v>562</v>
      </c>
      <c r="BA55" s="140" t="s">
        <v>562</v>
      </c>
      <c r="BB55" s="140">
        <v>2</v>
      </c>
      <c r="BC55" s="148">
        <v>51</v>
      </c>
      <c r="BD55" s="149"/>
      <c r="BE55" s="145"/>
      <c r="BF55" s="150"/>
      <c r="BG55" s="151">
        <v>45931</v>
      </c>
      <c r="BH55" s="153" t="s">
        <v>535</v>
      </c>
      <c r="BI55" s="153" t="s">
        <v>562</v>
      </c>
      <c r="BJ55" s="42"/>
      <c r="BK55" s="42"/>
      <c r="BL55" s="42"/>
      <c r="BM55" s="42"/>
      <c r="BN55" s="42"/>
      <c r="BO55" s="42"/>
      <c r="BP55" s="42"/>
      <c r="BQ55" s="42"/>
      <c r="BR55" s="42"/>
      <c r="BS55" s="42"/>
      <c r="BT55" s="42"/>
      <c r="BU55" s="42"/>
      <c r="BV55" s="42"/>
      <c r="BW55" s="42"/>
      <c r="BX55" s="42"/>
      <c r="BY55" s="42"/>
      <c r="BZ55" s="42"/>
      <c r="CA55" s="42"/>
      <c r="CB55" s="42"/>
      <c r="CC55" s="42"/>
      <c r="CD55" s="42"/>
      <c r="CE55" s="42"/>
      <c r="CF55" s="42"/>
      <c r="CG55" s="42"/>
      <c r="CH55" s="42"/>
      <c r="CI55" s="42"/>
      <c r="CJ55" s="42"/>
      <c r="CK55" s="42"/>
      <c r="CL55" s="42"/>
      <c r="CM55" s="42"/>
      <c r="CN55" s="42"/>
      <c r="CO55" s="42"/>
      <c r="CP55" s="42"/>
      <c r="CQ55" s="42"/>
      <c r="CR55" s="42"/>
      <c r="CS55" s="42"/>
      <c r="CT55" s="42"/>
      <c r="CU55" s="42"/>
      <c r="CV55" s="42"/>
      <c r="CW55" s="42"/>
      <c r="CX55" s="42"/>
      <c r="CY55" s="42"/>
      <c r="CZ55" s="42"/>
      <c r="DA55" s="42"/>
      <c r="DB55" s="42"/>
      <c r="DC55" s="42"/>
      <c r="DD55" s="42"/>
      <c r="DE55" s="42"/>
      <c r="DF55" s="42"/>
      <c r="DG55" s="42"/>
      <c r="DH55" s="42"/>
      <c r="DI55" s="42"/>
      <c r="DJ55" s="42"/>
      <c r="DK55" s="42"/>
      <c r="DL55" s="42"/>
      <c r="DM55" s="42"/>
      <c r="DN55" s="42"/>
      <c r="DO55" s="42"/>
      <c r="DP55" s="42"/>
      <c r="DQ55" s="42"/>
      <c r="DR55" s="42"/>
      <c r="DS55" s="42"/>
      <c r="DT55" s="42"/>
      <c r="DU55" s="42"/>
      <c r="DV55" s="42"/>
      <c r="DW55" s="42"/>
      <c r="DX55" s="42"/>
      <c r="DY55" s="42"/>
      <c r="DZ55" s="42"/>
      <c r="EA55" s="42"/>
      <c r="EB55" s="42"/>
      <c r="EC55" s="42"/>
      <c r="ED55" s="42"/>
      <c r="EE55" s="42"/>
      <c r="EF55" s="42"/>
      <c r="EG55" s="42"/>
      <c r="EH55" s="42"/>
      <c r="EI55" s="42"/>
      <c r="EJ55" s="42"/>
      <c r="EK55" s="42"/>
      <c r="EL55" s="42"/>
      <c r="EM55" s="42"/>
      <c r="EN55" s="42"/>
      <c r="EO55" s="42"/>
      <c r="EP55" s="42"/>
      <c r="EQ55" s="42"/>
      <c r="ER55" s="42"/>
      <c r="ES55" s="42"/>
      <c r="ET55" s="42"/>
      <c r="EU55" s="42"/>
      <c r="EV55" s="42"/>
      <c r="EW55" s="42"/>
      <c r="EX55" s="42"/>
      <c r="EY55" s="42"/>
      <c r="EZ55" s="42"/>
      <c r="FA55" s="42"/>
      <c r="FB55" s="42"/>
      <c r="FC55" s="42"/>
      <c r="FD55" s="42"/>
      <c r="FE55" s="42"/>
      <c r="FF55" s="42"/>
      <c r="FG55" s="42"/>
      <c r="FH55" s="42"/>
      <c r="FI55" s="42"/>
      <c r="FJ55" s="42"/>
      <c r="FK55" s="42"/>
      <c r="FL55" s="42"/>
      <c r="FM55" s="42"/>
      <c r="FN55" s="42"/>
      <c r="FO55" s="42"/>
      <c r="FP55" s="42"/>
      <c r="FQ55" s="42"/>
      <c r="FR55" s="42"/>
      <c r="FS55" s="42"/>
      <c r="FT55" s="42"/>
      <c r="FU55" s="42"/>
      <c r="FV55" s="42"/>
      <c r="FW55" s="42"/>
      <c r="FX55" s="42"/>
      <c r="FY55" s="42"/>
      <c r="FZ55" s="42"/>
      <c r="GA55" s="42"/>
      <c r="GB55" s="42"/>
      <c r="GC55" s="42"/>
      <c r="GD55" s="42"/>
      <c r="GE55" s="42"/>
      <c r="GF55" s="42"/>
      <c r="GG55" s="42"/>
      <c r="GH55" s="42"/>
      <c r="GI55" s="42"/>
      <c r="GJ55" s="42"/>
      <c r="GK55" s="42"/>
      <c r="GL55" s="42"/>
      <c r="GM55" s="42"/>
      <c r="GN55" s="42"/>
      <c r="GO55" s="42"/>
      <c r="GP55" s="42"/>
      <c r="GQ55" s="42"/>
      <c r="GR55" s="42"/>
      <c r="GS55" s="42"/>
      <c r="GT55" s="42"/>
      <c r="GU55" s="42"/>
      <c r="GV55" s="42"/>
      <c r="GW55" s="42"/>
      <c r="GX55" s="42"/>
      <c r="GY55" s="42"/>
      <c r="GZ55" s="42"/>
      <c r="HA55" s="42"/>
      <c r="HB55" s="42"/>
      <c r="HC55" s="42"/>
      <c r="HD55" s="42"/>
      <c r="HE55" s="42"/>
      <c r="HF55" s="42"/>
      <c r="HG55" s="42"/>
      <c r="HH55" s="42"/>
      <c r="HI55" s="42"/>
      <c r="HJ55" s="42"/>
      <c r="HK55" s="42"/>
      <c r="HL55" s="42"/>
      <c r="HM55" s="42"/>
      <c r="HN55" s="42"/>
      <c r="HO55" s="42"/>
      <c r="HP55" s="42"/>
      <c r="HQ55" s="42"/>
      <c r="HR55" s="42"/>
      <c r="HS55" s="42"/>
      <c r="HT55" s="42"/>
      <c r="HU55" s="42"/>
      <c r="HV55" s="42"/>
      <c r="HW55" s="42"/>
      <c r="HX55" s="42"/>
      <c r="HY55" s="42"/>
      <c r="HZ55" s="42"/>
      <c r="IA55" s="42"/>
      <c r="IB55" s="42"/>
      <c r="IC55" s="42"/>
      <c r="ID55" s="42"/>
      <c r="IE55" s="42"/>
      <c r="IF55" s="42"/>
      <c r="IG55" s="42"/>
      <c r="IH55" s="42"/>
      <c r="II55" s="42"/>
      <c r="IJ55" s="42"/>
      <c r="IK55" s="42"/>
      <c r="IL55" s="42"/>
      <c r="IM55" s="42"/>
      <c r="IN55" s="42"/>
      <c r="IO55" s="42"/>
      <c r="IP55" s="42"/>
      <c r="IQ55" s="42"/>
      <c r="IR55" s="42"/>
      <c r="IS55" s="42"/>
      <c r="IT55" s="42"/>
      <c r="IU55" s="42"/>
      <c r="IV55" s="42"/>
      <c r="IW55" s="42"/>
      <c r="IX55" s="42"/>
      <c r="IY55" s="42"/>
      <c r="IZ55" s="42"/>
      <c r="JA55" s="42"/>
      <c r="JB55" s="42"/>
      <c r="JC55" s="42"/>
      <c r="JD55" s="42"/>
      <c r="JE55" s="42"/>
      <c r="JF55" s="42"/>
      <c r="JG55" s="42"/>
      <c r="JH55" s="42"/>
      <c r="JI55" s="42"/>
      <c r="JJ55" s="42"/>
      <c r="JK55" s="42"/>
      <c r="JL55" s="42"/>
      <c r="JM55" s="42"/>
      <c r="JN55" s="42"/>
      <c r="JO55" s="42"/>
      <c r="JP55" s="42"/>
      <c r="JQ55" s="42"/>
      <c r="JR55" s="42"/>
      <c r="JS55" s="42"/>
      <c r="JT55" s="42"/>
      <c r="JU55" s="42"/>
      <c r="JV55" s="42"/>
      <c r="JW55" s="42"/>
      <c r="JX55" s="42"/>
      <c r="JY55" s="42"/>
      <c r="JZ55" s="42"/>
      <c r="KA55" s="42"/>
      <c r="KB55" s="42"/>
      <c r="KC55" s="42"/>
      <c r="KD55" s="42"/>
      <c r="KE55" s="42"/>
      <c r="KF55" s="42"/>
      <c r="KG55" s="42"/>
      <c r="KH55" s="42"/>
      <c r="KI55" s="42"/>
      <c r="KJ55" s="42"/>
      <c r="KK55" s="42"/>
      <c r="KL55" s="42"/>
      <c r="KM55" s="42"/>
      <c r="KN55" s="42"/>
      <c r="KO55" s="42"/>
      <c r="KP55" s="42"/>
      <c r="KQ55" s="42"/>
      <c r="KR55" s="42"/>
      <c r="KS55" s="42"/>
      <c r="KT55" s="42"/>
      <c r="KU55" s="42"/>
      <c r="KV55" s="42"/>
      <c r="KW55" s="42"/>
      <c r="KX55" s="42"/>
      <c r="KY55" s="42"/>
      <c r="KZ55" s="42"/>
      <c r="LA55" s="42"/>
      <c r="LB55" s="42"/>
      <c r="LC55" s="42"/>
      <c r="LD55" s="42"/>
      <c r="LE55" s="42"/>
      <c r="LF55" s="42"/>
      <c r="LG55" s="42"/>
      <c r="LH55" s="42"/>
      <c r="LI55" s="42"/>
      <c r="LJ55" s="42"/>
      <c r="LK55" s="42"/>
      <c r="LL55" s="42"/>
      <c r="LM55" s="42"/>
      <c r="LN55" s="42"/>
      <c r="LO55" s="42"/>
      <c r="LP55" s="42"/>
      <c r="LQ55" s="42"/>
      <c r="LR55" s="42"/>
      <c r="LS55" s="42"/>
      <c r="LT55" s="42"/>
      <c r="LU55" s="42"/>
      <c r="LV55" s="42"/>
      <c r="LW55" s="42"/>
      <c r="LX55" s="42"/>
      <c r="LY55" s="42"/>
      <c r="LZ55" s="42"/>
      <c r="MA55" s="42"/>
      <c r="MB55" s="42"/>
      <c r="MC55" s="42"/>
      <c r="MD55" s="42"/>
      <c r="ME55" s="42"/>
      <c r="MF55" s="42"/>
      <c r="MG55" s="42"/>
      <c r="MH55" s="42"/>
      <c r="MI55" s="42"/>
      <c r="MJ55" s="42"/>
      <c r="MK55" s="42"/>
      <c r="ML55" s="42"/>
      <c r="MM55" s="42"/>
      <c r="MN55" s="42"/>
      <c r="MO55" s="42"/>
      <c r="MP55" s="42"/>
      <c r="MQ55" s="42"/>
      <c r="MR55" s="42"/>
      <c r="MS55" s="42"/>
      <c r="MT55" s="42"/>
      <c r="MU55" s="42"/>
      <c r="MV55" s="42"/>
      <c r="MW55" s="42"/>
      <c r="MX55" s="42"/>
      <c r="MY55" s="42"/>
      <c r="MZ55" s="42"/>
      <c r="NA55" s="42"/>
      <c r="NB55" s="42"/>
      <c r="NC55" s="42"/>
      <c r="ND55" s="42"/>
      <c r="NE55" s="42"/>
      <c r="NF55" s="42"/>
      <c r="NG55" s="42"/>
      <c r="NH55" s="42"/>
      <c r="NI55" s="42"/>
      <c r="NJ55" s="42"/>
      <c r="NK55" s="42"/>
      <c r="NL55" s="42"/>
      <c r="NM55" s="42"/>
      <c r="NN55" s="42"/>
      <c r="NO55" s="42"/>
      <c r="NP55" s="42"/>
      <c r="NQ55" s="42"/>
      <c r="NR55" s="42"/>
      <c r="NS55" s="42"/>
      <c r="NT55" s="42"/>
      <c r="NU55" s="42"/>
      <c r="NV55" s="42"/>
      <c r="NW55" s="42"/>
      <c r="NX55" s="42"/>
      <c r="NY55" s="42"/>
      <c r="NZ55" s="42"/>
      <c r="OA55" s="42"/>
      <c r="OB55" s="42"/>
      <c r="OC55" s="42"/>
      <c r="OD55" s="42"/>
      <c r="OE55" s="42"/>
      <c r="OF55" s="42"/>
      <c r="OG55" s="42"/>
      <c r="OH55" s="42"/>
      <c r="OI55" s="42"/>
      <c r="OJ55" s="42"/>
      <c r="OK55" s="42"/>
      <c r="OL55" s="42"/>
      <c r="OM55" s="42"/>
      <c r="ON55" s="42"/>
      <c r="OO55" s="42"/>
      <c r="OP55" s="42"/>
      <c r="OQ55" s="42"/>
      <c r="OR55" s="42"/>
      <c r="OS55" s="42"/>
      <c r="OT55" s="42"/>
      <c r="OU55" s="42"/>
      <c r="OV55" s="42"/>
      <c r="OW55" s="42"/>
      <c r="OX55" s="42"/>
      <c r="OY55" s="42"/>
      <c r="OZ55" s="42"/>
      <c r="PA55" s="42"/>
      <c r="PB55" s="42"/>
      <c r="PC55" s="42"/>
      <c r="PD55" s="42"/>
      <c r="PE55" s="42"/>
      <c r="PF55" s="42"/>
      <c r="PG55" s="42"/>
      <c r="PH55" s="42"/>
      <c r="PI55" s="42"/>
      <c r="PJ55" s="42"/>
      <c r="PK55" s="42"/>
      <c r="PL55" s="42"/>
      <c r="PM55" s="42"/>
      <c r="PN55" s="42"/>
      <c r="PO55" s="42"/>
      <c r="PP55" s="42"/>
      <c r="PQ55" s="42"/>
      <c r="PR55" s="42"/>
      <c r="PS55" s="42"/>
      <c r="PT55" s="42"/>
      <c r="PU55" s="42"/>
      <c r="PV55" s="42"/>
      <c r="PW55" s="42"/>
      <c r="PX55" s="42"/>
      <c r="PY55" s="42"/>
      <c r="PZ55" s="42"/>
      <c r="QA55" s="42"/>
      <c r="QB55" s="42"/>
      <c r="QC55" s="42"/>
      <c r="QD55" s="42"/>
      <c r="QE55" s="42"/>
      <c r="QF55" s="42"/>
      <c r="QG55" s="42"/>
      <c r="QH55" s="42"/>
      <c r="QI55" s="42"/>
      <c r="QJ55" s="42"/>
      <c r="QK55" s="42"/>
      <c r="QL55" s="42"/>
      <c r="QM55" s="42"/>
      <c r="QN55" s="42"/>
      <c r="QO55" s="42"/>
      <c r="QP55" s="42"/>
      <c r="QQ55" s="42"/>
      <c r="QR55" s="42"/>
      <c r="QS55" s="42"/>
      <c r="QT55" s="42"/>
      <c r="QU55" s="42"/>
      <c r="QV55" s="42"/>
      <c r="QW55" s="42"/>
      <c r="QX55" s="42"/>
      <c r="QY55" s="42"/>
      <c r="QZ55" s="42"/>
      <c r="RA55" s="42"/>
      <c r="RB55" s="42"/>
      <c r="RC55" s="42"/>
      <c r="RD55" s="42"/>
      <c r="RE55" s="42"/>
      <c r="RF55" s="42"/>
      <c r="RG55" s="42"/>
      <c r="RH55" s="42"/>
      <c r="RI55" s="42"/>
      <c r="RJ55" s="42"/>
      <c r="RK55" s="42"/>
      <c r="RL55" s="42"/>
      <c r="RM55" s="42"/>
      <c r="RN55" s="42"/>
      <c r="RO55" s="42"/>
      <c r="RP55" s="42"/>
      <c r="RQ55" s="42"/>
      <c r="RR55" s="42"/>
      <c r="RS55" s="42"/>
      <c r="RT55" s="42"/>
      <c r="RU55" s="42"/>
      <c r="RV55" s="42"/>
      <c r="RW55" s="42"/>
      <c r="RX55" s="42"/>
      <c r="RY55" s="42"/>
      <c r="RZ55" s="42"/>
      <c r="SA55" s="42"/>
      <c r="SB55" s="42"/>
      <c r="SC55" s="42"/>
      <c r="SD55" s="42"/>
      <c r="SE55" s="42"/>
      <c r="SF55" s="42"/>
      <c r="SG55" s="42"/>
      <c r="SH55" s="42"/>
      <c r="SI55" s="42"/>
      <c r="SJ55" s="42"/>
      <c r="SK55" s="42"/>
      <c r="SL55" s="42"/>
      <c r="SM55" s="42"/>
      <c r="SN55" s="42"/>
      <c r="SO55" s="42"/>
      <c r="SP55" s="42"/>
      <c r="SQ55" s="42"/>
      <c r="SR55" s="42"/>
      <c r="SS55" s="42"/>
      <c r="ST55" s="42"/>
      <c r="SU55" s="42"/>
      <c r="SV55" s="42"/>
      <c r="SW55" s="42"/>
      <c r="SX55" s="42"/>
      <c r="SY55" s="42"/>
      <c r="SZ55" s="42"/>
      <c r="TA55" s="42"/>
      <c r="TB55" s="42"/>
      <c r="TC55" s="42"/>
      <c r="TD55" s="42"/>
      <c r="TE55" s="42"/>
      <c r="TF55" s="42"/>
      <c r="TG55" s="42"/>
      <c r="TH55" s="42"/>
      <c r="TI55" s="42"/>
      <c r="TJ55" s="42"/>
      <c r="TK55" s="42"/>
      <c r="TL55" s="42"/>
      <c r="TM55" s="42"/>
      <c r="TN55" s="42"/>
      <c r="TO55" s="42"/>
      <c r="TP55" s="42"/>
      <c r="TQ55" s="42"/>
      <c r="TR55" s="42"/>
      <c r="TS55" s="42"/>
      <c r="TT55" s="42"/>
      <c r="TU55" s="42"/>
      <c r="TV55" s="42"/>
      <c r="TW55" s="42"/>
      <c r="TX55" s="42"/>
      <c r="TY55" s="42"/>
      <c r="TZ55" s="42"/>
      <c r="UA55" s="42"/>
      <c r="UB55" s="42"/>
      <c r="UC55" s="42"/>
      <c r="UD55" s="42"/>
      <c r="UE55" s="42"/>
      <c r="UF55" s="42"/>
      <c r="UG55" s="42"/>
      <c r="UH55" s="42"/>
      <c r="UI55" s="42"/>
      <c r="UJ55" s="42"/>
      <c r="UK55" s="42"/>
      <c r="UL55" s="42"/>
      <c r="UM55" s="42"/>
      <c r="UN55" s="42"/>
      <c r="UO55" s="42"/>
      <c r="UP55" s="42"/>
      <c r="UQ55" s="42"/>
      <c r="UR55" s="42"/>
      <c r="US55" s="42"/>
      <c r="UT55" s="42"/>
      <c r="UU55" s="42"/>
      <c r="UV55" s="42"/>
      <c r="UW55" s="42"/>
      <c r="UX55" s="42"/>
      <c r="UY55" s="42"/>
      <c r="UZ55" s="42"/>
      <c r="VA55" s="42"/>
      <c r="VB55" s="42"/>
      <c r="VC55" s="42"/>
      <c r="VD55" s="42"/>
      <c r="VE55" s="42"/>
      <c r="VF55" s="42"/>
      <c r="VG55" s="42"/>
      <c r="VH55" s="42"/>
      <c r="VI55" s="42"/>
      <c r="VJ55" s="42"/>
      <c r="VK55" s="42"/>
      <c r="VL55" s="42"/>
      <c r="VM55" s="42"/>
      <c r="VN55" s="42"/>
      <c r="VO55" s="42"/>
      <c r="VP55" s="42"/>
      <c r="VQ55" s="42"/>
      <c r="VR55" s="42"/>
      <c r="VS55" s="42"/>
      <c r="VT55" s="42"/>
      <c r="VU55" s="42"/>
      <c r="VV55" s="42"/>
      <c r="VW55" s="42"/>
      <c r="VX55" s="42"/>
      <c r="VY55" s="42"/>
      <c r="VZ55" s="42"/>
      <c r="WA55" s="42"/>
      <c r="WB55" s="42"/>
      <c r="WC55" s="42"/>
      <c r="WD55" s="42"/>
      <c r="WE55" s="42"/>
      <c r="WF55" s="42"/>
      <c r="WG55" s="42"/>
      <c r="WH55" s="42"/>
      <c r="WI55" s="42"/>
      <c r="WJ55" s="42"/>
      <c r="WK55" s="42"/>
      <c r="WL55" s="42"/>
      <c r="WM55" s="42"/>
      <c r="WN55" s="42"/>
      <c r="WO55" s="42"/>
      <c r="WP55" s="42"/>
      <c r="WQ55" s="42"/>
      <c r="WR55" s="42"/>
      <c r="WS55" s="42"/>
      <c r="WT55" s="42"/>
      <c r="WU55" s="42"/>
      <c r="WV55" s="42"/>
      <c r="WW55" s="42"/>
      <c r="WX55" s="42"/>
      <c r="WY55" s="42"/>
      <c r="WZ55" s="42"/>
      <c r="XA55" s="42"/>
      <c r="XB55" s="42"/>
      <c r="XC55" s="42"/>
      <c r="XD55" s="42"/>
      <c r="XE55" s="42"/>
      <c r="XF55" s="42"/>
      <c r="XG55" s="42"/>
      <c r="XH55" s="42"/>
      <c r="XI55" s="42"/>
      <c r="XJ55" s="42"/>
      <c r="XK55" s="42"/>
      <c r="XL55" s="42"/>
      <c r="XM55" s="42"/>
      <c r="XN55" s="42"/>
      <c r="XO55" s="42"/>
      <c r="XP55" s="42"/>
      <c r="XQ55" s="42"/>
      <c r="XR55" s="42"/>
      <c r="XS55" s="42"/>
      <c r="XT55" s="42"/>
      <c r="XU55" s="42"/>
      <c r="XV55" s="42"/>
      <c r="XW55" s="42"/>
      <c r="XX55" s="42"/>
      <c r="XY55" s="42"/>
      <c r="XZ55" s="42"/>
      <c r="YA55" s="42"/>
      <c r="YB55" s="42"/>
      <c r="YC55" s="42"/>
      <c r="YD55" s="42"/>
      <c r="YE55" s="42"/>
      <c r="YF55" s="42"/>
      <c r="YG55" s="42"/>
      <c r="YH55" s="42"/>
      <c r="YI55" s="42"/>
      <c r="YJ55" s="42"/>
      <c r="YK55" s="42"/>
      <c r="YL55" s="42"/>
      <c r="YM55" s="42"/>
      <c r="YN55" s="42"/>
      <c r="YO55" s="42"/>
      <c r="YP55" s="42"/>
      <c r="YQ55" s="42"/>
      <c r="YR55" s="42"/>
      <c r="YS55" s="42"/>
      <c r="YT55" s="42"/>
      <c r="YU55" s="42"/>
      <c r="YV55" s="42"/>
      <c r="YW55" s="42"/>
      <c r="YX55" s="42"/>
      <c r="YY55" s="42"/>
      <c r="YZ55" s="42"/>
      <c r="ZA55" s="42"/>
      <c r="ZB55" s="42"/>
      <c r="ZC55" s="42"/>
      <c r="ZD55" s="42"/>
      <c r="ZE55" s="42"/>
      <c r="ZF55" s="42"/>
      <c r="ZG55" s="42"/>
      <c r="ZH55" s="42"/>
      <c r="ZI55" s="42"/>
      <c r="ZJ55" s="42"/>
      <c r="ZK55" s="42"/>
      <c r="ZL55" s="42"/>
      <c r="ZM55" s="42"/>
      <c r="ZN55" s="42"/>
      <c r="ZO55" s="42"/>
      <c r="ZP55" s="42"/>
      <c r="ZQ55" s="42"/>
      <c r="ZR55" s="42"/>
      <c r="ZS55" s="42"/>
      <c r="ZT55" s="42"/>
      <c r="ZU55" s="42"/>
      <c r="ZV55" s="42"/>
      <c r="ZW55" s="42"/>
      <c r="ZX55" s="42"/>
      <c r="ZY55" s="42"/>
      <c r="ZZ55" s="42"/>
      <c r="AAA55" s="42"/>
      <c r="AAB55" s="42"/>
      <c r="AAC55" s="42"/>
    </row>
    <row r="56" spans="1:705" s="108" customFormat="1" ht="42" hidden="1" x14ac:dyDescent="0.3">
      <c r="A56" s="26">
        <v>52</v>
      </c>
      <c r="B56" s="137">
        <v>239564</v>
      </c>
      <c r="C56" s="138">
        <v>52</v>
      </c>
      <c r="D56" s="139">
        <v>45910</v>
      </c>
      <c r="E56" s="139">
        <f t="shared" si="8"/>
        <v>45909</v>
      </c>
      <c r="F56" s="139">
        <f t="shared" si="5"/>
        <v>45920</v>
      </c>
      <c r="G56" s="139">
        <v>45920</v>
      </c>
      <c r="H56" s="139">
        <v>45942</v>
      </c>
      <c r="I56" s="139" t="s">
        <v>75</v>
      </c>
      <c r="J56" s="140" t="s">
        <v>185</v>
      </c>
      <c r="K56" s="141">
        <f t="shared" si="9"/>
        <v>22</v>
      </c>
      <c r="L56" s="142">
        <v>1142027</v>
      </c>
      <c r="M56" s="140" t="s">
        <v>15</v>
      </c>
      <c r="N56" s="142">
        <v>803628</v>
      </c>
      <c r="O56" s="140" t="s">
        <v>246</v>
      </c>
      <c r="P56" s="143">
        <v>45925</v>
      </c>
      <c r="Q56" s="143">
        <v>45940</v>
      </c>
      <c r="R56" s="137" t="s">
        <v>211</v>
      </c>
      <c r="S56" s="144" t="s">
        <v>184</v>
      </c>
      <c r="T56" s="154">
        <v>2</v>
      </c>
      <c r="U56" s="137" t="s">
        <v>186</v>
      </c>
      <c r="V56" s="146">
        <v>14</v>
      </c>
      <c r="W56" s="146">
        <v>14</v>
      </c>
      <c r="X56" s="155">
        <v>0</v>
      </c>
      <c r="Y56" s="154">
        <v>0</v>
      </c>
      <c r="Z56" s="154">
        <v>0</v>
      </c>
      <c r="AA56" s="154">
        <v>0</v>
      </c>
      <c r="AB56" s="146">
        <v>14</v>
      </c>
      <c r="AC56" s="146">
        <v>14</v>
      </c>
      <c r="AD56" s="154">
        <v>0</v>
      </c>
      <c r="AE56" s="154">
        <v>0</v>
      </c>
      <c r="AF56" s="154">
        <v>0</v>
      </c>
      <c r="AG56" s="154">
        <v>0</v>
      </c>
      <c r="AH56" s="146">
        <v>2</v>
      </c>
      <c r="AI56" s="146">
        <v>2</v>
      </c>
      <c r="AJ56" s="146">
        <v>0</v>
      </c>
      <c r="AK56" s="146">
        <v>0</v>
      </c>
      <c r="AL56" s="146">
        <v>0</v>
      </c>
      <c r="AM56" s="146">
        <v>0</v>
      </c>
      <c r="AN56" s="146">
        <v>0</v>
      </c>
      <c r="AO56" s="146">
        <v>0</v>
      </c>
      <c r="AP56" s="146">
        <v>2</v>
      </c>
      <c r="AQ56" s="146">
        <v>2</v>
      </c>
      <c r="AR56" s="146">
        <v>0</v>
      </c>
      <c r="AS56" s="146">
        <v>0</v>
      </c>
      <c r="AT56" s="146"/>
      <c r="AU56" s="146"/>
      <c r="AV56" s="154">
        <v>2</v>
      </c>
      <c r="AW56" s="154">
        <v>2</v>
      </c>
      <c r="AX56" s="146">
        <f t="shared" si="6"/>
        <v>5138</v>
      </c>
      <c r="AY56" s="146">
        <f t="shared" si="7"/>
        <v>5138</v>
      </c>
      <c r="AZ56" s="140" t="s">
        <v>562</v>
      </c>
      <c r="BA56" s="140" t="s">
        <v>562</v>
      </c>
      <c r="BB56" s="140">
        <v>3</v>
      </c>
      <c r="BC56" s="148">
        <v>52</v>
      </c>
      <c r="BD56" s="149"/>
      <c r="BE56" s="145"/>
      <c r="BF56" s="150"/>
      <c r="BG56" s="151">
        <v>45931</v>
      </c>
      <c r="BH56" s="153" t="s">
        <v>535</v>
      </c>
      <c r="BI56" s="153" t="s">
        <v>562</v>
      </c>
      <c r="BJ56" s="42"/>
      <c r="BK56" s="42"/>
      <c r="BL56" s="42"/>
      <c r="BM56" s="42"/>
      <c r="BN56" s="42"/>
      <c r="BO56" s="42"/>
      <c r="BP56" s="42"/>
      <c r="BQ56" s="42"/>
      <c r="BR56" s="42"/>
      <c r="BS56" s="42"/>
      <c r="BT56" s="42"/>
      <c r="BU56" s="42"/>
      <c r="BV56" s="42"/>
      <c r="BW56" s="42"/>
      <c r="BX56" s="42"/>
      <c r="BY56" s="42"/>
      <c r="BZ56" s="42"/>
      <c r="CA56" s="42"/>
      <c r="CB56" s="42"/>
      <c r="CC56" s="42"/>
      <c r="CD56" s="42"/>
      <c r="CE56" s="42"/>
      <c r="CF56" s="42"/>
      <c r="CG56" s="42"/>
      <c r="CH56" s="42"/>
      <c r="CI56" s="42"/>
      <c r="CJ56" s="42"/>
      <c r="CK56" s="42"/>
      <c r="CL56" s="42"/>
      <c r="CM56" s="42"/>
      <c r="CN56" s="42"/>
      <c r="CO56" s="42"/>
      <c r="CP56" s="42"/>
      <c r="CQ56" s="42"/>
      <c r="CR56" s="42"/>
      <c r="CS56" s="42"/>
      <c r="CT56" s="42"/>
      <c r="CU56" s="42"/>
      <c r="CV56" s="42"/>
      <c r="CW56" s="42"/>
      <c r="CX56" s="42"/>
      <c r="CY56" s="42"/>
      <c r="CZ56" s="42"/>
      <c r="DA56" s="42"/>
      <c r="DB56" s="42"/>
      <c r="DC56" s="42"/>
      <c r="DD56" s="42"/>
      <c r="DE56" s="42"/>
      <c r="DF56" s="42"/>
      <c r="DG56" s="42"/>
      <c r="DH56" s="42"/>
      <c r="DI56" s="42"/>
      <c r="DJ56" s="42"/>
      <c r="DK56" s="42"/>
      <c r="DL56" s="42"/>
      <c r="DM56" s="42"/>
      <c r="DN56" s="42"/>
      <c r="DO56" s="42"/>
      <c r="DP56" s="42"/>
      <c r="DQ56" s="42"/>
      <c r="DR56" s="42"/>
      <c r="DS56" s="42"/>
      <c r="DT56" s="42"/>
      <c r="DU56" s="42"/>
      <c r="DV56" s="42"/>
      <c r="DW56" s="42"/>
      <c r="DX56" s="42"/>
      <c r="DY56" s="42"/>
      <c r="DZ56" s="42"/>
      <c r="EA56" s="42"/>
      <c r="EB56" s="42"/>
      <c r="EC56" s="42"/>
      <c r="ED56" s="42"/>
      <c r="EE56" s="42"/>
      <c r="EF56" s="42"/>
      <c r="EG56" s="42"/>
      <c r="EH56" s="42"/>
      <c r="EI56" s="42"/>
      <c r="EJ56" s="42"/>
      <c r="EK56" s="42"/>
      <c r="EL56" s="42"/>
      <c r="EM56" s="42"/>
      <c r="EN56" s="42"/>
      <c r="EO56" s="42"/>
      <c r="EP56" s="42"/>
      <c r="EQ56" s="42"/>
      <c r="ER56" s="42"/>
      <c r="ES56" s="42"/>
      <c r="ET56" s="42"/>
      <c r="EU56" s="42"/>
      <c r="EV56" s="42"/>
      <c r="EW56" s="42"/>
      <c r="EX56" s="42"/>
      <c r="EY56" s="42"/>
      <c r="EZ56" s="42"/>
      <c r="FA56" s="42"/>
      <c r="FB56" s="42"/>
      <c r="FC56" s="42"/>
      <c r="FD56" s="42"/>
      <c r="FE56" s="42"/>
      <c r="FF56" s="42"/>
      <c r="FG56" s="42"/>
      <c r="FH56" s="42"/>
      <c r="FI56" s="42"/>
      <c r="FJ56" s="42"/>
      <c r="FK56" s="42"/>
      <c r="FL56" s="42"/>
      <c r="FM56" s="42"/>
      <c r="FN56" s="42"/>
      <c r="FO56" s="42"/>
      <c r="FP56" s="42"/>
      <c r="FQ56" s="42"/>
      <c r="FR56" s="42"/>
      <c r="FS56" s="42"/>
      <c r="FT56" s="42"/>
      <c r="FU56" s="42"/>
      <c r="FV56" s="42"/>
      <c r="FW56" s="42"/>
      <c r="FX56" s="42"/>
      <c r="FY56" s="42"/>
      <c r="FZ56" s="42"/>
      <c r="GA56" s="42"/>
      <c r="GB56" s="42"/>
      <c r="GC56" s="42"/>
      <c r="GD56" s="42"/>
      <c r="GE56" s="42"/>
      <c r="GF56" s="42"/>
      <c r="GG56" s="42"/>
      <c r="GH56" s="42"/>
      <c r="GI56" s="42"/>
      <c r="GJ56" s="42"/>
      <c r="GK56" s="42"/>
      <c r="GL56" s="42"/>
      <c r="GM56" s="42"/>
      <c r="GN56" s="42"/>
      <c r="GO56" s="42"/>
      <c r="GP56" s="42"/>
      <c r="GQ56" s="42"/>
      <c r="GR56" s="42"/>
      <c r="GS56" s="42"/>
      <c r="GT56" s="42"/>
      <c r="GU56" s="42"/>
      <c r="GV56" s="42"/>
      <c r="GW56" s="42"/>
      <c r="GX56" s="42"/>
      <c r="GY56" s="42"/>
      <c r="GZ56" s="42"/>
      <c r="HA56" s="42"/>
      <c r="HB56" s="42"/>
      <c r="HC56" s="42"/>
      <c r="HD56" s="42"/>
      <c r="HE56" s="42"/>
      <c r="HF56" s="42"/>
      <c r="HG56" s="42"/>
      <c r="HH56" s="42"/>
      <c r="HI56" s="42"/>
      <c r="HJ56" s="42"/>
      <c r="HK56" s="42"/>
      <c r="HL56" s="42"/>
      <c r="HM56" s="42"/>
      <c r="HN56" s="42"/>
      <c r="HO56" s="42"/>
      <c r="HP56" s="42"/>
      <c r="HQ56" s="42"/>
      <c r="HR56" s="42"/>
      <c r="HS56" s="42"/>
      <c r="HT56" s="42"/>
      <c r="HU56" s="42"/>
      <c r="HV56" s="42"/>
      <c r="HW56" s="42"/>
      <c r="HX56" s="42"/>
      <c r="HY56" s="42"/>
      <c r="HZ56" s="42"/>
      <c r="IA56" s="42"/>
      <c r="IB56" s="42"/>
      <c r="IC56" s="42"/>
      <c r="ID56" s="42"/>
      <c r="IE56" s="42"/>
      <c r="IF56" s="42"/>
      <c r="IG56" s="42"/>
      <c r="IH56" s="42"/>
      <c r="II56" s="42"/>
      <c r="IJ56" s="42"/>
      <c r="IK56" s="42"/>
      <c r="IL56" s="42"/>
      <c r="IM56" s="42"/>
      <c r="IN56" s="42"/>
      <c r="IO56" s="42"/>
      <c r="IP56" s="42"/>
      <c r="IQ56" s="42"/>
      <c r="IR56" s="42"/>
      <c r="IS56" s="42"/>
      <c r="IT56" s="42"/>
      <c r="IU56" s="42"/>
      <c r="IV56" s="42"/>
      <c r="IW56" s="42"/>
      <c r="IX56" s="42"/>
      <c r="IY56" s="42"/>
      <c r="IZ56" s="42"/>
      <c r="JA56" s="42"/>
      <c r="JB56" s="42"/>
      <c r="JC56" s="42"/>
      <c r="JD56" s="42"/>
      <c r="JE56" s="42"/>
      <c r="JF56" s="42"/>
      <c r="JG56" s="42"/>
      <c r="JH56" s="42"/>
      <c r="JI56" s="42"/>
      <c r="JJ56" s="42"/>
      <c r="JK56" s="42"/>
      <c r="JL56" s="42"/>
      <c r="JM56" s="42"/>
      <c r="JN56" s="42"/>
      <c r="JO56" s="42"/>
      <c r="JP56" s="42"/>
      <c r="JQ56" s="42"/>
      <c r="JR56" s="42"/>
      <c r="JS56" s="42"/>
      <c r="JT56" s="42"/>
      <c r="JU56" s="42"/>
      <c r="JV56" s="42"/>
      <c r="JW56" s="42"/>
      <c r="JX56" s="42"/>
      <c r="JY56" s="42"/>
      <c r="JZ56" s="42"/>
      <c r="KA56" s="42"/>
      <c r="KB56" s="42"/>
      <c r="KC56" s="42"/>
      <c r="KD56" s="42"/>
      <c r="KE56" s="42"/>
      <c r="KF56" s="42"/>
      <c r="KG56" s="42"/>
      <c r="KH56" s="42"/>
      <c r="KI56" s="42"/>
      <c r="KJ56" s="42"/>
      <c r="KK56" s="42"/>
      <c r="KL56" s="42"/>
      <c r="KM56" s="42"/>
      <c r="KN56" s="42"/>
      <c r="KO56" s="42"/>
      <c r="KP56" s="42"/>
      <c r="KQ56" s="42"/>
      <c r="KR56" s="42"/>
      <c r="KS56" s="42"/>
      <c r="KT56" s="42"/>
      <c r="KU56" s="42"/>
      <c r="KV56" s="42"/>
      <c r="KW56" s="42"/>
      <c r="KX56" s="42"/>
      <c r="KY56" s="42"/>
      <c r="KZ56" s="42"/>
      <c r="LA56" s="42"/>
      <c r="LB56" s="42"/>
      <c r="LC56" s="42"/>
      <c r="LD56" s="42"/>
      <c r="LE56" s="42"/>
      <c r="LF56" s="42"/>
      <c r="LG56" s="42"/>
      <c r="LH56" s="42"/>
      <c r="LI56" s="42"/>
      <c r="LJ56" s="42"/>
      <c r="LK56" s="42"/>
      <c r="LL56" s="42"/>
      <c r="LM56" s="42"/>
      <c r="LN56" s="42"/>
      <c r="LO56" s="42"/>
      <c r="LP56" s="42"/>
      <c r="LQ56" s="42"/>
      <c r="LR56" s="42"/>
      <c r="LS56" s="42"/>
      <c r="LT56" s="42"/>
      <c r="LU56" s="42"/>
      <c r="LV56" s="42"/>
      <c r="LW56" s="42"/>
      <c r="LX56" s="42"/>
      <c r="LY56" s="42"/>
      <c r="LZ56" s="42"/>
      <c r="MA56" s="42"/>
      <c r="MB56" s="42"/>
      <c r="MC56" s="42"/>
      <c r="MD56" s="42"/>
      <c r="ME56" s="42"/>
      <c r="MF56" s="42"/>
      <c r="MG56" s="42"/>
      <c r="MH56" s="42"/>
      <c r="MI56" s="42"/>
      <c r="MJ56" s="42"/>
      <c r="MK56" s="42"/>
      <c r="ML56" s="42"/>
      <c r="MM56" s="42"/>
      <c r="MN56" s="42"/>
      <c r="MO56" s="42"/>
      <c r="MP56" s="42"/>
      <c r="MQ56" s="42"/>
      <c r="MR56" s="42"/>
      <c r="MS56" s="42"/>
      <c r="MT56" s="42"/>
      <c r="MU56" s="42"/>
      <c r="MV56" s="42"/>
      <c r="MW56" s="42"/>
      <c r="MX56" s="42"/>
      <c r="MY56" s="42"/>
      <c r="MZ56" s="42"/>
      <c r="NA56" s="42"/>
      <c r="NB56" s="42"/>
      <c r="NC56" s="42"/>
      <c r="ND56" s="42"/>
      <c r="NE56" s="42"/>
      <c r="NF56" s="42"/>
      <c r="NG56" s="42"/>
      <c r="NH56" s="42"/>
      <c r="NI56" s="42"/>
      <c r="NJ56" s="42"/>
      <c r="NK56" s="42"/>
      <c r="NL56" s="42"/>
      <c r="NM56" s="42"/>
      <c r="NN56" s="42"/>
      <c r="NO56" s="42"/>
      <c r="NP56" s="42"/>
      <c r="NQ56" s="42"/>
      <c r="NR56" s="42"/>
      <c r="NS56" s="42"/>
      <c r="NT56" s="42"/>
      <c r="NU56" s="42"/>
      <c r="NV56" s="42"/>
      <c r="NW56" s="42"/>
      <c r="NX56" s="42"/>
      <c r="NY56" s="42"/>
      <c r="NZ56" s="42"/>
      <c r="OA56" s="42"/>
      <c r="OB56" s="42"/>
      <c r="OC56" s="42"/>
      <c r="OD56" s="42"/>
      <c r="OE56" s="42"/>
      <c r="OF56" s="42"/>
      <c r="OG56" s="42"/>
      <c r="OH56" s="42"/>
      <c r="OI56" s="42"/>
      <c r="OJ56" s="42"/>
      <c r="OK56" s="42"/>
      <c r="OL56" s="42"/>
      <c r="OM56" s="42"/>
      <c r="ON56" s="42"/>
      <c r="OO56" s="42"/>
      <c r="OP56" s="42"/>
      <c r="OQ56" s="42"/>
      <c r="OR56" s="42"/>
      <c r="OS56" s="42"/>
      <c r="OT56" s="42"/>
      <c r="OU56" s="42"/>
      <c r="OV56" s="42"/>
      <c r="OW56" s="42"/>
      <c r="OX56" s="42"/>
      <c r="OY56" s="42"/>
      <c r="OZ56" s="42"/>
      <c r="PA56" s="42"/>
      <c r="PB56" s="42"/>
      <c r="PC56" s="42"/>
      <c r="PD56" s="42"/>
      <c r="PE56" s="42"/>
      <c r="PF56" s="42"/>
      <c r="PG56" s="42"/>
      <c r="PH56" s="42"/>
      <c r="PI56" s="42"/>
      <c r="PJ56" s="42"/>
      <c r="PK56" s="42"/>
      <c r="PL56" s="42"/>
      <c r="PM56" s="42"/>
      <c r="PN56" s="42"/>
      <c r="PO56" s="42"/>
      <c r="PP56" s="42"/>
      <c r="PQ56" s="42"/>
      <c r="PR56" s="42"/>
      <c r="PS56" s="42"/>
      <c r="PT56" s="42"/>
      <c r="PU56" s="42"/>
      <c r="PV56" s="42"/>
      <c r="PW56" s="42"/>
      <c r="PX56" s="42"/>
      <c r="PY56" s="42"/>
      <c r="PZ56" s="42"/>
      <c r="QA56" s="42"/>
      <c r="QB56" s="42"/>
      <c r="QC56" s="42"/>
      <c r="QD56" s="42"/>
      <c r="QE56" s="42"/>
      <c r="QF56" s="42"/>
      <c r="QG56" s="42"/>
      <c r="QH56" s="42"/>
      <c r="QI56" s="42"/>
      <c r="QJ56" s="42"/>
      <c r="QK56" s="42"/>
      <c r="QL56" s="42"/>
      <c r="QM56" s="42"/>
      <c r="QN56" s="42"/>
      <c r="QO56" s="42"/>
      <c r="QP56" s="42"/>
      <c r="QQ56" s="42"/>
      <c r="QR56" s="42"/>
      <c r="QS56" s="42"/>
      <c r="QT56" s="42"/>
      <c r="QU56" s="42"/>
      <c r="QV56" s="42"/>
      <c r="QW56" s="42"/>
      <c r="QX56" s="42"/>
      <c r="QY56" s="42"/>
      <c r="QZ56" s="42"/>
      <c r="RA56" s="42"/>
      <c r="RB56" s="42"/>
      <c r="RC56" s="42"/>
      <c r="RD56" s="42"/>
      <c r="RE56" s="42"/>
      <c r="RF56" s="42"/>
      <c r="RG56" s="42"/>
      <c r="RH56" s="42"/>
      <c r="RI56" s="42"/>
      <c r="RJ56" s="42"/>
      <c r="RK56" s="42"/>
      <c r="RL56" s="42"/>
      <c r="RM56" s="42"/>
      <c r="RN56" s="42"/>
      <c r="RO56" s="42"/>
      <c r="RP56" s="42"/>
      <c r="RQ56" s="42"/>
      <c r="RR56" s="42"/>
      <c r="RS56" s="42"/>
      <c r="RT56" s="42"/>
      <c r="RU56" s="42"/>
      <c r="RV56" s="42"/>
      <c r="RW56" s="42"/>
      <c r="RX56" s="42"/>
      <c r="RY56" s="42"/>
      <c r="RZ56" s="42"/>
      <c r="SA56" s="42"/>
      <c r="SB56" s="42"/>
      <c r="SC56" s="42"/>
      <c r="SD56" s="42"/>
      <c r="SE56" s="42"/>
      <c r="SF56" s="42"/>
      <c r="SG56" s="42"/>
      <c r="SH56" s="42"/>
      <c r="SI56" s="42"/>
      <c r="SJ56" s="42"/>
      <c r="SK56" s="42"/>
      <c r="SL56" s="42"/>
      <c r="SM56" s="42"/>
      <c r="SN56" s="42"/>
      <c r="SO56" s="42"/>
      <c r="SP56" s="42"/>
      <c r="SQ56" s="42"/>
      <c r="SR56" s="42"/>
      <c r="SS56" s="42"/>
      <c r="ST56" s="42"/>
      <c r="SU56" s="42"/>
      <c r="SV56" s="42"/>
      <c r="SW56" s="42"/>
      <c r="SX56" s="42"/>
      <c r="SY56" s="42"/>
      <c r="SZ56" s="42"/>
      <c r="TA56" s="42"/>
      <c r="TB56" s="42"/>
      <c r="TC56" s="42"/>
      <c r="TD56" s="42"/>
      <c r="TE56" s="42"/>
      <c r="TF56" s="42"/>
      <c r="TG56" s="42"/>
      <c r="TH56" s="42"/>
      <c r="TI56" s="42"/>
      <c r="TJ56" s="42"/>
      <c r="TK56" s="42"/>
      <c r="TL56" s="42"/>
      <c r="TM56" s="42"/>
      <c r="TN56" s="42"/>
      <c r="TO56" s="42"/>
      <c r="TP56" s="42"/>
      <c r="TQ56" s="42"/>
      <c r="TR56" s="42"/>
      <c r="TS56" s="42"/>
      <c r="TT56" s="42"/>
      <c r="TU56" s="42"/>
      <c r="TV56" s="42"/>
      <c r="TW56" s="42"/>
      <c r="TX56" s="42"/>
      <c r="TY56" s="42"/>
      <c r="TZ56" s="42"/>
      <c r="UA56" s="42"/>
      <c r="UB56" s="42"/>
      <c r="UC56" s="42"/>
      <c r="UD56" s="42"/>
      <c r="UE56" s="42"/>
      <c r="UF56" s="42"/>
      <c r="UG56" s="42"/>
      <c r="UH56" s="42"/>
      <c r="UI56" s="42"/>
      <c r="UJ56" s="42"/>
      <c r="UK56" s="42"/>
      <c r="UL56" s="42"/>
      <c r="UM56" s="42"/>
      <c r="UN56" s="42"/>
      <c r="UO56" s="42"/>
      <c r="UP56" s="42"/>
      <c r="UQ56" s="42"/>
      <c r="UR56" s="42"/>
      <c r="US56" s="42"/>
      <c r="UT56" s="42"/>
      <c r="UU56" s="42"/>
      <c r="UV56" s="42"/>
      <c r="UW56" s="42"/>
      <c r="UX56" s="42"/>
      <c r="UY56" s="42"/>
      <c r="UZ56" s="42"/>
      <c r="VA56" s="42"/>
      <c r="VB56" s="42"/>
      <c r="VC56" s="42"/>
      <c r="VD56" s="42"/>
      <c r="VE56" s="42"/>
      <c r="VF56" s="42"/>
      <c r="VG56" s="42"/>
      <c r="VH56" s="42"/>
      <c r="VI56" s="42"/>
      <c r="VJ56" s="42"/>
      <c r="VK56" s="42"/>
      <c r="VL56" s="42"/>
      <c r="VM56" s="42"/>
      <c r="VN56" s="42"/>
      <c r="VO56" s="42"/>
      <c r="VP56" s="42"/>
      <c r="VQ56" s="42"/>
      <c r="VR56" s="42"/>
      <c r="VS56" s="42"/>
      <c r="VT56" s="42"/>
      <c r="VU56" s="42"/>
      <c r="VV56" s="42"/>
      <c r="VW56" s="42"/>
      <c r="VX56" s="42"/>
      <c r="VY56" s="42"/>
      <c r="VZ56" s="42"/>
      <c r="WA56" s="42"/>
      <c r="WB56" s="42"/>
      <c r="WC56" s="42"/>
      <c r="WD56" s="42"/>
      <c r="WE56" s="42"/>
      <c r="WF56" s="42"/>
      <c r="WG56" s="42"/>
      <c r="WH56" s="42"/>
      <c r="WI56" s="42"/>
      <c r="WJ56" s="42"/>
      <c r="WK56" s="42"/>
      <c r="WL56" s="42"/>
      <c r="WM56" s="42"/>
      <c r="WN56" s="42"/>
      <c r="WO56" s="42"/>
      <c r="WP56" s="42"/>
      <c r="WQ56" s="42"/>
      <c r="WR56" s="42"/>
      <c r="WS56" s="42"/>
      <c r="WT56" s="42"/>
      <c r="WU56" s="42"/>
      <c r="WV56" s="42"/>
      <c r="WW56" s="42"/>
      <c r="WX56" s="42"/>
      <c r="WY56" s="42"/>
      <c r="WZ56" s="42"/>
      <c r="XA56" s="42"/>
      <c r="XB56" s="42"/>
      <c r="XC56" s="42"/>
      <c r="XD56" s="42"/>
      <c r="XE56" s="42"/>
      <c r="XF56" s="42"/>
      <c r="XG56" s="42"/>
      <c r="XH56" s="42"/>
      <c r="XI56" s="42"/>
      <c r="XJ56" s="42"/>
      <c r="XK56" s="42"/>
      <c r="XL56" s="42"/>
      <c r="XM56" s="42"/>
      <c r="XN56" s="42"/>
      <c r="XO56" s="42"/>
      <c r="XP56" s="42"/>
      <c r="XQ56" s="42"/>
      <c r="XR56" s="42"/>
      <c r="XS56" s="42"/>
      <c r="XT56" s="42"/>
      <c r="XU56" s="42"/>
      <c r="XV56" s="42"/>
      <c r="XW56" s="42"/>
      <c r="XX56" s="42"/>
      <c r="XY56" s="42"/>
      <c r="XZ56" s="42"/>
      <c r="YA56" s="42"/>
      <c r="YB56" s="42"/>
      <c r="YC56" s="42"/>
      <c r="YD56" s="42"/>
      <c r="YE56" s="42"/>
      <c r="YF56" s="42"/>
      <c r="YG56" s="42"/>
      <c r="YH56" s="42"/>
      <c r="YI56" s="42"/>
      <c r="YJ56" s="42"/>
      <c r="YK56" s="42"/>
      <c r="YL56" s="42"/>
      <c r="YM56" s="42"/>
      <c r="YN56" s="42"/>
      <c r="YO56" s="42"/>
      <c r="YP56" s="42"/>
      <c r="YQ56" s="42"/>
      <c r="YR56" s="42"/>
      <c r="YS56" s="42"/>
      <c r="YT56" s="42"/>
      <c r="YU56" s="42"/>
      <c r="YV56" s="42"/>
      <c r="YW56" s="42"/>
      <c r="YX56" s="42"/>
      <c r="YY56" s="42"/>
      <c r="YZ56" s="42"/>
      <c r="ZA56" s="42"/>
      <c r="ZB56" s="42"/>
      <c r="ZC56" s="42"/>
      <c r="ZD56" s="42"/>
      <c r="ZE56" s="42"/>
      <c r="ZF56" s="42"/>
      <c r="ZG56" s="42"/>
      <c r="ZH56" s="42"/>
      <c r="ZI56" s="42"/>
      <c r="ZJ56" s="42"/>
      <c r="ZK56" s="42"/>
      <c r="ZL56" s="42"/>
      <c r="ZM56" s="42"/>
      <c r="ZN56" s="42"/>
      <c r="ZO56" s="42"/>
      <c r="ZP56" s="42"/>
      <c r="ZQ56" s="42"/>
      <c r="ZR56" s="42"/>
      <c r="ZS56" s="42"/>
      <c r="ZT56" s="42"/>
      <c r="ZU56" s="42"/>
      <c r="ZV56" s="42"/>
      <c r="ZW56" s="42"/>
      <c r="ZX56" s="42"/>
      <c r="ZY56" s="42"/>
      <c r="ZZ56" s="42"/>
      <c r="AAA56" s="42"/>
      <c r="AAB56" s="42"/>
      <c r="AAC56" s="42"/>
    </row>
    <row r="57" spans="1:705" s="41" customFormat="1" ht="42" hidden="1" x14ac:dyDescent="0.3">
      <c r="A57" s="26">
        <v>53</v>
      </c>
      <c r="B57" s="137">
        <v>239583</v>
      </c>
      <c r="C57" s="138">
        <v>53</v>
      </c>
      <c r="D57" s="139">
        <v>45911</v>
      </c>
      <c r="E57" s="139">
        <f t="shared" si="8"/>
        <v>45910</v>
      </c>
      <c r="F57" s="139">
        <f t="shared" si="5"/>
        <v>45921</v>
      </c>
      <c r="G57" s="139">
        <v>45921</v>
      </c>
      <c r="H57" s="139">
        <v>45959</v>
      </c>
      <c r="I57" s="139" t="s">
        <v>75</v>
      </c>
      <c r="J57" s="140" t="s">
        <v>187</v>
      </c>
      <c r="K57" s="141">
        <f t="shared" si="9"/>
        <v>38</v>
      </c>
      <c r="L57" s="141">
        <v>1142585</v>
      </c>
      <c r="M57" s="140" t="s">
        <v>15</v>
      </c>
      <c r="N57" s="140" t="s">
        <v>459</v>
      </c>
      <c r="O57" s="140" t="s">
        <v>246</v>
      </c>
      <c r="P57" s="143">
        <v>45922</v>
      </c>
      <c r="Q57" s="143">
        <v>46011</v>
      </c>
      <c r="R57" s="137" t="s">
        <v>211</v>
      </c>
      <c r="S57" s="144" t="s">
        <v>188</v>
      </c>
      <c r="T57" s="145">
        <v>1</v>
      </c>
      <c r="U57" s="137" t="s">
        <v>181</v>
      </c>
      <c r="V57" s="146">
        <v>5</v>
      </c>
      <c r="W57" s="146">
        <v>5</v>
      </c>
      <c r="X57" s="155">
        <v>0</v>
      </c>
      <c r="Y57" s="154">
        <v>0</v>
      </c>
      <c r="Z57" s="154">
        <v>0</v>
      </c>
      <c r="AA57" s="154">
        <v>0</v>
      </c>
      <c r="AB57" s="146">
        <v>3</v>
      </c>
      <c r="AC57" s="146">
        <v>3</v>
      </c>
      <c r="AD57" s="154">
        <v>0</v>
      </c>
      <c r="AE57" s="154">
        <v>0</v>
      </c>
      <c r="AF57" s="154">
        <v>0</v>
      </c>
      <c r="AG57" s="154"/>
      <c r="AH57" s="146">
        <v>1</v>
      </c>
      <c r="AI57" s="146">
        <v>1</v>
      </c>
      <c r="AJ57" s="146">
        <v>0</v>
      </c>
      <c r="AK57" s="146"/>
      <c r="AL57" s="146">
        <v>0</v>
      </c>
      <c r="AM57" s="146">
        <v>0</v>
      </c>
      <c r="AN57" s="146">
        <v>0</v>
      </c>
      <c r="AO57" s="146">
        <v>0</v>
      </c>
      <c r="AP57" s="146">
        <v>1</v>
      </c>
      <c r="AQ57" s="146">
        <v>1</v>
      </c>
      <c r="AR57" s="146">
        <v>0</v>
      </c>
      <c r="AS57" s="146">
        <v>0</v>
      </c>
      <c r="AT57" s="146">
        <v>1</v>
      </c>
      <c r="AU57" s="146">
        <v>1</v>
      </c>
      <c r="AV57" s="154">
        <v>0</v>
      </c>
      <c r="AW57" s="154">
        <v>0</v>
      </c>
      <c r="AX57" s="146">
        <f t="shared" si="6"/>
        <v>1621</v>
      </c>
      <c r="AY57" s="146">
        <f t="shared" si="7"/>
        <v>1621</v>
      </c>
      <c r="AZ57" s="140" t="s">
        <v>562</v>
      </c>
      <c r="BA57" s="140" t="s">
        <v>562</v>
      </c>
      <c r="BB57" s="140">
        <v>2</v>
      </c>
      <c r="BC57" s="148">
        <v>53</v>
      </c>
      <c r="BD57" s="149"/>
      <c r="BE57" s="145"/>
      <c r="BF57" s="150"/>
      <c r="BG57" s="151">
        <v>45931</v>
      </c>
      <c r="BH57" s="153" t="s">
        <v>535</v>
      </c>
      <c r="BI57" s="153" t="s">
        <v>562</v>
      </c>
    </row>
    <row r="58" spans="1:705" s="42" customFormat="1" ht="21" hidden="1" x14ac:dyDescent="0.3">
      <c r="A58" s="26">
        <v>54</v>
      </c>
      <c r="B58" s="137">
        <v>239584</v>
      </c>
      <c r="C58" s="138">
        <v>54</v>
      </c>
      <c r="D58" s="139">
        <v>45911</v>
      </c>
      <c r="E58" s="139">
        <f t="shared" si="8"/>
        <v>45910</v>
      </c>
      <c r="F58" s="139">
        <f t="shared" si="5"/>
        <v>45921</v>
      </c>
      <c r="G58" s="139">
        <v>45921</v>
      </c>
      <c r="H58" s="139">
        <v>45934</v>
      </c>
      <c r="I58" s="139" t="s">
        <v>75</v>
      </c>
      <c r="J58" s="140" t="s">
        <v>189</v>
      </c>
      <c r="K58" s="141">
        <f t="shared" si="9"/>
        <v>13</v>
      </c>
      <c r="L58" s="141">
        <v>1142593</v>
      </c>
      <c r="M58" s="140" t="s">
        <v>15</v>
      </c>
      <c r="N58" s="140">
        <v>803625</v>
      </c>
      <c r="O58" s="140" t="s">
        <v>246</v>
      </c>
      <c r="P58" s="143">
        <v>45923</v>
      </c>
      <c r="Q58" s="143">
        <v>45938</v>
      </c>
      <c r="R58" s="137" t="s">
        <v>211</v>
      </c>
      <c r="S58" s="144" t="s">
        <v>190</v>
      </c>
      <c r="T58" s="145">
        <v>1</v>
      </c>
      <c r="U58" s="137" t="s">
        <v>128</v>
      </c>
      <c r="V58" s="146">
        <v>7</v>
      </c>
      <c r="W58" s="146">
        <v>7</v>
      </c>
      <c r="X58" s="155">
        <v>0</v>
      </c>
      <c r="Y58" s="154">
        <v>0</v>
      </c>
      <c r="Z58" s="154">
        <v>0</v>
      </c>
      <c r="AA58" s="154">
        <v>0</v>
      </c>
      <c r="AB58" s="146">
        <v>0</v>
      </c>
      <c r="AC58" s="146">
        <v>0</v>
      </c>
      <c r="AD58" s="154">
        <v>0</v>
      </c>
      <c r="AE58" s="154">
        <v>0</v>
      </c>
      <c r="AF58" s="154">
        <v>0</v>
      </c>
      <c r="AG58" s="154">
        <v>0</v>
      </c>
      <c r="AH58" s="146">
        <v>1</v>
      </c>
      <c r="AI58" s="146">
        <v>1</v>
      </c>
      <c r="AJ58" s="146">
        <v>0</v>
      </c>
      <c r="AK58" s="146">
        <v>0</v>
      </c>
      <c r="AL58" s="146">
        <v>0</v>
      </c>
      <c r="AM58" s="146">
        <v>0</v>
      </c>
      <c r="AN58" s="146">
        <v>0</v>
      </c>
      <c r="AO58" s="146">
        <v>0</v>
      </c>
      <c r="AP58" s="146">
        <v>1</v>
      </c>
      <c r="AQ58" s="146">
        <v>1</v>
      </c>
      <c r="AR58" s="146">
        <v>0</v>
      </c>
      <c r="AS58" s="146">
        <v>0</v>
      </c>
      <c r="AT58" s="146">
        <v>1</v>
      </c>
      <c r="AU58" s="146">
        <v>1</v>
      </c>
      <c r="AV58" s="154">
        <v>0</v>
      </c>
      <c r="AW58" s="154">
        <v>0</v>
      </c>
      <c r="AX58" s="146">
        <f t="shared" si="6"/>
        <v>1570</v>
      </c>
      <c r="AY58" s="146">
        <f t="shared" si="7"/>
        <v>1570</v>
      </c>
      <c r="AZ58" s="140" t="s">
        <v>562</v>
      </c>
      <c r="BA58" s="140" t="s">
        <v>562</v>
      </c>
      <c r="BB58" s="140">
        <v>1</v>
      </c>
      <c r="BC58" s="148">
        <v>54</v>
      </c>
      <c r="BD58" s="149"/>
      <c r="BE58" s="145"/>
      <c r="BF58" s="150"/>
      <c r="BG58" s="151">
        <v>45931</v>
      </c>
      <c r="BH58" s="153" t="s">
        <v>535</v>
      </c>
      <c r="BI58" s="153" t="s">
        <v>562</v>
      </c>
      <c r="CC58" s="41"/>
      <c r="CD58" s="41"/>
      <c r="CE58" s="41"/>
      <c r="CF58" s="41"/>
      <c r="CG58" s="41"/>
      <c r="CH58" s="41"/>
      <c r="CI58" s="41"/>
      <c r="CJ58" s="41"/>
      <c r="CK58" s="41"/>
      <c r="CL58" s="41"/>
      <c r="CM58" s="41"/>
      <c r="CN58" s="41"/>
      <c r="CO58" s="41"/>
      <c r="CP58" s="41"/>
      <c r="CQ58" s="41"/>
      <c r="CR58" s="41"/>
      <c r="CS58" s="41"/>
      <c r="CT58" s="41"/>
      <c r="CU58" s="41"/>
      <c r="CV58" s="41"/>
      <c r="CW58" s="41"/>
      <c r="CX58" s="41"/>
      <c r="CY58" s="41"/>
      <c r="CZ58" s="41"/>
      <c r="DA58" s="41"/>
      <c r="DB58" s="41"/>
      <c r="DC58" s="41"/>
      <c r="DD58" s="41"/>
      <c r="DE58" s="41"/>
      <c r="DF58" s="41"/>
      <c r="DG58" s="41"/>
      <c r="DH58" s="41"/>
      <c r="DI58" s="41"/>
      <c r="DJ58" s="41"/>
      <c r="DK58" s="41"/>
      <c r="DL58" s="41"/>
      <c r="DM58" s="41"/>
      <c r="DN58" s="41"/>
      <c r="DO58" s="41"/>
      <c r="DP58" s="41"/>
      <c r="DQ58" s="41"/>
      <c r="DR58" s="41"/>
      <c r="DS58" s="41"/>
      <c r="DT58" s="41"/>
      <c r="DU58" s="41"/>
      <c r="DV58" s="41"/>
      <c r="DW58" s="41"/>
      <c r="DX58" s="41"/>
      <c r="DY58" s="41"/>
      <c r="DZ58" s="41"/>
      <c r="EA58" s="41"/>
      <c r="EB58" s="41"/>
      <c r="EC58" s="41"/>
      <c r="ED58" s="41"/>
      <c r="EE58" s="41"/>
      <c r="EF58" s="41"/>
      <c r="EG58" s="41"/>
      <c r="EH58" s="41"/>
      <c r="EI58" s="41"/>
      <c r="EJ58" s="41"/>
      <c r="EK58" s="41"/>
      <c r="EL58" s="41"/>
      <c r="EM58" s="41"/>
      <c r="EN58" s="41"/>
      <c r="EO58" s="41"/>
      <c r="EP58" s="41"/>
      <c r="EQ58" s="41"/>
      <c r="ER58" s="41"/>
      <c r="ES58" s="41"/>
      <c r="ET58" s="41"/>
      <c r="EU58" s="41"/>
      <c r="EV58" s="41"/>
      <c r="EW58" s="41"/>
      <c r="EX58" s="41"/>
      <c r="EY58" s="41"/>
      <c r="EZ58" s="41"/>
      <c r="FA58" s="41"/>
      <c r="FB58" s="41"/>
      <c r="FC58" s="41"/>
      <c r="FD58" s="41"/>
      <c r="FE58" s="41"/>
      <c r="FF58" s="41"/>
      <c r="FG58" s="41"/>
      <c r="FH58" s="41"/>
      <c r="FI58" s="41"/>
      <c r="FJ58" s="41"/>
      <c r="FK58" s="41"/>
      <c r="FL58" s="41"/>
      <c r="FM58" s="41"/>
      <c r="FN58" s="41"/>
      <c r="FO58" s="41"/>
      <c r="FP58" s="41"/>
      <c r="FQ58" s="41"/>
      <c r="FR58" s="41"/>
      <c r="FS58" s="41"/>
      <c r="FT58" s="41"/>
      <c r="FU58" s="41"/>
      <c r="FV58" s="41"/>
      <c r="FW58" s="41"/>
      <c r="FX58" s="41"/>
      <c r="FY58" s="41"/>
      <c r="FZ58" s="41"/>
      <c r="GA58" s="41"/>
      <c r="GB58" s="41"/>
      <c r="GC58" s="41"/>
      <c r="GD58" s="41"/>
      <c r="GE58" s="41"/>
      <c r="GF58" s="41"/>
      <c r="GG58" s="41"/>
      <c r="GH58" s="41"/>
      <c r="GI58" s="41"/>
      <c r="GJ58" s="41"/>
      <c r="GK58" s="41"/>
      <c r="GL58" s="41"/>
      <c r="GM58" s="41"/>
      <c r="GN58" s="41"/>
      <c r="GO58" s="41"/>
      <c r="GP58" s="41"/>
      <c r="GQ58" s="41"/>
      <c r="GR58" s="41"/>
      <c r="GS58" s="41"/>
      <c r="GT58" s="41"/>
      <c r="GU58" s="41"/>
      <c r="GV58" s="41"/>
      <c r="GW58" s="41"/>
      <c r="GX58" s="41"/>
      <c r="GY58" s="41"/>
      <c r="GZ58" s="41"/>
      <c r="HA58" s="41"/>
      <c r="HB58" s="41"/>
      <c r="HC58" s="41"/>
      <c r="HD58" s="41"/>
      <c r="HE58" s="41"/>
      <c r="HF58" s="41"/>
      <c r="HG58" s="41"/>
      <c r="HH58" s="41"/>
      <c r="HI58" s="41"/>
      <c r="HJ58" s="41"/>
      <c r="HK58" s="41"/>
      <c r="HL58" s="41"/>
      <c r="HM58" s="41"/>
      <c r="HN58" s="41"/>
      <c r="HO58" s="41"/>
      <c r="HP58" s="41"/>
      <c r="HQ58" s="41"/>
      <c r="HR58" s="41"/>
      <c r="HS58" s="41"/>
      <c r="HT58" s="41"/>
      <c r="HU58" s="41"/>
      <c r="HV58" s="41"/>
      <c r="HW58" s="41"/>
      <c r="HX58" s="41"/>
      <c r="HY58" s="41"/>
      <c r="HZ58" s="41"/>
      <c r="IA58" s="41"/>
      <c r="IB58" s="41"/>
      <c r="IC58" s="41"/>
      <c r="ID58" s="41"/>
      <c r="IE58" s="41"/>
      <c r="IF58" s="41"/>
      <c r="IG58" s="41"/>
      <c r="IH58" s="41"/>
      <c r="II58" s="41"/>
      <c r="IJ58" s="41"/>
      <c r="IK58" s="41"/>
      <c r="IL58" s="41"/>
      <c r="IM58" s="41"/>
      <c r="IN58" s="41"/>
      <c r="IO58" s="41"/>
      <c r="IP58" s="41"/>
      <c r="IQ58" s="41"/>
      <c r="IR58" s="41"/>
      <c r="IS58" s="41"/>
      <c r="IT58" s="41"/>
      <c r="IU58" s="41"/>
      <c r="IV58" s="41"/>
      <c r="IW58" s="41"/>
      <c r="IX58" s="41"/>
      <c r="IY58" s="41"/>
      <c r="IZ58" s="41"/>
      <c r="JA58" s="41"/>
      <c r="JB58" s="41"/>
      <c r="JC58" s="41"/>
      <c r="JD58" s="41"/>
      <c r="JE58" s="41"/>
      <c r="JF58" s="41"/>
      <c r="JG58" s="41"/>
      <c r="JH58" s="41"/>
      <c r="JI58" s="41"/>
      <c r="JJ58" s="41"/>
      <c r="JK58" s="41"/>
      <c r="JL58" s="41"/>
      <c r="JM58" s="41"/>
      <c r="JN58" s="41"/>
      <c r="JO58" s="41"/>
      <c r="JP58" s="41"/>
      <c r="JQ58" s="41"/>
      <c r="JR58" s="41"/>
      <c r="JS58" s="41"/>
      <c r="JT58" s="41"/>
      <c r="JU58" s="41"/>
      <c r="JV58" s="41"/>
      <c r="JW58" s="41"/>
      <c r="JX58" s="41"/>
      <c r="JY58" s="41"/>
      <c r="JZ58" s="41"/>
      <c r="KA58" s="41"/>
      <c r="KB58" s="41"/>
      <c r="KC58" s="41"/>
      <c r="KD58" s="41"/>
      <c r="KE58" s="41"/>
      <c r="KF58" s="41"/>
      <c r="KG58" s="41"/>
      <c r="KH58" s="41"/>
      <c r="KI58" s="41"/>
      <c r="KJ58" s="41"/>
      <c r="KK58" s="41"/>
      <c r="KL58" s="41"/>
      <c r="KM58" s="41"/>
      <c r="KN58" s="41"/>
      <c r="KO58" s="41"/>
      <c r="KP58" s="41"/>
      <c r="KQ58" s="41"/>
      <c r="KR58" s="41"/>
      <c r="KS58" s="41"/>
      <c r="KT58" s="41"/>
      <c r="KU58" s="41"/>
      <c r="KV58" s="41"/>
      <c r="KW58" s="41"/>
      <c r="KX58" s="41"/>
      <c r="KY58" s="41"/>
      <c r="KZ58" s="41"/>
      <c r="LA58" s="41"/>
      <c r="LB58" s="41"/>
      <c r="LC58" s="41"/>
      <c r="LD58" s="41"/>
      <c r="LE58" s="41"/>
      <c r="LF58" s="41"/>
      <c r="LG58" s="41"/>
      <c r="LH58" s="41"/>
      <c r="LI58" s="41"/>
      <c r="LJ58" s="41"/>
      <c r="LK58" s="41"/>
      <c r="LL58" s="41"/>
      <c r="LM58" s="41"/>
      <c r="LN58" s="41"/>
      <c r="LO58" s="41"/>
      <c r="LP58" s="41"/>
      <c r="LQ58" s="41"/>
      <c r="LR58" s="41"/>
      <c r="LS58" s="41"/>
      <c r="LT58" s="41"/>
      <c r="LU58" s="41"/>
      <c r="LV58" s="41"/>
      <c r="LW58" s="41"/>
      <c r="LX58" s="41"/>
      <c r="LY58" s="41"/>
      <c r="LZ58" s="41"/>
      <c r="MA58" s="41"/>
      <c r="MB58" s="41"/>
      <c r="MC58" s="41"/>
      <c r="MD58" s="41"/>
      <c r="ME58" s="41"/>
      <c r="MF58" s="41"/>
      <c r="MG58" s="41"/>
      <c r="MH58" s="41"/>
      <c r="MI58" s="41"/>
      <c r="MJ58" s="41"/>
      <c r="MK58" s="41"/>
      <c r="ML58" s="41"/>
      <c r="MM58" s="41"/>
      <c r="MN58" s="41"/>
      <c r="MO58" s="41"/>
      <c r="MP58" s="41"/>
      <c r="MQ58" s="41"/>
      <c r="MR58" s="41"/>
      <c r="MS58" s="41"/>
      <c r="MT58" s="41"/>
      <c r="MU58" s="41"/>
      <c r="MV58" s="41"/>
      <c r="MW58" s="41"/>
      <c r="MX58" s="41"/>
      <c r="MY58" s="41"/>
      <c r="MZ58" s="41"/>
      <c r="NA58" s="41"/>
      <c r="NB58" s="41"/>
      <c r="NC58" s="41"/>
      <c r="ND58" s="41"/>
      <c r="NE58" s="41"/>
      <c r="NF58" s="41"/>
      <c r="NG58" s="41"/>
      <c r="NH58" s="41"/>
      <c r="NI58" s="41"/>
      <c r="NJ58" s="41"/>
      <c r="NK58" s="41"/>
      <c r="NL58" s="41"/>
      <c r="NM58" s="41"/>
      <c r="NN58" s="41"/>
      <c r="NO58" s="41"/>
      <c r="NP58" s="41"/>
      <c r="NQ58" s="41"/>
      <c r="NR58" s="41"/>
      <c r="NS58" s="41"/>
      <c r="NT58" s="41"/>
      <c r="NU58" s="41"/>
      <c r="NV58" s="41"/>
      <c r="NW58" s="41"/>
      <c r="NX58" s="41"/>
      <c r="NY58" s="41"/>
      <c r="NZ58" s="41"/>
      <c r="OA58" s="41"/>
      <c r="OB58" s="41"/>
      <c r="OC58" s="41"/>
      <c r="OD58" s="41"/>
      <c r="OE58" s="41"/>
      <c r="OF58" s="41"/>
      <c r="OG58" s="41"/>
      <c r="OH58" s="41"/>
      <c r="OI58" s="41"/>
      <c r="OJ58" s="41"/>
      <c r="OK58" s="41"/>
      <c r="OL58" s="41"/>
      <c r="OM58" s="41"/>
      <c r="ON58" s="41"/>
      <c r="OO58" s="41"/>
      <c r="OP58" s="41"/>
      <c r="OQ58" s="41"/>
      <c r="OR58" s="41"/>
      <c r="OS58" s="41"/>
      <c r="OT58" s="41"/>
      <c r="OU58" s="41"/>
      <c r="OV58" s="41"/>
      <c r="OW58" s="41"/>
      <c r="OX58" s="41"/>
      <c r="OY58" s="41"/>
      <c r="OZ58" s="41"/>
      <c r="PA58" s="41"/>
      <c r="PB58" s="41"/>
      <c r="PC58" s="41"/>
      <c r="PD58" s="41"/>
      <c r="PE58" s="41"/>
      <c r="PF58" s="41"/>
      <c r="PG58" s="41"/>
      <c r="PH58" s="41"/>
      <c r="PI58" s="41"/>
      <c r="PJ58" s="41"/>
      <c r="PK58" s="41"/>
      <c r="PL58" s="41"/>
      <c r="PM58" s="41"/>
      <c r="PN58" s="41"/>
      <c r="PO58" s="41"/>
      <c r="PP58" s="41"/>
      <c r="PQ58" s="41"/>
      <c r="PR58" s="41"/>
      <c r="PS58" s="41"/>
      <c r="PT58" s="41"/>
      <c r="PU58" s="41"/>
      <c r="PV58" s="41"/>
      <c r="PW58" s="41"/>
      <c r="PX58" s="41"/>
      <c r="PY58" s="41"/>
      <c r="PZ58" s="41"/>
      <c r="QA58" s="41"/>
      <c r="QB58" s="41"/>
      <c r="QC58" s="41"/>
      <c r="QD58" s="41"/>
      <c r="QE58" s="41"/>
      <c r="QF58" s="41"/>
      <c r="QG58" s="41"/>
      <c r="QH58" s="41"/>
      <c r="QI58" s="41"/>
      <c r="QJ58" s="41"/>
      <c r="QK58" s="41"/>
      <c r="QL58" s="41"/>
      <c r="QM58" s="41"/>
      <c r="QN58" s="41"/>
      <c r="QO58" s="41"/>
      <c r="QP58" s="41"/>
      <c r="QQ58" s="41"/>
      <c r="QR58" s="41"/>
      <c r="QS58" s="41"/>
      <c r="QT58" s="41"/>
      <c r="QU58" s="41"/>
      <c r="QV58" s="41"/>
      <c r="QW58" s="41"/>
      <c r="QX58" s="41"/>
      <c r="QY58" s="41"/>
      <c r="QZ58" s="41"/>
      <c r="RA58" s="41"/>
      <c r="RB58" s="41"/>
      <c r="RC58" s="41"/>
      <c r="RD58" s="41"/>
      <c r="RE58" s="41"/>
      <c r="RF58" s="41"/>
      <c r="RG58" s="41"/>
      <c r="RH58" s="41"/>
      <c r="RI58" s="41"/>
      <c r="RJ58" s="41"/>
      <c r="RK58" s="41"/>
      <c r="RL58" s="41"/>
      <c r="RM58" s="41"/>
      <c r="RN58" s="41"/>
      <c r="RO58" s="41"/>
      <c r="RP58" s="41"/>
      <c r="RQ58" s="41"/>
      <c r="RR58" s="41"/>
      <c r="RS58" s="41"/>
      <c r="RT58" s="41"/>
      <c r="RU58" s="41"/>
      <c r="RV58" s="41"/>
      <c r="RW58" s="41"/>
      <c r="RX58" s="41"/>
      <c r="RY58" s="41"/>
      <c r="RZ58" s="41"/>
      <c r="SA58" s="41"/>
      <c r="SB58" s="41"/>
      <c r="SC58" s="41"/>
      <c r="SD58" s="41"/>
      <c r="SE58" s="41"/>
      <c r="SF58" s="41"/>
      <c r="SG58" s="41"/>
      <c r="SH58" s="41"/>
      <c r="SI58" s="41"/>
      <c r="SJ58" s="41"/>
      <c r="SK58" s="41"/>
      <c r="SL58" s="41"/>
      <c r="SM58" s="41"/>
      <c r="SN58" s="41"/>
      <c r="SO58" s="41"/>
      <c r="SP58" s="41"/>
      <c r="SQ58" s="41"/>
      <c r="SR58" s="41"/>
      <c r="SS58" s="41"/>
      <c r="ST58" s="41"/>
      <c r="SU58" s="41"/>
      <c r="SV58" s="41"/>
      <c r="SW58" s="41"/>
      <c r="SX58" s="41"/>
      <c r="SY58" s="41"/>
      <c r="SZ58" s="41"/>
      <c r="TA58" s="41"/>
      <c r="TB58" s="41"/>
      <c r="TC58" s="41"/>
      <c r="TD58" s="41"/>
      <c r="TE58" s="41"/>
      <c r="TF58" s="41"/>
      <c r="TG58" s="41"/>
      <c r="TH58" s="41"/>
      <c r="TI58" s="41"/>
      <c r="TJ58" s="41"/>
      <c r="TK58" s="41"/>
      <c r="TL58" s="41"/>
      <c r="TM58" s="41"/>
      <c r="TN58" s="41"/>
      <c r="TO58" s="41"/>
      <c r="TP58" s="41"/>
      <c r="TQ58" s="41"/>
      <c r="TR58" s="41"/>
      <c r="TS58" s="41"/>
      <c r="TT58" s="41"/>
      <c r="TU58" s="41"/>
      <c r="TV58" s="41"/>
      <c r="TW58" s="41"/>
      <c r="TX58" s="41"/>
      <c r="TY58" s="41"/>
      <c r="TZ58" s="41"/>
      <c r="UA58" s="41"/>
      <c r="UB58" s="41"/>
      <c r="UC58" s="41"/>
      <c r="UD58" s="41"/>
      <c r="UE58" s="41"/>
      <c r="UF58" s="41"/>
      <c r="UG58" s="41"/>
      <c r="UH58" s="41"/>
      <c r="UI58" s="41"/>
      <c r="UJ58" s="41"/>
      <c r="UK58" s="41"/>
      <c r="UL58" s="41"/>
      <c r="UM58" s="41"/>
      <c r="UN58" s="41"/>
      <c r="UO58" s="41"/>
      <c r="UP58" s="41"/>
      <c r="UQ58" s="41"/>
      <c r="UR58" s="41"/>
      <c r="US58" s="41"/>
      <c r="UT58" s="41"/>
      <c r="UU58" s="41"/>
      <c r="UV58" s="41"/>
      <c r="UW58" s="41"/>
      <c r="UX58" s="41"/>
      <c r="UY58" s="41"/>
      <c r="UZ58" s="41"/>
      <c r="VA58" s="41"/>
      <c r="VB58" s="41"/>
      <c r="VC58" s="41"/>
      <c r="VD58" s="41"/>
      <c r="VE58" s="41"/>
      <c r="VF58" s="41"/>
      <c r="VG58" s="41"/>
      <c r="VH58" s="41"/>
      <c r="VI58" s="41"/>
      <c r="VJ58" s="41"/>
      <c r="VK58" s="41"/>
      <c r="VL58" s="41"/>
      <c r="VM58" s="41"/>
      <c r="VN58" s="41"/>
      <c r="VO58" s="41"/>
      <c r="VP58" s="41"/>
      <c r="VQ58" s="41"/>
      <c r="VR58" s="41"/>
      <c r="VS58" s="41"/>
      <c r="VT58" s="41"/>
      <c r="VU58" s="41"/>
      <c r="VV58" s="41"/>
      <c r="VW58" s="41"/>
      <c r="VX58" s="41"/>
      <c r="VY58" s="41"/>
      <c r="VZ58" s="41"/>
      <c r="WA58" s="41"/>
      <c r="WB58" s="41"/>
      <c r="WC58" s="41"/>
      <c r="WD58" s="41"/>
      <c r="WE58" s="41"/>
      <c r="WF58" s="41"/>
      <c r="WG58" s="41"/>
      <c r="WH58" s="41"/>
      <c r="WI58" s="41"/>
      <c r="WJ58" s="41"/>
      <c r="WK58" s="41"/>
      <c r="WL58" s="41"/>
      <c r="WM58" s="41"/>
      <c r="WN58" s="41"/>
      <c r="WO58" s="41"/>
      <c r="WP58" s="41"/>
      <c r="WQ58" s="41"/>
      <c r="WR58" s="41"/>
      <c r="WS58" s="41"/>
      <c r="WT58" s="41"/>
      <c r="WU58" s="41"/>
      <c r="WV58" s="41"/>
      <c r="WW58" s="41"/>
      <c r="WX58" s="41"/>
      <c r="WY58" s="41"/>
      <c r="WZ58" s="41"/>
      <c r="XA58" s="41"/>
      <c r="XB58" s="41"/>
      <c r="XC58" s="41"/>
      <c r="XD58" s="41"/>
      <c r="XE58" s="41"/>
      <c r="XF58" s="41"/>
      <c r="XG58" s="41"/>
      <c r="XH58" s="41"/>
      <c r="XI58" s="41"/>
      <c r="XJ58" s="41"/>
      <c r="XK58" s="41"/>
      <c r="XL58" s="41"/>
      <c r="XM58" s="41"/>
      <c r="XN58" s="41"/>
      <c r="XO58" s="41"/>
      <c r="XP58" s="41"/>
      <c r="XQ58" s="41"/>
      <c r="XR58" s="41"/>
      <c r="XS58" s="41"/>
      <c r="XT58" s="41"/>
      <c r="XU58" s="41"/>
      <c r="XV58" s="41"/>
      <c r="XW58" s="41"/>
      <c r="XX58" s="41"/>
      <c r="XY58" s="41"/>
      <c r="XZ58" s="41"/>
      <c r="YA58" s="41"/>
      <c r="YB58" s="41"/>
      <c r="YC58" s="41"/>
      <c r="YD58" s="41"/>
      <c r="YE58" s="41"/>
      <c r="YF58" s="41"/>
      <c r="YG58" s="41"/>
      <c r="YH58" s="41"/>
      <c r="YI58" s="41"/>
      <c r="YJ58" s="41"/>
      <c r="YK58" s="41"/>
      <c r="YL58" s="41"/>
      <c r="YM58" s="41"/>
      <c r="YN58" s="41"/>
      <c r="YO58" s="41"/>
      <c r="YP58" s="41"/>
      <c r="YQ58" s="41"/>
      <c r="YR58" s="41"/>
      <c r="YS58" s="41"/>
      <c r="YT58" s="41"/>
      <c r="YU58" s="41"/>
      <c r="YV58" s="41"/>
      <c r="YW58" s="41"/>
      <c r="YX58" s="41"/>
      <c r="YY58" s="41"/>
      <c r="YZ58" s="41"/>
      <c r="ZA58" s="41"/>
      <c r="ZB58" s="41"/>
      <c r="ZC58" s="41"/>
      <c r="ZD58" s="41"/>
      <c r="ZE58" s="41"/>
      <c r="ZF58" s="41"/>
      <c r="ZG58" s="41"/>
      <c r="ZH58" s="41"/>
      <c r="ZI58" s="41"/>
      <c r="ZJ58" s="41"/>
      <c r="ZK58" s="41"/>
      <c r="ZL58" s="41"/>
      <c r="ZM58" s="41"/>
      <c r="ZN58" s="41"/>
      <c r="ZO58" s="41"/>
      <c r="ZP58" s="41"/>
      <c r="ZQ58" s="41"/>
      <c r="ZR58" s="41"/>
      <c r="ZS58" s="41"/>
      <c r="ZT58" s="41"/>
      <c r="ZU58" s="41"/>
      <c r="ZV58" s="41"/>
      <c r="ZW58" s="41"/>
      <c r="ZX58" s="41"/>
      <c r="ZY58" s="41"/>
      <c r="ZZ58" s="41"/>
      <c r="AAA58" s="41"/>
      <c r="AAB58" s="41"/>
      <c r="AAC58" s="41"/>
    </row>
    <row r="59" spans="1:705" s="42" customFormat="1" ht="42" hidden="1" x14ac:dyDescent="0.3">
      <c r="A59" s="26">
        <v>55</v>
      </c>
      <c r="B59" s="137">
        <v>239585</v>
      </c>
      <c r="C59" s="138">
        <v>55</v>
      </c>
      <c r="D59" s="139">
        <v>45911</v>
      </c>
      <c r="E59" s="139">
        <f t="shared" si="8"/>
        <v>45910</v>
      </c>
      <c r="F59" s="139">
        <f t="shared" si="5"/>
        <v>45921</v>
      </c>
      <c r="G59" s="139">
        <v>45921</v>
      </c>
      <c r="H59" s="139">
        <v>45928</v>
      </c>
      <c r="I59" s="139" t="s">
        <v>75</v>
      </c>
      <c r="J59" s="140" t="s">
        <v>191</v>
      </c>
      <c r="K59" s="141">
        <f t="shared" si="9"/>
        <v>7</v>
      </c>
      <c r="L59" s="141">
        <v>1142599</v>
      </c>
      <c r="M59" s="140" t="s">
        <v>15</v>
      </c>
      <c r="N59" s="140">
        <v>803255</v>
      </c>
      <c r="O59" s="140" t="s">
        <v>246</v>
      </c>
      <c r="P59" s="143">
        <v>45917</v>
      </c>
      <c r="Q59" s="143">
        <v>45932</v>
      </c>
      <c r="R59" s="137" t="s">
        <v>211</v>
      </c>
      <c r="S59" s="144" t="s">
        <v>192</v>
      </c>
      <c r="T59" s="145">
        <v>1</v>
      </c>
      <c r="U59" s="137" t="s">
        <v>98</v>
      </c>
      <c r="V59" s="146">
        <v>8</v>
      </c>
      <c r="W59" s="146">
        <v>8</v>
      </c>
      <c r="X59" s="155">
        <v>0</v>
      </c>
      <c r="Y59" s="154">
        <v>0</v>
      </c>
      <c r="Z59" s="154">
        <v>0</v>
      </c>
      <c r="AA59" s="154">
        <v>0</v>
      </c>
      <c r="AB59" s="146">
        <v>0</v>
      </c>
      <c r="AC59" s="146">
        <v>0</v>
      </c>
      <c r="AD59" s="154">
        <v>0</v>
      </c>
      <c r="AE59" s="154">
        <v>0</v>
      </c>
      <c r="AF59" s="154">
        <v>0</v>
      </c>
      <c r="AG59" s="154">
        <v>0</v>
      </c>
      <c r="AH59" s="146">
        <v>1</v>
      </c>
      <c r="AI59" s="146">
        <v>1</v>
      </c>
      <c r="AJ59" s="146">
        <v>0</v>
      </c>
      <c r="AK59" s="146">
        <v>0</v>
      </c>
      <c r="AL59" s="146">
        <v>0</v>
      </c>
      <c r="AM59" s="146">
        <v>0</v>
      </c>
      <c r="AN59" s="146">
        <v>1</v>
      </c>
      <c r="AO59" s="146">
        <v>1</v>
      </c>
      <c r="AP59" s="146">
        <v>1</v>
      </c>
      <c r="AQ59" s="146">
        <v>1</v>
      </c>
      <c r="AR59" s="146">
        <v>0</v>
      </c>
      <c r="AS59" s="146">
        <v>0</v>
      </c>
      <c r="AT59" s="146">
        <v>1</v>
      </c>
      <c r="AU59" s="146">
        <v>1</v>
      </c>
      <c r="AV59" s="154">
        <v>0</v>
      </c>
      <c r="AW59" s="154">
        <v>0</v>
      </c>
      <c r="AX59" s="146">
        <f t="shared" si="6"/>
        <v>1690</v>
      </c>
      <c r="AY59" s="146">
        <f t="shared" si="7"/>
        <v>1690</v>
      </c>
      <c r="AZ59" s="140" t="s">
        <v>562</v>
      </c>
      <c r="BA59" s="140" t="s">
        <v>618</v>
      </c>
      <c r="BB59" s="140">
        <v>1</v>
      </c>
      <c r="BC59" s="148">
        <v>55</v>
      </c>
      <c r="BD59" s="149"/>
      <c r="BE59" s="145"/>
      <c r="BF59" s="150"/>
      <c r="BG59" s="152">
        <v>45901</v>
      </c>
      <c r="BH59" s="153" t="s">
        <v>535</v>
      </c>
      <c r="BI59" s="153" t="s">
        <v>562</v>
      </c>
      <c r="CC59" s="41"/>
      <c r="CD59" s="41"/>
      <c r="CE59" s="41"/>
      <c r="CF59" s="41"/>
      <c r="CG59" s="41"/>
      <c r="CH59" s="41"/>
      <c r="CI59" s="41"/>
      <c r="CJ59" s="41"/>
      <c r="CK59" s="41"/>
      <c r="CL59" s="41"/>
      <c r="CM59" s="41"/>
      <c r="CN59" s="41"/>
      <c r="CO59" s="41"/>
      <c r="CP59" s="41"/>
      <c r="CQ59" s="41"/>
      <c r="CR59" s="41"/>
      <c r="CS59" s="41"/>
      <c r="CT59" s="41"/>
      <c r="CU59" s="41"/>
      <c r="CV59" s="41"/>
      <c r="CW59" s="41"/>
      <c r="CX59" s="41"/>
      <c r="CY59" s="41"/>
      <c r="CZ59" s="41"/>
      <c r="DA59" s="41"/>
      <c r="DB59" s="41"/>
      <c r="DC59" s="41"/>
      <c r="DD59" s="41"/>
      <c r="DE59" s="41"/>
      <c r="DF59" s="41"/>
      <c r="DG59" s="41"/>
      <c r="DH59" s="41"/>
      <c r="DI59" s="41"/>
      <c r="DJ59" s="41"/>
      <c r="DK59" s="41"/>
      <c r="DL59" s="41"/>
      <c r="DM59" s="41"/>
      <c r="DN59" s="41"/>
      <c r="DO59" s="41"/>
      <c r="DP59" s="41"/>
      <c r="DQ59" s="41"/>
      <c r="DR59" s="41"/>
      <c r="DS59" s="41"/>
      <c r="DT59" s="41"/>
      <c r="DU59" s="41"/>
      <c r="DV59" s="41"/>
      <c r="DW59" s="41"/>
      <c r="DX59" s="41"/>
      <c r="DY59" s="41"/>
      <c r="DZ59" s="41"/>
      <c r="EA59" s="41"/>
      <c r="EB59" s="41"/>
      <c r="EC59" s="41"/>
      <c r="ED59" s="41"/>
      <c r="EE59" s="41"/>
      <c r="EF59" s="41"/>
      <c r="EG59" s="41"/>
      <c r="EH59" s="41"/>
      <c r="EI59" s="41"/>
      <c r="EJ59" s="41"/>
      <c r="EK59" s="41"/>
      <c r="EL59" s="41"/>
      <c r="EM59" s="41"/>
      <c r="EN59" s="41"/>
      <c r="EO59" s="41"/>
      <c r="EP59" s="41"/>
      <c r="EQ59" s="41"/>
      <c r="ER59" s="41"/>
      <c r="ES59" s="41"/>
      <c r="ET59" s="41"/>
      <c r="EU59" s="41"/>
      <c r="EV59" s="41"/>
      <c r="EW59" s="41"/>
      <c r="EX59" s="41"/>
      <c r="EY59" s="41"/>
      <c r="EZ59" s="41"/>
      <c r="FA59" s="41"/>
      <c r="FB59" s="41"/>
      <c r="FC59" s="41"/>
      <c r="FD59" s="41"/>
      <c r="FE59" s="41"/>
      <c r="FF59" s="41"/>
      <c r="FG59" s="41"/>
      <c r="FH59" s="41"/>
      <c r="FI59" s="41"/>
      <c r="FJ59" s="41"/>
      <c r="FK59" s="41"/>
      <c r="FL59" s="41"/>
      <c r="FM59" s="41"/>
      <c r="FN59" s="41"/>
      <c r="FO59" s="41"/>
      <c r="FP59" s="41"/>
      <c r="FQ59" s="41"/>
      <c r="FR59" s="41"/>
      <c r="FS59" s="41"/>
      <c r="FT59" s="41"/>
      <c r="FU59" s="41"/>
      <c r="FV59" s="41"/>
      <c r="FW59" s="41"/>
      <c r="FX59" s="41"/>
      <c r="FY59" s="41"/>
      <c r="FZ59" s="41"/>
      <c r="GA59" s="41"/>
      <c r="GB59" s="41"/>
      <c r="GC59" s="41"/>
      <c r="GD59" s="41"/>
      <c r="GE59" s="41"/>
      <c r="GF59" s="41"/>
      <c r="GG59" s="41"/>
      <c r="GH59" s="41"/>
      <c r="GI59" s="41"/>
      <c r="GJ59" s="41"/>
      <c r="GK59" s="41"/>
      <c r="GL59" s="41"/>
      <c r="GM59" s="41"/>
      <c r="GN59" s="41"/>
      <c r="GO59" s="41"/>
      <c r="GP59" s="41"/>
      <c r="GQ59" s="41"/>
      <c r="GR59" s="41"/>
      <c r="GS59" s="41"/>
      <c r="GT59" s="41"/>
      <c r="GU59" s="41"/>
      <c r="GV59" s="41"/>
      <c r="GW59" s="41"/>
      <c r="GX59" s="41"/>
      <c r="GY59" s="41"/>
      <c r="GZ59" s="41"/>
      <c r="HA59" s="41"/>
      <c r="HB59" s="41"/>
      <c r="HC59" s="41"/>
      <c r="HD59" s="41"/>
      <c r="HE59" s="41"/>
      <c r="HF59" s="41"/>
      <c r="HG59" s="41"/>
      <c r="HH59" s="41"/>
      <c r="HI59" s="41"/>
      <c r="HJ59" s="41"/>
      <c r="HK59" s="41"/>
      <c r="HL59" s="41"/>
      <c r="HM59" s="41"/>
      <c r="HN59" s="41"/>
      <c r="HO59" s="41"/>
      <c r="HP59" s="41"/>
      <c r="HQ59" s="41"/>
      <c r="HR59" s="41"/>
      <c r="HS59" s="41"/>
      <c r="HT59" s="41"/>
      <c r="HU59" s="41"/>
      <c r="HV59" s="41"/>
      <c r="HW59" s="41"/>
      <c r="HX59" s="41"/>
      <c r="HY59" s="41"/>
      <c r="HZ59" s="41"/>
      <c r="IA59" s="41"/>
      <c r="IB59" s="41"/>
      <c r="IC59" s="41"/>
      <c r="ID59" s="41"/>
      <c r="IE59" s="41"/>
      <c r="IF59" s="41"/>
      <c r="IG59" s="41"/>
      <c r="IH59" s="41"/>
      <c r="II59" s="41"/>
      <c r="IJ59" s="41"/>
      <c r="IK59" s="41"/>
      <c r="IL59" s="41"/>
      <c r="IM59" s="41"/>
      <c r="IN59" s="41"/>
      <c r="IO59" s="41"/>
      <c r="IP59" s="41"/>
      <c r="IQ59" s="41"/>
      <c r="IR59" s="41"/>
      <c r="IS59" s="41"/>
      <c r="IT59" s="41"/>
      <c r="IU59" s="41"/>
      <c r="IV59" s="41"/>
      <c r="IW59" s="41"/>
      <c r="IX59" s="41"/>
      <c r="IY59" s="41"/>
      <c r="IZ59" s="41"/>
      <c r="JA59" s="41"/>
      <c r="JB59" s="41"/>
      <c r="JC59" s="41"/>
      <c r="JD59" s="41"/>
      <c r="JE59" s="41"/>
      <c r="JF59" s="41"/>
      <c r="JG59" s="41"/>
      <c r="JH59" s="41"/>
      <c r="JI59" s="41"/>
      <c r="JJ59" s="41"/>
      <c r="JK59" s="41"/>
      <c r="JL59" s="41"/>
      <c r="JM59" s="41"/>
      <c r="JN59" s="41"/>
      <c r="JO59" s="41"/>
      <c r="JP59" s="41"/>
      <c r="JQ59" s="41"/>
      <c r="JR59" s="41"/>
      <c r="JS59" s="41"/>
      <c r="JT59" s="41"/>
      <c r="JU59" s="41"/>
      <c r="JV59" s="41"/>
      <c r="JW59" s="41"/>
      <c r="JX59" s="41"/>
      <c r="JY59" s="41"/>
      <c r="JZ59" s="41"/>
      <c r="KA59" s="41"/>
      <c r="KB59" s="41"/>
      <c r="KC59" s="41"/>
      <c r="KD59" s="41"/>
      <c r="KE59" s="41"/>
      <c r="KF59" s="41"/>
      <c r="KG59" s="41"/>
      <c r="KH59" s="41"/>
      <c r="KI59" s="41"/>
      <c r="KJ59" s="41"/>
      <c r="KK59" s="41"/>
      <c r="KL59" s="41"/>
      <c r="KM59" s="41"/>
      <c r="KN59" s="41"/>
      <c r="KO59" s="41"/>
      <c r="KP59" s="41"/>
      <c r="KQ59" s="41"/>
      <c r="KR59" s="41"/>
      <c r="KS59" s="41"/>
      <c r="KT59" s="41"/>
      <c r="KU59" s="41"/>
      <c r="KV59" s="41"/>
      <c r="KW59" s="41"/>
      <c r="KX59" s="41"/>
      <c r="KY59" s="41"/>
      <c r="KZ59" s="41"/>
      <c r="LA59" s="41"/>
      <c r="LB59" s="41"/>
      <c r="LC59" s="41"/>
      <c r="LD59" s="41"/>
      <c r="LE59" s="41"/>
      <c r="LF59" s="41"/>
      <c r="LG59" s="41"/>
      <c r="LH59" s="41"/>
      <c r="LI59" s="41"/>
      <c r="LJ59" s="41"/>
      <c r="LK59" s="41"/>
      <c r="LL59" s="41"/>
      <c r="LM59" s="41"/>
      <c r="LN59" s="41"/>
      <c r="LO59" s="41"/>
      <c r="LP59" s="41"/>
      <c r="LQ59" s="41"/>
      <c r="LR59" s="41"/>
      <c r="LS59" s="41"/>
      <c r="LT59" s="41"/>
      <c r="LU59" s="41"/>
      <c r="LV59" s="41"/>
      <c r="LW59" s="41"/>
      <c r="LX59" s="41"/>
      <c r="LY59" s="41"/>
      <c r="LZ59" s="41"/>
      <c r="MA59" s="41"/>
      <c r="MB59" s="41"/>
      <c r="MC59" s="41"/>
      <c r="MD59" s="41"/>
      <c r="ME59" s="41"/>
      <c r="MF59" s="41"/>
      <c r="MG59" s="41"/>
      <c r="MH59" s="41"/>
      <c r="MI59" s="41"/>
      <c r="MJ59" s="41"/>
      <c r="MK59" s="41"/>
      <c r="ML59" s="41"/>
      <c r="MM59" s="41"/>
      <c r="MN59" s="41"/>
      <c r="MO59" s="41"/>
      <c r="MP59" s="41"/>
      <c r="MQ59" s="41"/>
      <c r="MR59" s="41"/>
      <c r="MS59" s="41"/>
      <c r="MT59" s="41"/>
      <c r="MU59" s="41"/>
      <c r="MV59" s="41"/>
      <c r="MW59" s="41"/>
      <c r="MX59" s="41"/>
      <c r="MY59" s="41"/>
      <c r="MZ59" s="41"/>
      <c r="NA59" s="41"/>
      <c r="NB59" s="41"/>
      <c r="NC59" s="41"/>
      <c r="ND59" s="41"/>
      <c r="NE59" s="41"/>
      <c r="NF59" s="41"/>
      <c r="NG59" s="41"/>
      <c r="NH59" s="41"/>
      <c r="NI59" s="41"/>
      <c r="NJ59" s="41"/>
      <c r="NK59" s="41"/>
      <c r="NL59" s="41"/>
      <c r="NM59" s="41"/>
      <c r="NN59" s="41"/>
      <c r="NO59" s="41"/>
      <c r="NP59" s="41"/>
      <c r="NQ59" s="41"/>
      <c r="NR59" s="41"/>
      <c r="NS59" s="41"/>
      <c r="NT59" s="41"/>
      <c r="NU59" s="41"/>
      <c r="NV59" s="41"/>
      <c r="NW59" s="41"/>
      <c r="NX59" s="41"/>
      <c r="NY59" s="41"/>
      <c r="NZ59" s="41"/>
      <c r="OA59" s="41"/>
      <c r="OB59" s="41"/>
      <c r="OC59" s="41"/>
      <c r="OD59" s="41"/>
      <c r="OE59" s="41"/>
      <c r="OF59" s="41"/>
      <c r="OG59" s="41"/>
      <c r="OH59" s="41"/>
      <c r="OI59" s="41"/>
      <c r="OJ59" s="41"/>
      <c r="OK59" s="41"/>
      <c r="OL59" s="41"/>
      <c r="OM59" s="41"/>
      <c r="ON59" s="41"/>
      <c r="OO59" s="41"/>
      <c r="OP59" s="41"/>
      <c r="OQ59" s="41"/>
      <c r="OR59" s="41"/>
      <c r="OS59" s="41"/>
      <c r="OT59" s="41"/>
      <c r="OU59" s="41"/>
      <c r="OV59" s="41"/>
      <c r="OW59" s="41"/>
      <c r="OX59" s="41"/>
      <c r="OY59" s="41"/>
      <c r="OZ59" s="41"/>
      <c r="PA59" s="41"/>
      <c r="PB59" s="41"/>
      <c r="PC59" s="41"/>
      <c r="PD59" s="41"/>
      <c r="PE59" s="41"/>
      <c r="PF59" s="41"/>
      <c r="PG59" s="41"/>
      <c r="PH59" s="41"/>
      <c r="PI59" s="41"/>
      <c r="PJ59" s="41"/>
      <c r="PK59" s="41"/>
      <c r="PL59" s="41"/>
      <c r="PM59" s="41"/>
      <c r="PN59" s="41"/>
      <c r="PO59" s="41"/>
      <c r="PP59" s="41"/>
      <c r="PQ59" s="41"/>
      <c r="PR59" s="41"/>
      <c r="PS59" s="41"/>
      <c r="PT59" s="41"/>
      <c r="PU59" s="41"/>
      <c r="PV59" s="41"/>
      <c r="PW59" s="41"/>
      <c r="PX59" s="41"/>
      <c r="PY59" s="41"/>
      <c r="PZ59" s="41"/>
      <c r="QA59" s="41"/>
      <c r="QB59" s="41"/>
      <c r="QC59" s="41"/>
      <c r="QD59" s="41"/>
      <c r="QE59" s="41"/>
      <c r="QF59" s="41"/>
      <c r="QG59" s="41"/>
      <c r="QH59" s="41"/>
      <c r="QI59" s="41"/>
      <c r="QJ59" s="41"/>
      <c r="QK59" s="41"/>
      <c r="QL59" s="41"/>
      <c r="QM59" s="41"/>
      <c r="QN59" s="41"/>
      <c r="QO59" s="41"/>
      <c r="QP59" s="41"/>
      <c r="QQ59" s="41"/>
      <c r="QR59" s="41"/>
      <c r="QS59" s="41"/>
      <c r="QT59" s="41"/>
      <c r="QU59" s="41"/>
      <c r="QV59" s="41"/>
      <c r="QW59" s="41"/>
      <c r="QX59" s="41"/>
      <c r="QY59" s="41"/>
      <c r="QZ59" s="41"/>
      <c r="RA59" s="41"/>
      <c r="RB59" s="41"/>
      <c r="RC59" s="41"/>
      <c r="RD59" s="41"/>
      <c r="RE59" s="41"/>
      <c r="RF59" s="41"/>
      <c r="RG59" s="41"/>
      <c r="RH59" s="41"/>
      <c r="RI59" s="41"/>
      <c r="RJ59" s="41"/>
      <c r="RK59" s="41"/>
      <c r="RL59" s="41"/>
      <c r="RM59" s="41"/>
      <c r="RN59" s="41"/>
      <c r="RO59" s="41"/>
      <c r="RP59" s="41"/>
      <c r="RQ59" s="41"/>
      <c r="RR59" s="41"/>
      <c r="RS59" s="41"/>
      <c r="RT59" s="41"/>
      <c r="RU59" s="41"/>
      <c r="RV59" s="41"/>
      <c r="RW59" s="41"/>
      <c r="RX59" s="41"/>
      <c r="RY59" s="41"/>
      <c r="RZ59" s="41"/>
      <c r="SA59" s="41"/>
      <c r="SB59" s="41"/>
      <c r="SC59" s="41"/>
      <c r="SD59" s="41"/>
      <c r="SE59" s="41"/>
      <c r="SF59" s="41"/>
      <c r="SG59" s="41"/>
      <c r="SH59" s="41"/>
      <c r="SI59" s="41"/>
      <c r="SJ59" s="41"/>
      <c r="SK59" s="41"/>
      <c r="SL59" s="41"/>
      <c r="SM59" s="41"/>
      <c r="SN59" s="41"/>
      <c r="SO59" s="41"/>
      <c r="SP59" s="41"/>
      <c r="SQ59" s="41"/>
      <c r="SR59" s="41"/>
      <c r="SS59" s="41"/>
      <c r="ST59" s="41"/>
      <c r="SU59" s="41"/>
      <c r="SV59" s="41"/>
      <c r="SW59" s="41"/>
      <c r="SX59" s="41"/>
      <c r="SY59" s="41"/>
      <c r="SZ59" s="41"/>
      <c r="TA59" s="41"/>
      <c r="TB59" s="41"/>
      <c r="TC59" s="41"/>
      <c r="TD59" s="41"/>
      <c r="TE59" s="41"/>
      <c r="TF59" s="41"/>
      <c r="TG59" s="41"/>
      <c r="TH59" s="41"/>
      <c r="TI59" s="41"/>
      <c r="TJ59" s="41"/>
      <c r="TK59" s="41"/>
      <c r="TL59" s="41"/>
      <c r="TM59" s="41"/>
      <c r="TN59" s="41"/>
      <c r="TO59" s="41"/>
      <c r="TP59" s="41"/>
      <c r="TQ59" s="41"/>
      <c r="TR59" s="41"/>
      <c r="TS59" s="41"/>
      <c r="TT59" s="41"/>
      <c r="TU59" s="41"/>
      <c r="TV59" s="41"/>
      <c r="TW59" s="41"/>
      <c r="TX59" s="41"/>
      <c r="TY59" s="41"/>
      <c r="TZ59" s="41"/>
      <c r="UA59" s="41"/>
      <c r="UB59" s="41"/>
      <c r="UC59" s="41"/>
      <c r="UD59" s="41"/>
      <c r="UE59" s="41"/>
      <c r="UF59" s="41"/>
      <c r="UG59" s="41"/>
      <c r="UH59" s="41"/>
      <c r="UI59" s="41"/>
      <c r="UJ59" s="41"/>
      <c r="UK59" s="41"/>
      <c r="UL59" s="41"/>
      <c r="UM59" s="41"/>
      <c r="UN59" s="41"/>
      <c r="UO59" s="41"/>
      <c r="UP59" s="41"/>
      <c r="UQ59" s="41"/>
      <c r="UR59" s="41"/>
      <c r="US59" s="41"/>
      <c r="UT59" s="41"/>
      <c r="UU59" s="41"/>
      <c r="UV59" s="41"/>
      <c r="UW59" s="41"/>
      <c r="UX59" s="41"/>
      <c r="UY59" s="41"/>
      <c r="UZ59" s="41"/>
      <c r="VA59" s="41"/>
      <c r="VB59" s="41"/>
      <c r="VC59" s="41"/>
      <c r="VD59" s="41"/>
      <c r="VE59" s="41"/>
      <c r="VF59" s="41"/>
      <c r="VG59" s="41"/>
      <c r="VH59" s="41"/>
      <c r="VI59" s="41"/>
      <c r="VJ59" s="41"/>
      <c r="VK59" s="41"/>
      <c r="VL59" s="41"/>
      <c r="VM59" s="41"/>
      <c r="VN59" s="41"/>
      <c r="VO59" s="41"/>
      <c r="VP59" s="41"/>
      <c r="VQ59" s="41"/>
      <c r="VR59" s="41"/>
      <c r="VS59" s="41"/>
      <c r="VT59" s="41"/>
      <c r="VU59" s="41"/>
      <c r="VV59" s="41"/>
      <c r="VW59" s="41"/>
      <c r="VX59" s="41"/>
      <c r="VY59" s="41"/>
      <c r="VZ59" s="41"/>
      <c r="WA59" s="41"/>
      <c r="WB59" s="41"/>
      <c r="WC59" s="41"/>
      <c r="WD59" s="41"/>
      <c r="WE59" s="41"/>
      <c r="WF59" s="41"/>
      <c r="WG59" s="41"/>
      <c r="WH59" s="41"/>
      <c r="WI59" s="41"/>
      <c r="WJ59" s="41"/>
      <c r="WK59" s="41"/>
      <c r="WL59" s="41"/>
      <c r="WM59" s="41"/>
      <c r="WN59" s="41"/>
      <c r="WO59" s="41"/>
      <c r="WP59" s="41"/>
      <c r="WQ59" s="41"/>
      <c r="WR59" s="41"/>
      <c r="WS59" s="41"/>
      <c r="WT59" s="41"/>
      <c r="WU59" s="41"/>
      <c r="WV59" s="41"/>
      <c r="WW59" s="41"/>
      <c r="WX59" s="41"/>
      <c r="WY59" s="41"/>
      <c r="WZ59" s="41"/>
      <c r="XA59" s="41"/>
      <c r="XB59" s="41"/>
      <c r="XC59" s="41"/>
      <c r="XD59" s="41"/>
      <c r="XE59" s="41"/>
      <c r="XF59" s="41"/>
      <c r="XG59" s="41"/>
      <c r="XH59" s="41"/>
      <c r="XI59" s="41"/>
      <c r="XJ59" s="41"/>
      <c r="XK59" s="41"/>
      <c r="XL59" s="41"/>
      <c r="XM59" s="41"/>
      <c r="XN59" s="41"/>
      <c r="XO59" s="41"/>
      <c r="XP59" s="41"/>
      <c r="XQ59" s="41"/>
      <c r="XR59" s="41"/>
      <c r="XS59" s="41"/>
      <c r="XT59" s="41"/>
      <c r="XU59" s="41"/>
      <c r="XV59" s="41"/>
      <c r="XW59" s="41"/>
      <c r="XX59" s="41"/>
      <c r="XY59" s="41"/>
      <c r="XZ59" s="41"/>
      <c r="YA59" s="41"/>
      <c r="YB59" s="41"/>
      <c r="YC59" s="41"/>
      <c r="YD59" s="41"/>
      <c r="YE59" s="41"/>
      <c r="YF59" s="41"/>
      <c r="YG59" s="41"/>
      <c r="YH59" s="41"/>
      <c r="YI59" s="41"/>
      <c r="YJ59" s="41"/>
      <c r="YK59" s="41"/>
      <c r="YL59" s="41"/>
      <c r="YM59" s="41"/>
      <c r="YN59" s="41"/>
      <c r="YO59" s="41"/>
      <c r="YP59" s="41"/>
      <c r="YQ59" s="41"/>
      <c r="YR59" s="41"/>
      <c r="YS59" s="41"/>
      <c r="YT59" s="41"/>
      <c r="YU59" s="41"/>
      <c r="YV59" s="41"/>
      <c r="YW59" s="41"/>
      <c r="YX59" s="41"/>
      <c r="YY59" s="41"/>
      <c r="YZ59" s="41"/>
      <c r="ZA59" s="41"/>
      <c r="ZB59" s="41"/>
      <c r="ZC59" s="41"/>
      <c r="ZD59" s="41"/>
      <c r="ZE59" s="41"/>
      <c r="ZF59" s="41"/>
      <c r="ZG59" s="41"/>
      <c r="ZH59" s="41"/>
      <c r="ZI59" s="41"/>
      <c r="ZJ59" s="41"/>
      <c r="ZK59" s="41"/>
      <c r="ZL59" s="41"/>
      <c r="ZM59" s="41"/>
      <c r="ZN59" s="41"/>
      <c r="ZO59" s="41"/>
      <c r="ZP59" s="41"/>
      <c r="ZQ59" s="41"/>
      <c r="ZR59" s="41"/>
      <c r="ZS59" s="41"/>
      <c r="ZT59" s="41"/>
      <c r="ZU59" s="41"/>
      <c r="ZV59" s="41"/>
      <c r="ZW59" s="41"/>
      <c r="ZX59" s="41"/>
      <c r="ZY59" s="41"/>
      <c r="ZZ59" s="41"/>
      <c r="AAA59" s="41"/>
      <c r="AAB59" s="41"/>
      <c r="AAC59" s="41"/>
    </row>
    <row r="60" spans="1:705" s="42" customFormat="1" ht="42" hidden="1" x14ac:dyDescent="0.3">
      <c r="A60" s="26">
        <v>56</v>
      </c>
      <c r="B60" s="137">
        <v>239589</v>
      </c>
      <c r="C60" s="138">
        <v>56</v>
      </c>
      <c r="D60" s="139">
        <v>45911</v>
      </c>
      <c r="E60" s="139">
        <f t="shared" si="8"/>
        <v>45910</v>
      </c>
      <c r="F60" s="139">
        <f t="shared" si="5"/>
        <v>45921</v>
      </c>
      <c r="G60" s="139">
        <v>45972</v>
      </c>
      <c r="H60" s="139">
        <v>45943</v>
      </c>
      <c r="I60" s="139" t="s">
        <v>123</v>
      </c>
      <c r="J60" s="140" t="s">
        <v>193</v>
      </c>
      <c r="K60" s="141">
        <f t="shared" si="9"/>
        <v>22</v>
      </c>
      <c r="L60" s="141">
        <v>1142644</v>
      </c>
      <c r="M60" s="140" t="s">
        <v>15</v>
      </c>
      <c r="N60" s="142">
        <v>803368</v>
      </c>
      <c r="O60" s="140" t="s">
        <v>246</v>
      </c>
      <c r="P60" s="143">
        <v>45930</v>
      </c>
      <c r="Q60" s="143">
        <v>46107</v>
      </c>
      <c r="R60" s="137" t="s">
        <v>211</v>
      </c>
      <c r="S60" s="144" t="s">
        <v>194</v>
      </c>
      <c r="T60" s="145">
        <v>1</v>
      </c>
      <c r="U60" s="137" t="s">
        <v>195</v>
      </c>
      <c r="V60" s="146">
        <v>99</v>
      </c>
      <c r="W60" s="146">
        <v>99</v>
      </c>
      <c r="X60" s="155">
        <v>0</v>
      </c>
      <c r="Y60" s="154">
        <v>0</v>
      </c>
      <c r="Z60" s="154">
        <v>0</v>
      </c>
      <c r="AA60" s="154">
        <v>0</v>
      </c>
      <c r="AB60" s="146">
        <v>96</v>
      </c>
      <c r="AC60" s="146">
        <v>96</v>
      </c>
      <c r="AD60" s="154">
        <v>0</v>
      </c>
      <c r="AE60" s="154">
        <v>0</v>
      </c>
      <c r="AF60" s="154">
        <v>0</v>
      </c>
      <c r="AG60" s="154">
        <v>0</v>
      </c>
      <c r="AH60" s="146">
        <v>3</v>
      </c>
      <c r="AI60" s="146">
        <v>3</v>
      </c>
      <c r="AJ60" s="146"/>
      <c r="AK60" s="146"/>
      <c r="AL60" s="146">
        <v>1</v>
      </c>
      <c r="AM60" s="146">
        <v>1</v>
      </c>
      <c r="AN60" s="146">
        <v>5</v>
      </c>
      <c r="AO60" s="146">
        <v>5</v>
      </c>
      <c r="AP60" s="146">
        <v>5</v>
      </c>
      <c r="AQ60" s="146">
        <v>5</v>
      </c>
      <c r="AR60" s="146">
        <v>0</v>
      </c>
      <c r="AS60" s="146">
        <v>0</v>
      </c>
      <c r="AT60" s="146">
        <v>1</v>
      </c>
      <c r="AU60" s="146">
        <v>1</v>
      </c>
      <c r="AV60" s="154">
        <v>0</v>
      </c>
      <c r="AW60" s="154">
        <v>0</v>
      </c>
      <c r="AX60" s="146">
        <f t="shared" si="6"/>
        <v>16312</v>
      </c>
      <c r="AY60" s="146">
        <f t="shared" si="7"/>
        <v>16312</v>
      </c>
      <c r="AZ60" s="140" t="s">
        <v>562</v>
      </c>
      <c r="BA60" s="140" t="s">
        <v>618</v>
      </c>
      <c r="BB60" s="140">
        <v>5</v>
      </c>
      <c r="BC60" s="148">
        <v>56</v>
      </c>
      <c r="BD60" s="149"/>
      <c r="BE60" s="145"/>
      <c r="BF60" s="150"/>
      <c r="BG60" s="151">
        <v>45931</v>
      </c>
      <c r="BH60" s="153" t="s">
        <v>15</v>
      </c>
      <c r="BI60" s="153" t="s">
        <v>562</v>
      </c>
      <c r="CC60" s="41"/>
      <c r="CD60" s="41"/>
      <c r="CE60" s="41"/>
      <c r="CF60" s="41"/>
      <c r="CG60" s="41"/>
      <c r="CH60" s="41"/>
      <c r="CI60" s="41"/>
      <c r="CJ60" s="41"/>
      <c r="CK60" s="41"/>
      <c r="CL60" s="41"/>
      <c r="CM60" s="41"/>
      <c r="CN60" s="41"/>
      <c r="CO60" s="41"/>
      <c r="CP60" s="41"/>
      <c r="CQ60" s="41"/>
      <c r="CR60" s="41"/>
      <c r="CS60" s="41"/>
      <c r="CT60" s="41"/>
      <c r="CU60" s="41"/>
      <c r="CV60" s="41"/>
      <c r="CW60" s="41"/>
      <c r="CX60" s="41"/>
      <c r="CY60" s="41"/>
      <c r="CZ60" s="41"/>
      <c r="DA60" s="41"/>
      <c r="DB60" s="41"/>
      <c r="DC60" s="41"/>
      <c r="DD60" s="41"/>
      <c r="DE60" s="41"/>
      <c r="DF60" s="41"/>
      <c r="DG60" s="41"/>
      <c r="DH60" s="41"/>
      <c r="DI60" s="41"/>
      <c r="DJ60" s="41"/>
      <c r="DK60" s="41"/>
      <c r="DL60" s="41"/>
      <c r="DM60" s="41"/>
      <c r="DN60" s="41"/>
      <c r="DO60" s="41"/>
      <c r="DP60" s="41"/>
      <c r="DQ60" s="41"/>
      <c r="DR60" s="41"/>
      <c r="DS60" s="41"/>
      <c r="DT60" s="41"/>
      <c r="DU60" s="41"/>
      <c r="DV60" s="41"/>
      <c r="DW60" s="41"/>
      <c r="DX60" s="41"/>
      <c r="DY60" s="41"/>
      <c r="DZ60" s="41"/>
      <c r="EA60" s="41"/>
      <c r="EB60" s="41"/>
      <c r="EC60" s="41"/>
      <c r="ED60" s="41"/>
      <c r="EE60" s="41"/>
      <c r="EF60" s="41"/>
      <c r="EG60" s="41"/>
      <c r="EH60" s="41"/>
      <c r="EI60" s="41"/>
      <c r="EJ60" s="41"/>
      <c r="EK60" s="41"/>
      <c r="EL60" s="41"/>
      <c r="EM60" s="41"/>
      <c r="EN60" s="41"/>
      <c r="EO60" s="41"/>
      <c r="EP60" s="41"/>
      <c r="EQ60" s="41"/>
      <c r="ER60" s="41"/>
      <c r="ES60" s="41"/>
      <c r="ET60" s="41"/>
      <c r="EU60" s="41"/>
      <c r="EV60" s="41"/>
      <c r="EW60" s="41"/>
      <c r="EX60" s="41"/>
      <c r="EY60" s="41"/>
      <c r="EZ60" s="41"/>
      <c r="FA60" s="41"/>
      <c r="FB60" s="41"/>
      <c r="FC60" s="41"/>
      <c r="FD60" s="41"/>
      <c r="FE60" s="41"/>
      <c r="FF60" s="41"/>
      <c r="FG60" s="41"/>
      <c r="FH60" s="41"/>
      <c r="FI60" s="41"/>
      <c r="FJ60" s="41"/>
      <c r="FK60" s="41"/>
      <c r="FL60" s="41"/>
      <c r="FM60" s="41"/>
      <c r="FN60" s="41"/>
      <c r="FO60" s="41"/>
      <c r="FP60" s="41"/>
      <c r="FQ60" s="41"/>
      <c r="FR60" s="41"/>
      <c r="FS60" s="41"/>
      <c r="FT60" s="41"/>
      <c r="FU60" s="41"/>
      <c r="FV60" s="41"/>
      <c r="FW60" s="41"/>
      <c r="FX60" s="41"/>
      <c r="FY60" s="41"/>
      <c r="FZ60" s="41"/>
      <c r="GA60" s="41"/>
      <c r="GB60" s="41"/>
      <c r="GC60" s="41"/>
      <c r="GD60" s="41"/>
      <c r="GE60" s="41"/>
      <c r="GF60" s="41"/>
      <c r="GG60" s="41"/>
      <c r="GH60" s="41"/>
      <c r="GI60" s="41"/>
      <c r="GJ60" s="41"/>
      <c r="GK60" s="41"/>
      <c r="GL60" s="41"/>
      <c r="GM60" s="41"/>
      <c r="GN60" s="41"/>
      <c r="GO60" s="41"/>
      <c r="GP60" s="41"/>
      <c r="GQ60" s="41"/>
      <c r="GR60" s="41"/>
      <c r="GS60" s="41"/>
      <c r="GT60" s="41"/>
      <c r="GU60" s="41"/>
      <c r="GV60" s="41"/>
      <c r="GW60" s="41"/>
      <c r="GX60" s="41"/>
      <c r="GY60" s="41"/>
      <c r="GZ60" s="41"/>
      <c r="HA60" s="41"/>
      <c r="HB60" s="41"/>
      <c r="HC60" s="41"/>
      <c r="HD60" s="41"/>
      <c r="HE60" s="41"/>
      <c r="HF60" s="41"/>
      <c r="HG60" s="41"/>
      <c r="HH60" s="41"/>
      <c r="HI60" s="41"/>
      <c r="HJ60" s="41"/>
      <c r="HK60" s="41"/>
      <c r="HL60" s="41"/>
      <c r="HM60" s="41"/>
      <c r="HN60" s="41"/>
      <c r="HO60" s="41"/>
      <c r="HP60" s="41"/>
      <c r="HQ60" s="41"/>
      <c r="HR60" s="41"/>
      <c r="HS60" s="41"/>
      <c r="HT60" s="41"/>
      <c r="HU60" s="41"/>
      <c r="HV60" s="41"/>
      <c r="HW60" s="41"/>
      <c r="HX60" s="41"/>
      <c r="HY60" s="41"/>
      <c r="HZ60" s="41"/>
      <c r="IA60" s="41"/>
      <c r="IB60" s="41"/>
      <c r="IC60" s="41"/>
      <c r="ID60" s="41"/>
      <c r="IE60" s="41"/>
      <c r="IF60" s="41"/>
      <c r="IG60" s="41"/>
      <c r="IH60" s="41"/>
      <c r="II60" s="41"/>
      <c r="IJ60" s="41"/>
      <c r="IK60" s="41"/>
      <c r="IL60" s="41"/>
      <c r="IM60" s="41"/>
      <c r="IN60" s="41"/>
      <c r="IO60" s="41"/>
      <c r="IP60" s="41"/>
      <c r="IQ60" s="41"/>
      <c r="IR60" s="41"/>
      <c r="IS60" s="41"/>
      <c r="IT60" s="41"/>
      <c r="IU60" s="41"/>
      <c r="IV60" s="41"/>
      <c r="IW60" s="41"/>
      <c r="IX60" s="41"/>
      <c r="IY60" s="41"/>
      <c r="IZ60" s="41"/>
      <c r="JA60" s="41"/>
      <c r="JB60" s="41"/>
      <c r="JC60" s="41"/>
      <c r="JD60" s="41"/>
      <c r="JE60" s="41"/>
      <c r="JF60" s="41"/>
      <c r="JG60" s="41"/>
      <c r="JH60" s="41"/>
      <c r="JI60" s="41"/>
      <c r="JJ60" s="41"/>
      <c r="JK60" s="41"/>
      <c r="JL60" s="41"/>
      <c r="JM60" s="41"/>
      <c r="JN60" s="41"/>
      <c r="JO60" s="41"/>
      <c r="JP60" s="41"/>
      <c r="JQ60" s="41"/>
      <c r="JR60" s="41"/>
      <c r="JS60" s="41"/>
      <c r="JT60" s="41"/>
      <c r="JU60" s="41"/>
      <c r="JV60" s="41"/>
      <c r="JW60" s="41"/>
      <c r="JX60" s="41"/>
      <c r="JY60" s="41"/>
      <c r="JZ60" s="41"/>
      <c r="KA60" s="41"/>
      <c r="KB60" s="41"/>
      <c r="KC60" s="41"/>
      <c r="KD60" s="41"/>
      <c r="KE60" s="41"/>
      <c r="KF60" s="41"/>
      <c r="KG60" s="41"/>
      <c r="KH60" s="41"/>
      <c r="KI60" s="41"/>
      <c r="KJ60" s="41"/>
      <c r="KK60" s="41"/>
      <c r="KL60" s="41"/>
      <c r="KM60" s="41"/>
      <c r="KN60" s="41"/>
      <c r="KO60" s="41"/>
      <c r="KP60" s="41"/>
      <c r="KQ60" s="41"/>
      <c r="KR60" s="41"/>
      <c r="KS60" s="41"/>
      <c r="KT60" s="41"/>
      <c r="KU60" s="41"/>
      <c r="KV60" s="41"/>
      <c r="KW60" s="41"/>
      <c r="KX60" s="41"/>
      <c r="KY60" s="41"/>
      <c r="KZ60" s="41"/>
      <c r="LA60" s="41"/>
      <c r="LB60" s="41"/>
      <c r="LC60" s="41"/>
      <c r="LD60" s="41"/>
      <c r="LE60" s="41"/>
      <c r="LF60" s="41"/>
      <c r="LG60" s="41"/>
      <c r="LH60" s="41"/>
      <c r="LI60" s="41"/>
      <c r="LJ60" s="41"/>
      <c r="LK60" s="41"/>
      <c r="LL60" s="41"/>
      <c r="LM60" s="41"/>
      <c r="LN60" s="41"/>
      <c r="LO60" s="41"/>
      <c r="LP60" s="41"/>
      <c r="LQ60" s="41"/>
      <c r="LR60" s="41"/>
      <c r="LS60" s="41"/>
      <c r="LT60" s="41"/>
      <c r="LU60" s="41"/>
      <c r="LV60" s="41"/>
      <c r="LW60" s="41"/>
      <c r="LX60" s="41"/>
      <c r="LY60" s="41"/>
      <c r="LZ60" s="41"/>
      <c r="MA60" s="41"/>
      <c r="MB60" s="41"/>
      <c r="MC60" s="41"/>
      <c r="MD60" s="41"/>
      <c r="ME60" s="41"/>
      <c r="MF60" s="41"/>
      <c r="MG60" s="41"/>
      <c r="MH60" s="41"/>
      <c r="MI60" s="41"/>
      <c r="MJ60" s="41"/>
      <c r="MK60" s="41"/>
      <c r="ML60" s="41"/>
      <c r="MM60" s="41"/>
      <c r="MN60" s="41"/>
      <c r="MO60" s="41"/>
      <c r="MP60" s="41"/>
      <c r="MQ60" s="41"/>
      <c r="MR60" s="41"/>
      <c r="MS60" s="41"/>
      <c r="MT60" s="41"/>
      <c r="MU60" s="41"/>
      <c r="MV60" s="41"/>
      <c r="MW60" s="41"/>
      <c r="MX60" s="41"/>
      <c r="MY60" s="41"/>
      <c r="MZ60" s="41"/>
      <c r="NA60" s="41"/>
      <c r="NB60" s="41"/>
      <c r="NC60" s="41"/>
      <c r="ND60" s="41"/>
      <c r="NE60" s="41"/>
      <c r="NF60" s="41"/>
      <c r="NG60" s="41"/>
      <c r="NH60" s="41"/>
      <c r="NI60" s="41"/>
      <c r="NJ60" s="41"/>
      <c r="NK60" s="41"/>
      <c r="NL60" s="41"/>
      <c r="NM60" s="41"/>
      <c r="NN60" s="41"/>
      <c r="NO60" s="41"/>
      <c r="NP60" s="41"/>
      <c r="NQ60" s="41"/>
      <c r="NR60" s="41"/>
      <c r="NS60" s="41"/>
      <c r="NT60" s="41"/>
      <c r="NU60" s="41"/>
      <c r="NV60" s="41"/>
      <c r="NW60" s="41"/>
      <c r="NX60" s="41"/>
      <c r="NY60" s="41"/>
      <c r="NZ60" s="41"/>
      <c r="OA60" s="41"/>
      <c r="OB60" s="41"/>
      <c r="OC60" s="41"/>
      <c r="OD60" s="41"/>
      <c r="OE60" s="41"/>
      <c r="OF60" s="41"/>
      <c r="OG60" s="41"/>
      <c r="OH60" s="41"/>
      <c r="OI60" s="41"/>
      <c r="OJ60" s="41"/>
      <c r="OK60" s="41"/>
      <c r="OL60" s="41"/>
      <c r="OM60" s="41"/>
      <c r="ON60" s="41"/>
      <c r="OO60" s="41"/>
      <c r="OP60" s="41"/>
      <c r="OQ60" s="41"/>
      <c r="OR60" s="41"/>
      <c r="OS60" s="41"/>
      <c r="OT60" s="41"/>
      <c r="OU60" s="41"/>
      <c r="OV60" s="41"/>
      <c r="OW60" s="41"/>
      <c r="OX60" s="41"/>
      <c r="OY60" s="41"/>
      <c r="OZ60" s="41"/>
      <c r="PA60" s="41"/>
      <c r="PB60" s="41"/>
      <c r="PC60" s="41"/>
      <c r="PD60" s="41"/>
      <c r="PE60" s="41"/>
      <c r="PF60" s="41"/>
      <c r="PG60" s="41"/>
      <c r="PH60" s="41"/>
      <c r="PI60" s="41"/>
      <c r="PJ60" s="41"/>
      <c r="PK60" s="41"/>
      <c r="PL60" s="41"/>
      <c r="PM60" s="41"/>
      <c r="PN60" s="41"/>
      <c r="PO60" s="41"/>
      <c r="PP60" s="41"/>
      <c r="PQ60" s="41"/>
      <c r="PR60" s="41"/>
      <c r="PS60" s="41"/>
      <c r="PT60" s="41"/>
      <c r="PU60" s="41"/>
      <c r="PV60" s="41"/>
      <c r="PW60" s="41"/>
      <c r="PX60" s="41"/>
      <c r="PY60" s="41"/>
      <c r="PZ60" s="41"/>
      <c r="QA60" s="41"/>
      <c r="QB60" s="41"/>
      <c r="QC60" s="41"/>
      <c r="QD60" s="41"/>
      <c r="QE60" s="41"/>
      <c r="QF60" s="41"/>
      <c r="QG60" s="41"/>
      <c r="QH60" s="41"/>
      <c r="QI60" s="41"/>
      <c r="QJ60" s="41"/>
      <c r="QK60" s="41"/>
      <c r="QL60" s="41"/>
      <c r="QM60" s="41"/>
      <c r="QN60" s="41"/>
      <c r="QO60" s="41"/>
      <c r="QP60" s="41"/>
      <c r="QQ60" s="41"/>
      <c r="QR60" s="41"/>
      <c r="QS60" s="41"/>
      <c r="QT60" s="41"/>
      <c r="QU60" s="41"/>
      <c r="QV60" s="41"/>
      <c r="QW60" s="41"/>
      <c r="QX60" s="41"/>
      <c r="QY60" s="41"/>
      <c r="QZ60" s="41"/>
      <c r="RA60" s="41"/>
      <c r="RB60" s="41"/>
      <c r="RC60" s="41"/>
      <c r="RD60" s="41"/>
      <c r="RE60" s="41"/>
      <c r="RF60" s="41"/>
      <c r="RG60" s="41"/>
      <c r="RH60" s="41"/>
      <c r="RI60" s="41"/>
      <c r="RJ60" s="41"/>
      <c r="RK60" s="41"/>
      <c r="RL60" s="41"/>
      <c r="RM60" s="41"/>
      <c r="RN60" s="41"/>
      <c r="RO60" s="41"/>
      <c r="RP60" s="41"/>
      <c r="RQ60" s="41"/>
      <c r="RR60" s="41"/>
      <c r="RS60" s="41"/>
      <c r="RT60" s="41"/>
      <c r="RU60" s="41"/>
      <c r="RV60" s="41"/>
      <c r="RW60" s="41"/>
      <c r="RX60" s="41"/>
      <c r="RY60" s="41"/>
      <c r="RZ60" s="41"/>
      <c r="SA60" s="41"/>
      <c r="SB60" s="41"/>
      <c r="SC60" s="41"/>
      <c r="SD60" s="41"/>
      <c r="SE60" s="41"/>
      <c r="SF60" s="41"/>
      <c r="SG60" s="41"/>
      <c r="SH60" s="41"/>
      <c r="SI60" s="41"/>
      <c r="SJ60" s="41"/>
      <c r="SK60" s="41"/>
      <c r="SL60" s="41"/>
      <c r="SM60" s="41"/>
      <c r="SN60" s="41"/>
      <c r="SO60" s="41"/>
      <c r="SP60" s="41"/>
      <c r="SQ60" s="41"/>
      <c r="SR60" s="41"/>
      <c r="SS60" s="41"/>
      <c r="ST60" s="41"/>
      <c r="SU60" s="41"/>
      <c r="SV60" s="41"/>
      <c r="SW60" s="41"/>
      <c r="SX60" s="41"/>
      <c r="SY60" s="41"/>
      <c r="SZ60" s="41"/>
      <c r="TA60" s="41"/>
      <c r="TB60" s="41"/>
      <c r="TC60" s="41"/>
      <c r="TD60" s="41"/>
      <c r="TE60" s="41"/>
      <c r="TF60" s="41"/>
      <c r="TG60" s="41"/>
      <c r="TH60" s="41"/>
      <c r="TI60" s="41"/>
      <c r="TJ60" s="41"/>
      <c r="TK60" s="41"/>
      <c r="TL60" s="41"/>
      <c r="TM60" s="41"/>
      <c r="TN60" s="41"/>
      <c r="TO60" s="41"/>
      <c r="TP60" s="41"/>
      <c r="TQ60" s="41"/>
      <c r="TR60" s="41"/>
      <c r="TS60" s="41"/>
      <c r="TT60" s="41"/>
      <c r="TU60" s="41"/>
      <c r="TV60" s="41"/>
      <c r="TW60" s="41"/>
      <c r="TX60" s="41"/>
      <c r="TY60" s="41"/>
      <c r="TZ60" s="41"/>
      <c r="UA60" s="41"/>
      <c r="UB60" s="41"/>
      <c r="UC60" s="41"/>
      <c r="UD60" s="41"/>
      <c r="UE60" s="41"/>
      <c r="UF60" s="41"/>
      <c r="UG60" s="41"/>
      <c r="UH60" s="41"/>
      <c r="UI60" s="41"/>
      <c r="UJ60" s="41"/>
      <c r="UK60" s="41"/>
      <c r="UL60" s="41"/>
      <c r="UM60" s="41"/>
      <c r="UN60" s="41"/>
      <c r="UO60" s="41"/>
      <c r="UP60" s="41"/>
      <c r="UQ60" s="41"/>
      <c r="UR60" s="41"/>
      <c r="US60" s="41"/>
      <c r="UT60" s="41"/>
      <c r="UU60" s="41"/>
      <c r="UV60" s="41"/>
      <c r="UW60" s="41"/>
      <c r="UX60" s="41"/>
      <c r="UY60" s="41"/>
      <c r="UZ60" s="41"/>
      <c r="VA60" s="41"/>
      <c r="VB60" s="41"/>
      <c r="VC60" s="41"/>
      <c r="VD60" s="41"/>
      <c r="VE60" s="41"/>
      <c r="VF60" s="41"/>
      <c r="VG60" s="41"/>
      <c r="VH60" s="41"/>
      <c r="VI60" s="41"/>
      <c r="VJ60" s="41"/>
      <c r="VK60" s="41"/>
      <c r="VL60" s="41"/>
      <c r="VM60" s="41"/>
      <c r="VN60" s="41"/>
      <c r="VO60" s="41"/>
      <c r="VP60" s="41"/>
      <c r="VQ60" s="41"/>
      <c r="VR60" s="41"/>
      <c r="VS60" s="41"/>
      <c r="VT60" s="41"/>
      <c r="VU60" s="41"/>
      <c r="VV60" s="41"/>
      <c r="VW60" s="41"/>
      <c r="VX60" s="41"/>
      <c r="VY60" s="41"/>
      <c r="VZ60" s="41"/>
      <c r="WA60" s="41"/>
      <c r="WB60" s="41"/>
      <c r="WC60" s="41"/>
      <c r="WD60" s="41"/>
      <c r="WE60" s="41"/>
      <c r="WF60" s="41"/>
      <c r="WG60" s="41"/>
      <c r="WH60" s="41"/>
      <c r="WI60" s="41"/>
      <c r="WJ60" s="41"/>
      <c r="WK60" s="41"/>
      <c r="WL60" s="41"/>
      <c r="WM60" s="41"/>
      <c r="WN60" s="41"/>
      <c r="WO60" s="41"/>
      <c r="WP60" s="41"/>
      <c r="WQ60" s="41"/>
      <c r="WR60" s="41"/>
      <c r="WS60" s="41"/>
      <c r="WT60" s="41"/>
      <c r="WU60" s="41"/>
      <c r="WV60" s="41"/>
      <c r="WW60" s="41"/>
      <c r="WX60" s="41"/>
      <c r="WY60" s="41"/>
      <c r="WZ60" s="41"/>
      <c r="XA60" s="41"/>
      <c r="XB60" s="41"/>
      <c r="XC60" s="41"/>
      <c r="XD60" s="41"/>
      <c r="XE60" s="41"/>
      <c r="XF60" s="41"/>
      <c r="XG60" s="41"/>
      <c r="XH60" s="41"/>
      <c r="XI60" s="41"/>
      <c r="XJ60" s="41"/>
      <c r="XK60" s="41"/>
      <c r="XL60" s="41"/>
      <c r="XM60" s="41"/>
      <c r="XN60" s="41"/>
      <c r="XO60" s="41"/>
      <c r="XP60" s="41"/>
      <c r="XQ60" s="41"/>
      <c r="XR60" s="41"/>
      <c r="XS60" s="41"/>
      <c r="XT60" s="41"/>
      <c r="XU60" s="41"/>
      <c r="XV60" s="41"/>
      <c r="XW60" s="41"/>
      <c r="XX60" s="41"/>
      <c r="XY60" s="41"/>
      <c r="XZ60" s="41"/>
      <c r="YA60" s="41"/>
      <c r="YB60" s="41"/>
      <c r="YC60" s="41"/>
      <c r="YD60" s="41"/>
      <c r="YE60" s="41"/>
      <c r="YF60" s="41"/>
      <c r="YG60" s="41"/>
      <c r="YH60" s="41"/>
      <c r="YI60" s="41"/>
      <c r="YJ60" s="41"/>
      <c r="YK60" s="41"/>
      <c r="YL60" s="41"/>
      <c r="YM60" s="41"/>
      <c r="YN60" s="41"/>
      <c r="YO60" s="41"/>
      <c r="YP60" s="41"/>
      <c r="YQ60" s="41"/>
      <c r="YR60" s="41"/>
      <c r="YS60" s="41"/>
      <c r="YT60" s="41"/>
      <c r="YU60" s="41"/>
      <c r="YV60" s="41"/>
      <c r="YW60" s="41"/>
      <c r="YX60" s="41"/>
      <c r="YY60" s="41"/>
      <c r="YZ60" s="41"/>
      <c r="ZA60" s="41"/>
      <c r="ZB60" s="41"/>
      <c r="ZC60" s="41"/>
      <c r="ZD60" s="41"/>
      <c r="ZE60" s="41"/>
      <c r="ZF60" s="41"/>
      <c r="ZG60" s="41"/>
      <c r="ZH60" s="41"/>
      <c r="ZI60" s="41"/>
      <c r="ZJ60" s="41"/>
      <c r="ZK60" s="41"/>
      <c r="ZL60" s="41"/>
      <c r="ZM60" s="41"/>
      <c r="ZN60" s="41"/>
      <c r="ZO60" s="41"/>
      <c r="ZP60" s="41"/>
      <c r="ZQ60" s="41"/>
      <c r="ZR60" s="41"/>
      <c r="ZS60" s="41"/>
      <c r="ZT60" s="41"/>
      <c r="ZU60" s="41"/>
      <c r="ZV60" s="41"/>
      <c r="ZW60" s="41"/>
      <c r="ZX60" s="41"/>
      <c r="ZY60" s="41"/>
      <c r="ZZ60" s="41"/>
      <c r="AAA60" s="41"/>
      <c r="AAB60" s="41"/>
      <c r="AAC60" s="41"/>
    </row>
    <row r="61" spans="1:705" s="108" customFormat="1" ht="42" hidden="1" x14ac:dyDescent="0.3">
      <c r="A61" s="26">
        <v>57</v>
      </c>
      <c r="B61" s="137">
        <v>239594</v>
      </c>
      <c r="C61" s="138">
        <v>57</v>
      </c>
      <c r="D61" s="139">
        <v>45914</v>
      </c>
      <c r="E61" s="139">
        <f t="shared" si="8"/>
        <v>45913</v>
      </c>
      <c r="F61" s="139">
        <f t="shared" si="5"/>
        <v>45924</v>
      </c>
      <c r="G61" s="139">
        <v>45924</v>
      </c>
      <c r="H61" s="139">
        <v>45936</v>
      </c>
      <c r="I61" s="139" t="s">
        <v>75</v>
      </c>
      <c r="J61" s="140" t="s">
        <v>196</v>
      </c>
      <c r="K61" s="141">
        <f t="shared" si="9"/>
        <v>12</v>
      </c>
      <c r="L61" s="141">
        <v>1143075</v>
      </c>
      <c r="M61" s="140" t="s">
        <v>15</v>
      </c>
      <c r="N61" s="142">
        <v>804176</v>
      </c>
      <c r="O61" s="140" t="s">
        <v>246</v>
      </c>
      <c r="P61" s="143">
        <v>45929</v>
      </c>
      <c r="Q61" s="143">
        <v>45943</v>
      </c>
      <c r="R61" s="137" t="s">
        <v>211</v>
      </c>
      <c r="S61" s="144" t="s">
        <v>197</v>
      </c>
      <c r="T61" s="145">
        <v>1</v>
      </c>
      <c r="U61" s="137" t="s">
        <v>198</v>
      </c>
      <c r="V61" s="146">
        <v>8</v>
      </c>
      <c r="W61" s="146">
        <v>8</v>
      </c>
      <c r="X61" s="155">
        <v>0</v>
      </c>
      <c r="Y61" s="154">
        <v>0</v>
      </c>
      <c r="Z61" s="154">
        <v>0</v>
      </c>
      <c r="AA61" s="154">
        <v>0</v>
      </c>
      <c r="AB61" s="146">
        <v>8</v>
      </c>
      <c r="AC61" s="146">
        <v>8</v>
      </c>
      <c r="AD61" s="154">
        <v>0</v>
      </c>
      <c r="AE61" s="154">
        <v>0</v>
      </c>
      <c r="AF61" s="154">
        <v>0</v>
      </c>
      <c r="AG61" s="154">
        <v>0</v>
      </c>
      <c r="AH61" s="146">
        <v>1</v>
      </c>
      <c r="AI61" s="146">
        <v>1</v>
      </c>
      <c r="AJ61" s="146">
        <v>0</v>
      </c>
      <c r="AK61" s="146">
        <v>0</v>
      </c>
      <c r="AL61" s="146">
        <v>0</v>
      </c>
      <c r="AM61" s="146">
        <v>0</v>
      </c>
      <c r="AN61" s="146">
        <v>1</v>
      </c>
      <c r="AO61" s="146">
        <v>1</v>
      </c>
      <c r="AP61" s="146">
        <v>1</v>
      </c>
      <c r="AQ61" s="146">
        <v>1</v>
      </c>
      <c r="AR61" s="146">
        <v>0</v>
      </c>
      <c r="AS61" s="146">
        <v>0</v>
      </c>
      <c r="AT61" s="146">
        <v>1</v>
      </c>
      <c r="AU61" s="146">
        <v>1</v>
      </c>
      <c r="AV61" s="154">
        <v>0</v>
      </c>
      <c r="AW61" s="154">
        <v>0</v>
      </c>
      <c r="AX61" s="146">
        <f t="shared" si="6"/>
        <v>2146</v>
      </c>
      <c r="AY61" s="146">
        <f t="shared" si="7"/>
        <v>2146</v>
      </c>
      <c r="AZ61" s="140" t="s">
        <v>562</v>
      </c>
      <c r="BA61" s="140" t="s">
        <v>562</v>
      </c>
      <c r="BB61" s="140">
        <v>2</v>
      </c>
      <c r="BC61" s="148">
        <v>57</v>
      </c>
      <c r="BD61" s="149"/>
      <c r="BE61" s="145"/>
      <c r="BF61" s="150"/>
      <c r="BG61" s="151">
        <v>45931</v>
      </c>
      <c r="BH61" s="153" t="s">
        <v>535</v>
      </c>
      <c r="BI61" s="153" t="s">
        <v>562</v>
      </c>
      <c r="BJ61" s="42"/>
      <c r="BK61" s="42"/>
      <c r="BL61" s="42"/>
      <c r="BM61" s="42"/>
      <c r="BN61" s="42"/>
      <c r="BO61" s="42"/>
      <c r="BP61" s="42"/>
      <c r="BQ61" s="42"/>
      <c r="BR61" s="42"/>
      <c r="BS61" s="42"/>
      <c r="BT61" s="42"/>
      <c r="BU61" s="42"/>
      <c r="BV61" s="42"/>
      <c r="BW61" s="42"/>
      <c r="BX61" s="42"/>
      <c r="BY61" s="42"/>
      <c r="BZ61" s="42"/>
      <c r="CA61" s="42"/>
      <c r="CB61" s="42"/>
      <c r="CC61" s="42"/>
      <c r="CD61" s="42"/>
      <c r="CE61" s="42"/>
      <c r="CF61" s="42"/>
      <c r="CG61" s="42"/>
      <c r="CH61" s="42"/>
      <c r="CI61" s="42"/>
      <c r="CJ61" s="42"/>
      <c r="CK61" s="42"/>
      <c r="CL61" s="42"/>
      <c r="CM61" s="42"/>
      <c r="CN61" s="42"/>
      <c r="CO61" s="42"/>
      <c r="CP61" s="42"/>
      <c r="CQ61" s="42"/>
      <c r="CR61" s="42"/>
      <c r="CS61" s="42"/>
      <c r="CT61" s="42"/>
      <c r="CU61" s="42"/>
      <c r="CV61" s="42"/>
      <c r="CW61" s="42"/>
      <c r="CX61" s="42"/>
      <c r="CY61" s="42"/>
      <c r="CZ61" s="42"/>
      <c r="DA61" s="42"/>
      <c r="DB61" s="42"/>
      <c r="DC61" s="42"/>
      <c r="DD61" s="42"/>
      <c r="DE61" s="42"/>
      <c r="DF61" s="42"/>
      <c r="DG61" s="42"/>
      <c r="DH61" s="42"/>
      <c r="DI61" s="42"/>
      <c r="DJ61" s="42"/>
      <c r="DK61" s="42"/>
      <c r="DL61" s="42"/>
      <c r="DM61" s="42"/>
      <c r="DN61" s="42"/>
      <c r="DO61" s="42"/>
      <c r="DP61" s="42"/>
      <c r="DQ61" s="42"/>
      <c r="DR61" s="42"/>
      <c r="DS61" s="42"/>
      <c r="DT61" s="42"/>
      <c r="DU61" s="42"/>
      <c r="DV61" s="42"/>
      <c r="DW61" s="42"/>
      <c r="DX61" s="42"/>
      <c r="DY61" s="42"/>
      <c r="DZ61" s="42"/>
      <c r="EA61" s="42"/>
      <c r="EB61" s="42"/>
      <c r="EC61" s="42"/>
      <c r="ED61" s="42"/>
      <c r="EE61" s="42"/>
      <c r="EF61" s="42"/>
      <c r="EG61" s="42"/>
      <c r="EH61" s="42"/>
      <c r="EI61" s="42"/>
      <c r="EJ61" s="42"/>
      <c r="EK61" s="42"/>
      <c r="EL61" s="42"/>
      <c r="EM61" s="42"/>
      <c r="EN61" s="42"/>
      <c r="EO61" s="42"/>
      <c r="EP61" s="42"/>
      <c r="EQ61" s="42"/>
      <c r="ER61" s="42"/>
      <c r="ES61" s="42"/>
      <c r="ET61" s="42"/>
      <c r="EU61" s="42"/>
      <c r="EV61" s="42"/>
      <c r="EW61" s="42"/>
      <c r="EX61" s="42"/>
      <c r="EY61" s="42"/>
      <c r="EZ61" s="42"/>
      <c r="FA61" s="42"/>
      <c r="FB61" s="42"/>
      <c r="FC61" s="42"/>
      <c r="FD61" s="42"/>
      <c r="FE61" s="42"/>
      <c r="FF61" s="42"/>
      <c r="FG61" s="42"/>
      <c r="FH61" s="42"/>
      <c r="FI61" s="42"/>
      <c r="FJ61" s="42"/>
      <c r="FK61" s="42"/>
      <c r="FL61" s="42"/>
      <c r="FM61" s="42"/>
      <c r="FN61" s="42"/>
      <c r="FO61" s="42"/>
      <c r="FP61" s="42"/>
      <c r="FQ61" s="42"/>
      <c r="FR61" s="42"/>
      <c r="FS61" s="42"/>
      <c r="FT61" s="42"/>
      <c r="FU61" s="42"/>
      <c r="FV61" s="42"/>
      <c r="FW61" s="42"/>
      <c r="FX61" s="42"/>
      <c r="FY61" s="42"/>
      <c r="FZ61" s="42"/>
      <c r="GA61" s="42"/>
      <c r="GB61" s="42"/>
      <c r="GC61" s="42"/>
      <c r="GD61" s="42"/>
      <c r="GE61" s="42"/>
      <c r="GF61" s="42"/>
      <c r="GG61" s="42"/>
      <c r="GH61" s="42"/>
      <c r="GI61" s="42"/>
      <c r="GJ61" s="42"/>
      <c r="GK61" s="42"/>
      <c r="GL61" s="42"/>
      <c r="GM61" s="42"/>
      <c r="GN61" s="42"/>
      <c r="GO61" s="42"/>
      <c r="GP61" s="42"/>
      <c r="GQ61" s="42"/>
      <c r="GR61" s="42"/>
      <c r="GS61" s="42"/>
      <c r="GT61" s="42"/>
      <c r="GU61" s="42"/>
      <c r="GV61" s="42"/>
      <c r="GW61" s="42"/>
      <c r="GX61" s="42"/>
      <c r="GY61" s="42"/>
      <c r="GZ61" s="42"/>
      <c r="HA61" s="42"/>
      <c r="HB61" s="42"/>
      <c r="HC61" s="42"/>
      <c r="HD61" s="42"/>
      <c r="HE61" s="42"/>
      <c r="HF61" s="42"/>
      <c r="HG61" s="42"/>
      <c r="HH61" s="42"/>
      <c r="HI61" s="42"/>
      <c r="HJ61" s="42"/>
      <c r="HK61" s="42"/>
      <c r="HL61" s="42"/>
      <c r="HM61" s="42"/>
      <c r="HN61" s="42"/>
      <c r="HO61" s="42"/>
      <c r="HP61" s="42"/>
      <c r="HQ61" s="42"/>
      <c r="HR61" s="42"/>
      <c r="HS61" s="42"/>
      <c r="HT61" s="42"/>
      <c r="HU61" s="42"/>
      <c r="HV61" s="42"/>
      <c r="HW61" s="42"/>
      <c r="HX61" s="42"/>
      <c r="HY61" s="42"/>
      <c r="HZ61" s="42"/>
      <c r="IA61" s="42"/>
      <c r="IB61" s="42"/>
      <c r="IC61" s="42"/>
      <c r="ID61" s="42"/>
      <c r="IE61" s="42"/>
      <c r="IF61" s="42"/>
      <c r="IG61" s="42"/>
      <c r="IH61" s="42"/>
      <c r="II61" s="42"/>
      <c r="IJ61" s="42"/>
      <c r="IK61" s="42"/>
      <c r="IL61" s="42"/>
      <c r="IM61" s="42"/>
      <c r="IN61" s="42"/>
      <c r="IO61" s="42"/>
      <c r="IP61" s="42"/>
      <c r="IQ61" s="42"/>
      <c r="IR61" s="42"/>
      <c r="IS61" s="42"/>
      <c r="IT61" s="42"/>
      <c r="IU61" s="42"/>
      <c r="IV61" s="42"/>
      <c r="IW61" s="42"/>
      <c r="IX61" s="42"/>
      <c r="IY61" s="42"/>
      <c r="IZ61" s="42"/>
      <c r="JA61" s="42"/>
      <c r="JB61" s="42"/>
      <c r="JC61" s="42"/>
      <c r="JD61" s="42"/>
      <c r="JE61" s="42"/>
      <c r="JF61" s="42"/>
      <c r="JG61" s="42"/>
      <c r="JH61" s="42"/>
      <c r="JI61" s="42"/>
      <c r="JJ61" s="42"/>
      <c r="JK61" s="42"/>
      <c r="JL61" s="42"/>
      <c r="JM61" s="42"/>
      <c r="JN61" s="42"/>
      <c r="JO61" s="42"/>
      <c r="JP61" s="42"/>
      <c r="JQ61" s="42"/>
      <c r="JR61" s="42"/>
      <c r="JS61" s="42"/>
      <c r="JT61" s="42"/>
      <c r="JU61" s="42"/>
      <c r="JV61" s="42"/>
      <c r="JW61" s="42"/>
      <c r="JX61" s="42"/>
      <c r="JY61" s="42"/>
      <c r="JZ61" s="42"/>
      <c r="KA61" s="42"/>
      <c r="KB61" s="42"/>
      <c r="KC61" s="42"/>
      <c r="KD61" s="42"/>
      <c r="KE61" s="42"/>
      <c r="KF61" s="42"/>
      <c r="KG61" s="42"/>
      <c r="KH61" s="42"/>
      <c r="KI61" s="42"/>
      <c r="KJ61" s="42"/>
      <c r="KK61" s="42"/>
      <c r="KL61" s="42"/>
      <c r="KM61" s="42"/>
      <c r="KN61" s="42"/>
      <c r="KO61" s="42"/>
      <c r="KP61" s="42"/>
      <c r="KQ61" s="42"/>
      <c r="KR61" s="42"/>
      <c r="KS61" s="42"/>
      <c r="KT61" s="42"/>
      <c r="KU61" s="42"/>
      <c r="KV61" s="42"/>
      <c r="KW61" s="42"/>
      <c r="KX61" s="42"/>
      <c r="KY61" s="42"/>
      <c r="KZ61" s="42"/>
      <c r="LA61" s="42"/>
      <c r="LB61" s="42"/>
      <c r="LC61" s="42"/>
      <c r="LD61" s="42"/>
      <c r="LE61" s="42"/>
      <c r="LF61" s="42"/>
      <c r="LG61" s="42"/>
      <c r="LH61" s="42"/>
      <c r="LI61" s="42"/>
      <c r="LJ61" s="42"/>
      <c r="LK61" s="42"/>
      <c r="LL61" s="42"/>
      <c r="LM61" s="42"/>
      <c r="LN61" s="42"/>
      <c r="LO61" s="42"/>
      <c r="LP61" s="42"/>
      <c r="LQ61" s="42"/>
      <c r="LR61" s="42"/>
      <c r="LS61" s="42"/>
      <c r="LT61" s="42"/>
      <c r="LU61" s="42"/>
      <c r="LV61" s="42"/>
      <c r="LW61" s="42"/>
      <c r="LX61" s="42"/>
      <c r="LY61" s="42"/>
      <c r="LZ61" s="42"/>
      <c r="MA61" s="42"/>
      <c r="MB61" s="42"/>
      <c r="MC61" s="42"/>
      <c r="MD61" s="42"/>
      <c r="ME61" s="42"/>
      <c r="MF61" s="42"/>
      <c r="MG61" s="42"/>
      <c r="MH61" s="42"/>
      <c r="MI61" s="42"/>
      <c r="MJ61" s="42"/>
      <c r="MK61" s="42"/>
      <c r="ML61" s="42"/>
      <c r="MM61" s="42"/>
      <c r="MN61" s="42"/>
      <c r="MO61" s="42"/>
      <c r="MP61" s="42"/>
      <c r="MQ61" s="42"/>
      <c r="MR61" s="42"/>
      <c r="MS61" s="42"/>
      <c r="MT61" s="42"/>
      <c r="MU61" s="42"/>
      <c r="MV61" s="42"/>
      <c r="MW61" s="42"/>
      <c r="MX61" s="42"/>
      <c r="MY61" s="42"/>
      <c r="MZ61" s="42"/>
      <c r="NA61" s="42"/>
      <c r="NB61" s="42"/>
      <c r="NC61" s="42"/>
      <c r="ND61" s="42"/>
      <c r="NE61" s="42"/>
      <c r="NF61" s="42"/>
      <c r="NG61" s="42"/>
      <c r="NH61" s="42"/>
      <c r="NI61" s="42"/>
      <c r="NJ61" s="42"/>
      <c r="NK61" s="42"/>
      <c r="NL61" s="42"/>
      <c r="NM61" s="42"/>
      <c r="NN61" s="42"/>
      <c r="NO61" s="42"/>
      <c r="NP61" s="42"/>
      <c r="NQ61" s="42"/>
      <c r="NR61" s="42"/>
      <c r="NS61" s="42"/>
      <c r="NT61" s="42"/>
      <c r="NU61" s="42"/>
      <c r="NV61" s="42"/>
      <c r="NW61" s="42"/>
      <c r="NX61" s="42"/>
      <c r="NY61" s="42"/>
      <c r="NZ61" s="42"/>
      <c r="OA61" s="42"/>
      <c r="OB61" s="42"/>
      <c r="OC61" s="42"/>
      <c r="OD61" s="42"/>
      <c r="OE61" s="42"/>
      <c r="OF61" s="42"/>
      <c r="OG61" s="42"/>
      <c r="OH61" s="42"/>
      <c r="OI61" s="42"/>
      <c r="OJ61" s="42"/>
      <c r="OK61" s="42"/>
      <c r="OL61" s="42"/>
      <c r="OM61" s="42"/>
      <c r="ON61" s="42"/>
      <c r="OO61" s="42"/>
      <c r="OP61" s="42"/>
      <c r="OQ61" s="42"/>
      <c r="OR61" s="42"/>
      <c r="OS61" s="42"/>
      <c r="OT61" s="42"/>
      <c r="OU61" s="42"/>
      <c r="OV61" s="42"/>
      <c r="OW61" s="42"/>
      <c r="OX61" s="42"/>
      <c r="OY61" s="42"/>
      <c r="OZ61" s="42"/>
      <c r="PA61" s="42"/>
      <c r="PB61" s="42"/>
      <c r="PC61" s="42"/>
      <c r="PD61" s="42"/>
      <c r="PE61" s="42"/>
      <c r="PF61" s="42"/>
      <c r="PG61" s="42"/>
      <c r="PH61" s="42"/>
      <c r="PI61" s="42"/>
      <c r="PJ61" s="42"/>
      <c r="PK61" s="42"/>
      <c r="PL61" s="42"/>
      <c r="PM61" s="42"/>
      <c r="PN61" s="42"/>
      <c r="PO61" s="42"/>
      <c r="PP61" s="42"/>
      <c r="PQ61" s="42"/>
      <c r="PR61" s="42"/>
      <c r="PS61" s="42"/>
      <c r="PT61" s="42"/>
      <c r="PU61" s="42"/>
      <c r="PV61" s="42"/>
      <c r="PW61" s="42"/>
      <c r="PX61" s="42"/>
      <c r="PY61" s="42"/>
      <c r="PZ61" s="42"/>
      <c r="QA61" s="42"/>
      <c r="QB61" s="42"/>
      <c r="QC61" s="42"/>
      <c r="QD61" s="42"/>
      <c r="QE61" s="42"/>
      <c r="QF61" s="42"/>
      <c r="QG61" s="42"/>
      <c r="QH61" s="42"/>
      <c r="QI61" s="42"/>
      <c r="QJ61" s="42"/>
      <c r="QK61" s="42"/>
      <c r="QL61" s="42"/>
      <c r="QM61" s="42"/>
      <c r="QN61" s="42"/>
      <c r="QO61" s="42"/>
      <c r="QP61" s="42"/>
      <c r="QQ61" s="42"/>
      <c r="QR61" s="42"/>
      <c r="QS61" s="42"/>
      <c r="QT61" s="42"/>
      <c r="QU61" s="42"/>
      <c r="QV61" s="42"/>
      <c r="QW61" s="42"/>
      <c r="QX61" s="42"/>
      <c r="QY61" s="42"/>
      <c r="QZ61" s="42"/>
      <c r="RA61" s="42"/>
      <c r="RB61" s="42"/>
      <c r="RC61" s="42"/>
      <c r="RD61" s="42"/>
      <c r="RE61" s="42"/>
      <c r="RF61" s="42"/>
      <c r="RG61" s="42"/>
      <c r="RH61" s="42"/>
      <c r="RI61" s="42"/>
      <c r="RJ61" s="42"/>
      <c r="RK61" s="42"/>
      <c r="RL61" s="42"/>
      <c r="RM61" s="42"/>
      <c r="RN61" s="42"/>
      <c r="RO61" s="42"/>
      <c r="RP61" s="42"/>
      <c r="RQ61" s="42"/>
      <c r="RR61" s="42"/>
      <c r="RS61" s="42"/>
      <c r="RT61" s="42"/>
      <c r="RU61" s="42"/>
      <c r="RV61" s="42"/>
      <c r="RW61" s="42"/>
      <c r="RX61" s="42"/>
      <c r="RY61" s="42"/>
      <c r="RZ61" s="42"/>
      <c r="SA61" s="42"/>
      <c r="SB61" s="42"/>
      <c r="SC61" s="42"/>
      <c r="SD61" s="42"/>
      <c r="SE61" s="42"/>
      <c r="SF61" s="42"/>
      <c r="SG61" s="42"/>
      <c r="SH61" s="42"/>
      <c r="SI61" s="42"/>
      <c r="SJ61" s="42"/>
      <c r="SK61" s="42"/>
      <c r="SL61" s="42"/>
      <c r="SM61" s="42"/>
      <c r="SN61" s="42"/>
      <c r="SO61" s="42"/>
      <c r="SP61" s="42"/>
      <c r="SQ61" s="42"/>
      <c r="SR61" s="42"/>
      <c r="SS61" s="42"/>
      <c r="ST61" s="42"/>
      <c r="SU61" s="42"/>
      <c r="SV61" s="42"/>
      <c r="SW61" s="42"/>
      <c r="SX61" s="42"/>
      <c r="SY61" s="42"/>
      <c r="SZ61" s="42"/>
      <c r="TA61" s="42"/>
      <c r="TB61" s="42"/>
      <c r="TC61" s="42"/>
      <c r="TD61" s="42"/>
      <c r="TE61" s="42"/>
      <c r="TF61" s="42"/>
      <c r="TG61" s="42"/>
      <c r="TH61" s="42"/>
      <c r="TI61" s="42"/>
      <c r="TJ61" s="42"/>
      <c r="TK61" s="42"/>
      <c r="TL61" s="42"/>
      <c r="TM61" s="42"/>
      <c r="TN61" s="42"/>
      <c r="TO61" s="42"/>
      <c r="TP61" s="42"/>
      <c r="TQ61" s="42"/>
      <c r="TR61" s="42"/>
      <c r="TS61" s="42"/>
      <c r="TT61" s="42"/>
      <c r="TU61" s="42"/>
      <c r="TV61" s="42"/>
      <c r="TW61" s="42"/>
      <c r="TX61" s="42"/>
      <c r="TY61" s="42"/>
      <c r="TZ61" s="42"/>
      <c r="UA61" s="42"/>
      <c r="UB61" s="42"/>
      <c r="UC61" s="42"/>
      <c r="UD61" s="42"/>
      <c r="UE61" s="42"/>
      <c r="UF61" s="42"/>
      <c r="UG61" s="42"/>
      <c r="UH61" s="42"/>
      <c r="UI61" s="42"/>
      <c r="UJ61" s="42"/>
      <c r="UK61" s="42"/>
      <c r="UL61" s="42"/>
      <c r="UM61" s="42"/>
      <c r="UN61" s="42"/>
      <c r="UO61" s="42"/>
      <c r="UP61" s="42"/>
      <c r="UQ61" s="42"/>
      <c r="UR61" s="42"/>
      <c r="US61" s="42"/>
      <c r="UT61" s="42"/>
      <c r="UU61" s="42"/>
      <c r="UV61" s="42"/>
      <c r="UW61" s="42"/>
      <c r="UX61" s="42"/>
      <c r="UY61" s="42"/>
      <c r="UZ61" s="42"/>
      <c r="VA61" s="42"/>
      <c r="VB61" s="42"/>
      <c r="VC61" s="42"/>
      <c r="VD61" s="42"/>
      <c r="VE61" s="42"/>
      <c r="VF61" s="42"/>
      <c r="VG61" s="42"/>
      <c r="VH61" s="42"/>
      <c r="VI61" s="42"/>
      <c r="VJ61" s="42"/>
      <c r="VK61" s="42"/>
      <c r="VL61" s="42"/>
      <c r="VM61" s="42"/>
      <c r="VN61" s="42"/>
      <c r="VO61" s="42"/>
      <c r="VP61" s="42"/>
      <c r="VQ61" s="42"/>
      <c r="VR61" s="42"/>
      <c r="VS61" s="42"/>
      <c r="VT61" s="42"/>
      <c r="VU61" s="42"/>
      <c r="VV61" s="42"/>
      <c r="VW61" s="42"/>
      <c r="VX61" s="42"/>
      <c r="VY61" s="42"/>
      <c r="VZ61" s="42"/>
      <c r="WA61" s="42"/>
      <c r="WB61" s="42"/>
      <c r="WC61" s="42"/>
      <c r="WD61" s="42"/>
      <c r="WE61" s="42"/>
      <c r="WF61" s="42"/>
      <c r="WG61" s="42"/>
      <c r="WH61" s="42"/>
      <c r="WI61" s="42"/>
      <c r="WJ61" s="42"/>
      <c r="WK61" s="42"/>
      <c r="WL61" s="42"/>
      <c r="WM61" s="42"/>
      <c r="WN61" s="42"/>
      <c r="WO61" s="42"/>
      <c r="WP61" s="42"/>
      <c r="WQ61" s="42"/>
      <c r="WR61" s="42"/>
      <c r="WS61" s="42"/>
      <c r="WT61" s="42"/>
      <c r="WU61" s="42"/>
      <c r="WV61" s="42"/>
      <c r="WW61" s="42"/>
      <c r="WX61" s="42"/>
      <c r="WY61" s="42"/>
      <c r="WZ61" s="42"/>
      <c r="XA61" s="42"/>
      <c r="XB61" s="42"/>
      <c r="XC61" s="42"/>
      <c r="XD61" s="42"/>
      <c r="XE61" s="42"/>
      <c r="XF61" s="42"/>
      <c r="XG61" s="42"/>
      <c r="XH61" s="42"/>
      <c r="XI61" s="42"/>
      <c r="XJ61" s="42"/>
      <c r="XK61" s="42"/>
      <c r="XL61" s="42"/>
      <c r="XM61" s="42"/>
      <c r="XN61" s="42"/>
      <c r="XO61" s="42"/>
      <c r="XP61" s="42"/>
      <c r="XQ61" s="42"/>
      <c r="XR61" s="42"/>
      <c r="XS61" s="42"/>
      <c r="XT61" s="42"/>
      <c r="XU61" s="42"/>
      <c r="XV61" s="42"/>
      <c r="XW61" s="42"/>
      <c r="XX61" s="42"/>
      <c r="XY61" s="42"/>
      <c r="XZ61" s="42"/>
      <c r="YA61" s="42"/>
      <c r="YB61" s="42"/>
      <c r="YC61" s="42"/>
      <c r="YD61" s="42"/>
      <c r="YE61" s="42"/>
      <c r="YF61" s="42"/>
      <c r="YG61" s="42"/>
      <c r="YH61" s="42"/>
      <c r="YI61" s="42"/>
      <c r="YJ61" s="42"/>
      <c r="YK61" s="42"/>
      <c r="YL61" s="42"/>
      <c r="YM61" s="42"/>
      <c r="YN61" s="42"/>
      <c r="YO61" s="42"/>
      <c r="YP61" s="42"/>
      <c r="YQ61" s="42"/>
      <c r="YR61" s="42"/>
      <c r="YS61" s="42"/>
      <c r="YT61" s="42"/>
      <c r="YU61" s="42"/>
      <c r="YV61" s="42"/>
      <c r="YW61" s="42"/>
      <c r="YX61" s="42"/>
      <c r="YY61" s="42"/>
      <c r="YZ61" s="42"/>
      <c r="ZA61" s="42"/>
      <c r="ZB61" s="42"/>
      <c r="ZC61" s="42"/>
      <c r="ZD61" s="42"/>
      <c r="ZE61" s="42"/>
      <c r="ZF61" s="42"/>
      <c r="ZG61" s="42"/>
      <c r="ZH61" s="42"/>
      <c r="ZI61" s="42"/>
      <c r="ZJ61" s="42"/>
      <c r="ZK61" s="42"/>
      <c r="ZL61" s="42"/>
      <c r="ZM61" s="42"/>
      <c r="ZN61" s="42"/>
      <c r="ZO61" s="42"/>
      <c r="ZP61" s="42"/>
      <c r="ZQ61" s="42"/>
      <c r="ZR61" s="42"/>
      <c r="ZS61" s="42"/>
      <c r="ZT61" s="42"/>
      <c r="ZU61" s="42"/>
      <c r="ZV61" s="42"/>
      <c r="ZW61" s="42"/>
      <c r="ZX61" s="42"/>
      <c r="ZY61" s="42"/>
      <c r="ZZ61" s="42"/>
      <c r="AAA61" s="42"/>
      <c r="AAB61" s="42"/>
      <c r="AAC61" s="42"/>
    </row>
    <row r="62" spans="1:705" s="42" customFormat="1" ht="42" hidden="1" x14ac:dyDescent="0.3">
      <c r="A62" s="26">
        <v>58</v>
      </c>
      <c r="B62" s="137">
        <v>239596</v>
      </c>
      <c r="C62" s="138">
        <v>58</v>
      </c>
      <c r="D62" s="139">
        <v>45914</v>
      </c>
      <c r="E62" s="139">
        <f t="shared" si="8"/>
        <v>45913</v>
      </c>
      <c r="F62" s="139">
        <f t="shared" si="5"/>
        <v>45924</v>
      </c>
      <c r="G62" s="139">
        <v>45924</v>
      </c>
      <c r="H62" s="139">
        <v>45929</v>
      </c>
      <c r="I62" s="139" t="s">
        <v>75</v>
      </c>
      <c r="J62" s="140" t="s">
        <v>199</v>
      </c>
      <c r="K62" s="141">
        <f t="shared" si="9"/>
        <v>5</v>
      </c>
      <c r="L62" s="141">
        <v>1143091</v>
      </c>
      <c r="M62" s="140" t="s">
        <v>15</v>
      </c>
      <c r="N62" s="142">
        <v>803240</v>
      </c>
      <c r="O62" s="140" t="s">
        <v>246</v>
      </c>
      <c r="P62" s="143">
        <v>45922</v>
      </c>
      <c r="Q62" s="143">
        <v>45937</v>
      </c>
      <c r="R62" s="137" t="s">
        <v>211</v>
      </c>
      <c r="S62" s="144" t="s">
        <v>203</v>
      </c>
      <c r="T62" s="145">
        <v>1</v>
      </c>
      <c r="U62" s="137" t="s">
        <v>200</v>
      </c>
      <c r="V62" s="146">
        <v>15</v>
      </c>
      <c r="W62" s="146">
        <v>15</v>
      </c>
      <c r="X62" s="155">
        <v>0</v>
      </c>
      <c r="Y62" s="154">
        <v>0</v>
      </c>
      <c r="Z62" s="154">
        <v>0</v>
      </c>
      <c r="AA62" s="154">
        <v>0</v>
      </c>
      <c r="AB62" s="146">
        <v>10</v>
      </c>
      <c r="AC62" s="146">
        <v>10</v>
      </c>
      <c r="AD62" s="154">
        <v>0</v>
      </c>
      <c r="AE62" s="154">
        <v>0</v>
      </c>
      <c r="AF62" s="154">
        <v>0</v>
      </c>
      <c r="AG62" s="154">
        <v>0</v>
      </c>
      <c r="AH62" s="146">
        <v>1</v>
      </c>
      <c r="AI62" s="146">
        <v>1</v>
      </c>
      <c r="AJ62" s="146">
        <v>0</v>
      </c>
      <c r="AK62" s="146">
        <v>0</v>
      </c>
      <c r="AL62" s="146">
        <v>0</v>
      </c>
      <c r="AM62" s="146">
        <v>0</v>
      </c>
      <c r="AN62" s="146">
        <v>1</v>
      </c>
      <c r="AO62" s="146">
        <v>1</v>
      </c>
      <c r="AP62" s="146">
        <v>1</v>
      </c>
      <c r="AQ62" s="146">
        <v>1</v>
      </c>
      <c r="AR62" s="146">
        <v>0</v>
      </c>
      <c r="AS62" s="146">
        <v>0</v>
      </c>
      <c r="AT62" s="146">
        <v>1</v>
      </c>
      <c r="AU62" s="146">
        <v>1</v>
      </c>
      <c r="AV62" s="154">
        <v>0</v>
      </c>
      <c r="AW62" s="154">
        <v>0</v>
      </c>
      <c r="AX62" s="146">
        <f t="shared" si="6"/>
        <v>2680</v>
      </c>
      <c r="AY62" s="146">
        <f t="shared" si="7"/>
        <v>2680</v>
      </c>
      <c r="AZ62" s="140" t="s">
        <v>562</v>
      </c>
      <c r="BA62" s="140" t="s">
        <v>562</v>
      </c>
      <c r="BB62" s="140">
        <v>1</v>
      </c>
      <c r="BC62" s="148">
        <v>58</v>
      </c>
      <c r="BD62" s="149"/>
      <c r="BE62" s="145"/>
      <c r="BF62" s="150"/>
      <c r="BG62" s="152">
        <v>45901</v>
      </c>
      <c r="BH62" s="153" t="s">
        <v>535</v>
      </c>
      <c r="BI62" s="153" t="s">
        <v>562</v>
      </c>
      <c r="CC62" s="41"/>
      <c r="CD62" s="41"/>
      <c r="CE62" s="41"/>
      <c r="CF62" s="41"/>
      <c r="CG62" s="41"/>
      <c r="CH62" s="41"/>
      <c r="CI62" s="41"/>
      <c r="CJ62" s="41"/>
      <c r="CK62" s="41"/>
      <c r="CL62" s="41"/>
      <c r="CM62" s="41"/>
      <c r="CN62" s="41"/>
      <c r="CO62" s="41"/>
      <c r="CP62" s="41"/>
      <c r="CQ62" s="41"/>
      <c r="CR62" s="41"/>
      <c r="CS62" s="41"/>
      <c r="CT62" s="41"/>
      <c r="CU62" s="41"/>
      <c r="CV62" s="41"/>
      <c r="CW62" s="41"/>
      <c r="CX62" s="41"/>
      <c r="CY62" s="41"/>
      <c r="CZ62" s="41"/>
      <c r="DA62" s="41"/>
      <c r="DB62" s="41"/>
      <c r="DC62" s="41"/>
      <c r="DD62" s="41"/>
      <c r="DE62" s="41"/>
      <c r="DF62" s="41"/>
      <c r="DG62" s="41"/>
      <c r="DH62" s="41"/>
      <c r="DI62" s="41"/>
      <c r="DJ62" s="41"/>
      <c r="DK62" s="41"/>
      <c r="DL62" s="41"/>
      <c r="DM62" s="41"/>
      <c r="DN62" s="41"/>
      <c r="DO62" s="41"/>
      <c r="DP62" s="41"/>
      <c r="DQ62" s="41"/>
      <c r="DR62" s="41"/>
      <c r="DS62" s="41"/>
      <c r="DT62" s="41"/>
      <c r="DU62" s="41"/>
      <c r="DV62" s="41"/>
      <c r="DW62" s="41"/>
      <c r="DX62" s="41"/>
      <c r="DY62" s="41"/>
      <c r="DZ62" s="41"/>
      <c r="EA62" s="41"/>
      <c r="EB62" s="41"/>
      <c r="EC62" s="41"/>
      <c r="ED62" s="41"/>
      <c r="EE62" s="41"/>
      <c r="EF62" s="41"/>
      <c r="EG62" s="41"/>
      <c r="EH62" s="41"/>
      <c r="EI62" s="41"/>
      <c r="EJ62" s="41"/>
      <c r="EK62" s="41"/>
      <c r="EL62" s="41"/>
      <c r="EM62" s="41"/>
      <c r="EN62" s="41"/>
      <c r="EO62" s="41"/>
      <c r="EP62" s="41"/>
      <c r="EQ62" s="41"/>
      <c r="ER62" s="41"/>
      <c r="ES62" s="41"/>
      <c r="ET62" s="41"/>
      <c r="EU62" s="41"/>
      <c r="EV62" s="41"/>
      <c r="EW62" s="41"/>
      <c r="EX62" s="41"/>
      <c r="EY62" s="41"/>
      <c r="EZ62" s="41"/>
      <c r="FA62" s="41"/>
      <c r="FB62" s="41"/>
      <c r="FC62" s="41"/>
      <c r="FD62" s="41"/>
      <c r="FE62" s="41"/>
      <c r="FF62" s="41"/>
      <c r="FG62" s="41"/>
      <c r="FH62" s="41"/>
      <c r="FI62" s="41"/>
      <c r="FJ62" s="41"/>
      <c r="FK62" s="41"/>
      <c r="FL62" s="41"/>
      <c r="FM62" s="41"/>
      <c r="FN62" s="41"/>
      <c r="FO62" s="41"/>
      <c r="FP62" s="41"/>
      <c r="FQ62" s="41"/>
      <c r="FR62" s="41"/>
      <c r="FS62" s="41"/>
      <c r="FT62" s="41"/>
      <c r="FU62" s="41"/>
      <c r="FV62" s="41"/>
      <c r="FW62" s="41"/>
      <c r="FX62" s="41"/>
      <c r="FY62" s="41"/>
      <c r="FZ62" s="41"/>
      <c r="GA62" s="41"/>
      <c r="GB62" s="41"/>
      <c r="GC62" s="41"/>
      <c r="GD62" s="41"/>
      <c r="GE62" s="41"/>
      <c r="GF62" s="41"/>
      <c r="GG62" s="41"/>
      <c r="GH62" s="41"/>
      <c r="GI62" s="41"/>
      <c r="GJ62" s="41"/>
      <c r="GK62" s="41"/>
      <c r="GL62" s="41"/>
      <c r="GM62" s="41"/>
      <c r="GN62" s="41"/>
      <c r="GO62" s="41"/>
      <c r="GP62" s="41"/>
      <c r="GQ62" s="41"/>
      <c r="GR62" s="41"/>
      <c r="GS62" s="41"/>
      <c r="GT62" s="41"/>
      <c r="GU62" s="41"/>
      <c r="GV62" s="41"/>
      <c r="GW62" s="41"/>
      <c r="GX62" s="41"/>
      <c r="GY62" s="41"/>
      <c r="GZ62" s="41"/>
      <c r="HA62" s="41"/>
      <c r="HB62" s="41"/>
      <c r="HC62" s="41"/>
      <c r="HD62" s="41"/>
      <c r="HE62" s="41"/>
      <c r="HF62" s="41"/>
      <c r="HG62" s="41"/>
      <c r="HH62" s="41"/>
      <c r="HI62" s="41"/>
      <c r="HJ62" s="41"/>
      <c r="HK62" s="41"/>
      <c r="HL62" s="41"/>
      <c r="HM62" s="41"/>
      <c r="HN62" s="41"/>
      <c r="HO62" s="41"/>
      <c r="HP62" s="41"/>
      <c r="HQ62" s="41"/>
      <c r="HR62" s="41"/>
      <c r="HS62" s="41"/>
      <c r="HT62" s="41"/>
      <c r="HU62" s="41"/>
      <c r="HV62" s="41"/>
      <c r="HW62" s="41"/>
      <c r="HX62" s="41"/>
      <c r="HY62" s="41"/>
      <c r="HZ62" s="41"/>
      <c r="IA62" s="41"/>
      <c r="IB62" s="41"/>
      <c r="IC62" s="41"/>
      <c r="ID62" s="41"/>
      <c r="IE62" s="41"/>
      <c r="IF62" s="41"/>
      <c r="IG62" s="41"/>
      <c r="IH62" s="41"/>
      <c r="II62" s="41"/>
      <c r="IJ62" s="41"/>
      <c r="IK62" s="41"/>
      <c r="IL62" s="41"/>
      <c r="IM62" s="41"/>
      <c r="IN62" s="41"/>
      <c r="IO62" s="41"/>
      <c r="IP62" s="41"/>
      <c r="IQ62" s="41"/>
      <c r="IR62" s="41"/>
      <c r="IS62" s="41"/>
      <c r="IT62" s="41"/>
      <c r="IU62" s="41"/>
      <c r="IV62" s="41"/>
      <c r="IW62" s="41"/>
      <c r="IX62" s="41"/>
      <c r="IY62" s="41"/>
      <c r="IZ62" s="41"/>
      <c r="JA62" s="41"/>
      <c r="JB62" s="41"/>
      <c r="JC62" s="41"/>
      <c r="JD62" s="41"/>
      <c r="JE62" s="41"/>
      <c r="JF62" s="41"/>
      <c r="JG62" s="41"/>
      <c r="JH62" s="41"/>
      <c r="JI62" s="41"/>
      <c r="JJ62" s="41"/>
      <c r="JK62" s="41"/>
      <c r="JL62" s="41"/>
      <c r="JM62" s="41"/>
      <c r="JN62" s="41"/>
      <c r="JO62" s="41"/>
      <c r="JP62" s="41"/>
      <c r="JQ62" s="41"/>
      <c r="JR62" s="41"/>
      <c r="JS62" s="41"/>
      <c r="JT62" s="41"/>
      <c r="JU62" s="41"/>
      <c r="JV62" s="41"/>
      <c r="JW62" s="41"/>
      <c r="JX62" s="41"/>
      <c r="JY62" s="41"/>
      <c r="JZ62" s="41"/>
      <c r="KA62" s="41"/>
      <c r="KB62" s="41"/>
      <c r="KC62" s="41"/>
      <c r="KD62" s="41"/>
      <c r="KE62" s="41"/>
      <c r="KF62" s="41"/>
      <c r="KG62" s="41"/>
      <c r="KH62" s="41"/>
      <c r="KI62" s="41"/>
      <c r="KJ62" s="41"/>
      <c r="KK62" s="41"/>
      <c r="KL62" s="41"/>
      <c r="KM62" s="41"/>
      <c r="KN62" s="41"/>
      <c r="KO62" s="41"/>
      <c r="KP62" s="41"/>
      <c r="KQ62" s="41"/>
      <c r="KR62" s="41"/>
      <c r="KS62" s="41"/>
      <c r="KT62" s="41"/>
      <c r="KU62" s="41"/>
      <c r="KV62" s="41"/>
      <c r="KW62" s="41"/>
      <c r="KX62" s="41"/>
      <c r="KY62" s="41"/>
      <c r="KZ62" s="41"/>
      <c r="LA62" s="41"/>
      <c r="LB62" s="41"/>
      <c r="LC62" s="41"/>
      <c r="LD62" s="41"/>
      <c r="LE62" s="41"/>
      <c r="LF62" s="41"/>
      <c r="LG62" s="41"/>
      <c r="LH62" s="41"/>
      <c r="LI62" s="41"/>
      <c r="LJ62" s="41"/>
      <c r="LK62" s="41"/>
      <c r="LL62" s="41"/>
      <c r="LM62" s="41"/>
      <c r="LN62" s="41"/>
      <c r="LO62" s="41"/>
      <c r="LP62" s="41"/>
      <c r="LQ62" s="41"/>
      <c r="LR62" s="41"/>
      <c r="LS62" s="41"/>
      <c r="LT62" s="41"/>
      <c r="LU62" s="41"/>
      <c r="LV62" s="41"/>
      <c r="LW62" s="41"/>
      <c r="LX62" s="41"/>
      <c r="LY62" s="41"/>
      <c r="LZ62" s="41"/>
      <c r="MA62" s="41"/>
      <c r="MB62" s="41"/>
      <c r="MC62" s="41"/>
      <c r="MD62" s="41"/>
      <c r="ME62" s="41"/>
      <c r="MF62" s="41"/>
      <c r="MG62" s="41"/>
      <c r="MH62" s="41"/>
      <c r="MI62" s="41"/>
      <c r="MJ62" s="41"/>
      <c r="MK62" s="41"/>
      <c r="ML62" s="41"/>
      <c r="MM62" s="41"/>
      <c r="MN62" s="41"/>
      <c r="MO62" s="41"/>
      <c r="MP62" s="41"/>
      <c r="MQ62" s="41"/>
      <c r="MR62" s="41"/>
      <c r="MS62" s="41"/>
      <c r="MT62" s="41"/>
      <c r="MU62" s="41"/>
      <c r="MV62" s="41"/>
      <c r="MW62" s="41"/>
      <c r="MX62" s="41"/>
      <c r="MY62" s="41"/>
      <c r="MZ62" s="41"/>
      <c r="NA62" s="41"/>
      <c r="NB62" s="41"/>
      <c r="NC62" s="41"/>
      <c r="ND62" s="41"/>
      <c r="NE62" s="41"/>
      <c r="NF62" s="41"/>
      <c r="NG62" s="41"/>
      <c r="NH62" s="41"/>
      <c r="NI62" s="41"/>
      <c r="NJ62" s="41"/>
      <c r="NK62" s="41"/>
      <c r="NL62" s="41"/>
      <c r="NM62" s="41"/>
      <c r="NN62" s="41"/>
      <c r="NO62" s="41"/>
      <c r="NP62" s="41"/>
      <c r="NQ62" s="41"/>
      <c r="NR62" s="41"/>
      <c r="NS62" s="41"/>
      <c r="NT62" s="41"/>
      <c r="NU62" s="41"/>
      <c r="NV62" s="41"/>
      <c r="NW62" s="41"/>
      <c r="NX62" s="41"/>
      <c r="NY62" s="41"/>
      <c r="NZ62" s="41"/>
      <c r="OA62" s="41"/>
      <c r="OB62" s="41"/>
      <c r="OC62" s="41"/>
      <c r="OD62" s="41"/>
      <c r="OE62" s="41"/>
      <c r="OF62" s="41"/>
      <c r="OG62" s="41"/>
      <c r="OH62" s="41"/>
      <c r="OI62" s="41"/>
      <c r="OJ62" s="41"/>
      <c r="OK62" s="41"/>
      <c r="OL62" s="41"/>
      <c r="OM62" s="41"/>
      <c r="ON62" s="41"/>
      <c r="OO62" s="41"/>
      <c r="OP62" s="41"/>
      <c r="OQ62" s="41"/>
      <c r="OR62" s="41"/>
      <c r="OS62" s="41"/>
      <c r="OT62" s="41"/>
      <c r="OU62" s="41"/>
      <c r="OV62" s="41"/>
      <c r="OW62" s="41"/>
      <c r="OX62" s="41"/>
      <c r="OY62" s="41"/>
      <c r="OZ62" s="41"/>
      <c r="PA62" s="41"/>
      <c r="PB62" s="41"/>
      <c r="PC62" s="41"/>
      <c r="PD62" s="41"/>
      <c r="PE62" s="41"/>
      <c r="PF62" s="41"/>
      <c r="PG62" s="41"/>
      <c r="PH62" s="41"/>
      <c r="PI62" s="41"/>
      <c r="PJ62" s="41"/>
      <c r="PK62" s="41"/>
      <c r="PL62" s="41"/>
      <c r="PM62" s="41"/>
      <c r="PN62" s="41"/>
      <c r="PO62" s="41"/>
      <c r="PP62" s="41"/>
      <c r="PQ62" s="41"/>
      <c r="PR62" s="41"/>
      <c r="PS62" s="41"/>
      <c r="PT62" s="41"/>
      <c r="PU62" s="41"/>
      <c r="PV62" s="41"/>
      <c r="PW62" s="41"/>
      <c r="PX62" s="41"/>
      <c r="PY62" s="41"/>
      <c r="PZ62" s="41"/>
      <c r="QA62" s="41"/>
      <c r="QB62" s="41"/>
      <c r="QC62" s="41"/>
      <c r="QD62" s="41"/>
      <c r="QE62" s="41"/>
      <c r="QF62" s="41"/>
      <c r="QG62" s="41"/>
      <c r="QH62" s="41"/>
      <c r="QI62" s="41"/>
      <c r="QJ62" s="41"/>
      <c r="QK62" s="41"/>
      <c r="QL62" s="41"/>
      <c r="QM62" s="41"/>
      <c r="QN62" s="41"/>
      <c r="QO62" s="41"/>
      <c r="QP62" s="41"/>
      <c r="QQ62" s="41"/>
      <c r="QR62" s="41"/>
      <c r="QS62" s="41"/>
      <c r="QT62" s="41"/>
      <c r="QU62" s="41"/>
      <c r="QV62" s="41"/>
      <c r="QW62" s="41"/>
      <c r="QX62" s="41"/>
      <c r="QY62" s="41"/>
      <c r="QZ62" s="41"/>
      <c r="RA62" s="41"/>
      <c r="RB62" s="41"/>
      <c r="RC62" s="41"/>
      <c r="RD62" s="41"/>
      <c r="RE62" s="41"/>
      <c r="RF62" s="41"/>
      <c r="RG62" s="41"/>
      <c r="RH62" s="41"/>
      <c r="RI62" s="41"/>
      <c r="RJ62" s="41"/>
      <c r="RK62" s="41"/>
      <c r="RL62" s="41"/>
      <c r="RM62" s="41"/>
      <c r="RN62" s="41"/>
      <c r="RO62" s="41"/>
      <c r="RP62" s="41"/>
      <c r="RQ62" s="41"/>
      <c r="RR62" s="41"/>
      <c r="RS62" s="41"/>
      <c r="RT62" s="41"/>
      <c r="RU62" s="41"/>
      <c r="RV62" s="41"/>
      <c r="RW62" s="41"/>
      <c r="RX62" s="41"/>
      <c r="RY62" s="41"/>
      <c r="RZ62" s="41"/>
      <c r="SA62" s="41"/>
      <c r="SB62" s="41"/>
      <c r="SC62" s="41"/>
      <c r="SD62" s="41"/>
      <c r="SE62" s="41"/>
      <c r="SF62" s="41"/>
      <c r="SG62" s="41"/>
      <c r="SH62" s="41"/>
      <c r="SI62" s="41"/>
      <c r="SJ62" s="41"/>
      <c r="SK62" s="41"/>
      <c r="SL62" s="41"/>
      <c r="SM62" s="41"/>
      <c r="SN62" s="41"/>
      <c r="SO62" s="41"/>
      <c r="SP62" s="41"/>
      <c r="SQ62" s="41"/>
      <c r="SR62" s="41"/>
      <c r="SS62" s="41"/>
      <c r="ST62" s="41"/>
      <c r="SU62" s="41"/>
      <c r="SV62" s="41"/>
      <c r="SW62" s="41"/>
      <c r="SX62" s="41"/>
      <c r="SY62" s="41"/>
      <c r="SZ62" s="41"/>
      <c r="TA62" s="41"/>
      <c r="TB62" s="41"/>
      <c r="TC62" s="41"/>
      <c r="TD62" s="41"/>
      <c r="TE62" s="41"/>
      <c r="TF62" s="41"/>
      <c r="TG62" s="41"/>
      <c r="TH62" s="41"/>
      <c r="TI62" s="41"/>
      <c r="TJ62" s="41"/>
      <c r="TK62" s="41"/>
      <c r="TL62" s="41"/>
      <c r="TM62" s="41"/>
      <c r="TN62" s="41"/>
      <c r="TO62" s="41"/>
      <c r="TP62" s="41"/>
      <c r="TQ62" s="41"/>
      <c r="TR62" s="41"/>
      <c r="TS62" s="41"/>
      <c r="TT62" s="41"/>
      <c r="TU62" s="41"/>
      <c r="TV62" s="41"/>
      <c r="TW62" s="41"/>
      <c r="TX62" s="41"/>
      <c r="TY62" s="41"/>
      <c r="TZ62" s="41"/>
      <c r="UA62" s="41"/>
      <c r="UB62" s="41"/>
      <c r="UC62" s="41"/>
      <c r="UD62" s="41"/>
      <c r="UE62" s="41"/>
      <c r="UF62" s="41"/>
      <c r="UG62" s="41"/>
      <c r="UH62" s="41"/>
      <c r="UI62" s="41"/>
      <c r="UJ62" s="41"/>
      <c r="UK62" s="41"/>
      <c r="UL62" s="41"/>
      <c r="UM62" s="41"/>
      <c r="UN62" s="41"/>
      <c r="UO62" s="41"/>
      <c r="UP62" s="41"/>
      <c r="UQ62" s="41"/>
      <c r="UR62" s="41"/>
      <c r="US62" s="41"/>
      <c r="UT62" s="41"/>
      <c r="UU62" s="41"/>
      <c r="UV62" s="41"/>
      <c r="UW62" s="41"/>
      <c r="UX62" s="41"/>
      <c r="UY62" s="41"/>
      <c r="UZ62" s="41"/>
      <c r="VA62" s="41"/>
      <c r="VB62" s="41"/>
      <c r="VC62" s="41"/>
      <c r="VD62" s="41"/>
      <c r="VE62" s="41"/>
      <c r="VF62" s="41"/>
      <c r="VG62" s="41"/>
      <c r="VH62" s="41"/>
      <c r="VI62" s="41"/>
      <c r="VJ62" s="41"/>
      <c r="VK62" s="41"/>
      <c r="VL62" s="41"/>
      <c r="VM62" s="41"/>
      <c r="VN62" s="41"/>
      <c r="VO62" s="41"/>
      <c r="VP62" s="41"/>
      <c r="VQ62" s="41"/>
      <c r="VR62" s="41"/>
      <c r="VS62" s="41"/>
      <c r="VT62" s="41"/>
      <c r="VU62" s="41"/>
      <c r="VV62" s="41"/>
      <c r="VW62" s="41"/>
      <c r="VX62" s="41"/>
      <c r="VY62" s="41"/>
      <c r="VZ62" s="41"/>
      <c r="WA62" s="41"/>
      <c r="WB62" s="41"/>
      <c r="WC62" s="41"/>
      <c r="WD62" s="41"/>
      <c r="WE62" s="41"/>
      <c r="WF62" s="41"/>
      <c r="WG62" s="41"/>
      <c r="WH62" s="41"/>
      <c r="WI62" s="41"/>
      <c r="WJ62" s="41"/>
      <c r="WK62" s="41"/>
      <c r="WL62" s="41"/>
      <c r="WM62" s="41"/>
      <c r="WN62" s="41"/>
      <c r="WO62" s="41"/>
      <c r="WP62" s="41"/>
      <c r="WQ62" s="41"/>
      <c r="WR62" s="41"/>
      <c r="WS62" s="41"/>
      <c r="WT62" s="41"/>
      <c r="WU62" s="41"/>
      <c r="WV62" s="41"/>
      <c r="WW62" s="41"/>
      <c r="WX62" s="41"/>
      <c r="WY62" s="41"/>
      <c r="WZ62" s="41"/>
      <c r="XA62" s="41"/>
      <c r="XB62" s="41"/>
      <c r="XC62" s="41"/>
      <c r="XD62" s="41"/>
      <c r="XE62" s="41"/>
      <c r="XF62" s="41"/>
      <c r="XG62" s="41"/>
      <c r="XH62" s="41"/>
      <c r="XI62" s="41"/>
      <c r="XJ62" s="41"/>
      <c r="XK62" s="41"/>
      <c r="XL62" s="41"/>
      <c r="XM62" s="41"/>
      <c r="XN62" s="41"/>
      <c r="XO62" s="41"/>
      <c r="XP62" s="41"/>
      <c r="XQ62" s="41"/>
      <c r="XR62" s="41"/>
      <c r="XS62" s="41"/>
      <c r="XT62" s="41"/>
      <c r="XU62" s="41"/>
      <c r="XV62" s="41"/>
      <c r="XW62" s="41"/>
      <c r="XX62" s="41"/>
      <c r="XY62" s="41"/>
      <c r="XZ62" s="41"/>
      <c r="YA62" s="41"/>
      <c r="YB62" s="41"/>
      <c r="YC62" s="41"/>
      <c r="YD62" s="41"/>
      <c r="YE62" s="41"/>
      <c r="YF62" s="41"/>
      <c r="YG62" s="41"/>
      <c r="YH62" s="41"/>
      <c r="YI62" s="41"/>
      <c r="YJ62" s="41"/>
      <c r="YK62" s="41"/>
      <c r="YL62" s="41"/>
      <c r="YM62" s="41"/>
      <c r="YN62" s="41"/>
      <c r="YO62" s="41"/>
      <c r="YP62" s="41"/>
      <c r="YQ62" s="41"/>
      <c r="YR62" s="41"/>
      <c r="YS62" s="41"/>
      <c r="YT62" s="41"/>
      <c r="YU62" s="41"/>
      <c r="YV62" s="41"/>
      <c r="YW62" s="41"/>
      <c r="YX62" s="41"/>
      <c r="YY62" s="41"/>
      <c r="YZ62" s="41"/>
      <c r="ZA62" s="41"/>
      <c r="ZB62" s="41"/>
      <c r="ZC62" s="41"/>
      <c r="ZD62" s="41"/>
      <c r="ZE62" s="41"/>
      <c r="ZF62" s="41"/>
      <c r="ZG62" s="41"/>
      <c r="ZH62" s="41"/>
      <c r="ZI62" s="41"/>
      <c r="ZJ62" s="41"/>
      <c r="ZK62" s="41"/>
      <c r="ZL62" s="41"/>
      <c r="ZM62" s="41"/>
      <c r="ZN62" s="41"/>
      <c r="ZO62" s="41"/>
      <c r="ZP62" s="41"/>
      <c r="ZQ62" s="41"/>
      <c r="ZR62" s="41"/>
      <c r="ZS62" s="41"/>
      <c r="ZT62" s="41"/>
      <c r="ZU62" s="41"/>
      <c r="ZV62" s="41"/>
      <c r="ZW62" s="41"/>
      <c r="ZX62" s="41"/>
      <c r="ZY62" s="41"/>
      <c r="ZZ62" s="41"/>
      <c r="AAA62" s="41"/>
      <c r="AAB62" s="41"/>
      <c r="AAC62" s="41"/>
    </row>
    <row r="63" spans="1:705" s="42" customFormat="1" ht="42" hidden="1" x14ac:dyDescent="0.3">
      <c r="A63" s="26">
        <v>59</v>
      </c>
      <c r="B63" s="137">
        <v>239598</v>
      </c>
      <c r="C63" s="138">
        <v>59</v>
      </c>
      <c r="D63" s="139">
        <v>45914</v>
      </c>
      <c r="E63" s="139">
        <f t="shared" si="8"/>
        <v>45913</v>
      </c>
      <c r="F63" s="139">
        <f t="shared" si="5"/>
        <v>45924</v>
      </c>
      <c r="G63" s="139">
        <v>45924</v>
      </c>
      <c r="H63" s="139">
        <v>45931</v>
      </c>
      <c r="I63" s="139" t="s">
        <v>75</v>
      </c>
      <c r="J63" s="140" t="s">
        <v>201</v>
      </c>
      <c r="K63" s="141">
        <f t="shared" si="9"/>
        <v>7</v>
      </c>
      <c r="L63" s="142">
        <v>1143107</v>
      </c>
      <c r="M63" s="140" t="s">
        <v>15</v>
      </c>
      <c r="N63" s="142">
        <v>803626</v>
      </c>
      <c r="O63" s="140" t="s">
        <v>246</v>
      </c>
      <c r="P63" s="143">
        <v>45922</v>
      </c>
      <c r="Q63" s="143">
        <v>45937</v>
      </c>
      <c r="R63" s="137" t="s">
        <v>211</v>
      </c>
      <c r="S63" s="144" t="s">
        <v>202</v>
      </c>
      <c r="T63" s="145">
        <v>1</v>
      </c>
      <c r="U63" s="137" t="s">
        <v>181</v>
      </c>
      <c r="V63" s="146">
        <v>5</v>
      </c>
      <c r="W63" s="146">
        <v>5</v>
      </c>
      <c r="X63" s="155">
        <v>0</v>
      </c>
      <c r="Y63" s="154">
        <v>0</v>
      </c>
      <c r="Z63" s="154">
        <v>0</v>
      </c>
      <c r="AA63" s="154">
        <v>0</v>
      </c>
      <c r="AB63" s="146">
        <v>0</v>
      </c>
      <c r="AC63" s="146"/>
      <c r="AD63" s="154">
        <v>0</v>
      </c>
      <c r="AE63" s="154">
        <v>0</v>
      </c>
      <c r="AF63" s="154">
        <v>0</v>
      </c>
      <c r="AG63" s="154">
        <v>0</v>
      </c>
      <c r="AH63" s="146">
        <v>1</v>
      </c>
      <c r="AI63" s="146">
        <v>1</v>
      </c>
      <c r="AJ63" s="146">
        <v>0</v>
      </c>
      <c r="AK63" s="146">
        <v>0</v>
      </c>
      <c r="AL63" s="146">
        <v>0</v>
      </c>
      <c r="AM63" s="146">
        <v>0</v>
      </c>
      <c r="AN63" s="146">
        <v>0</v>
      </c>
      <c r="AO63" s="146">
        <v>0</v>
      </c>
      <c r="AP63" s="146">
        <v>1</v>
      </c>
      <c r="AQ63" s="146">
        <v>1</v>
      </c>
      <c r="AR63" s="146">
        <v>0</v>
      </c>
      <c r="AS63" s="146">
        <v>0</v>
      </c>
      <c r="AT63" s="146">
        <v>1</v>
      </c>
      <c r="AU63" s="146">
        <v>1</v>
      </c>
      <c r="AV63" s="154">
        <v>0</v>
      </c>
      <c r="AW63" s="154">
        <v>0</v>
      </c>
      <c r="AX63" s="146">
        <f t="shared" si="6"/>
        <v>1450</v>
      </c>
      <c r="AY63" s="146">
        <f t="shared" si="7"/>
        <v>1450</v>
      </c>
      <c r="AZ63" s="140" t="s">
        <v>562</v>
      </c>
      <c r="BA63" s="140" t="s">
        <v>562</v>
      </c>
      <c r="BB63" s="140">
        <v>1</v>
      </c>
      <c r="BC63" s="148">
        <v>59</v>
      </c>
      <c r="BD63" s="149"/>
      <c r="BE63" s="145"/>
      <c r="BF63" s="150"/>
      <c r="BG63" s="152">
        <v>45901</v>
      </c>
      <c r="BH63" s="153" t="s">
        <v>535</v>
      </c>
      <c r="BI63" s="153" t="s">
        <v>562</v>
      </c>
      <c r="CC63" s="41"/>
      <c r="CD63" s="41"/>
      <c r="CE63" s="41"/>
      <c r="CF63" s="41"/>
      <c r="CG63" s="41"/>
      <c r="CH63" s="41"/>
      <c r="CI63" s="41"/>
      <c r="CJ63" s="41"/>
      <c r="CK63" s="41"/>
      <c r="CL63" s="41"/>
      <c r="CM63" s="41"/>
      <c r="CN63" s="41"/>
      <c r="CO63" s="41"/>
      <c r="CP63" s="41"/>
      <c r="CQ63" s="41"/>
      <c r="CR63" s="41"/>
      <c r="CS63" s="41"/>
      <c r="CT63" s="41"/>
      <c r="CU63" s="41"/>
      <c r="CV63" s="41"/>
      <c r="CW63" s="41"/>
      <c r="CX63" s="41"/>
      <c r="CY63" s="41"/>
      <c r="CZ63" s="41"/>
      <c r="DA63" s="41"/>
      <c r="DB63" s="41"/>
      <c r="DC63" s="41"/>
      <c r="DD63" s="41"/>
      <c r="DE63" s="41"/>
      <c r="DF63" s="41"/>
      <c r="DG63" s="41"/>
      <c r="DH63" s="41"/>
      <c r="DI63" s="41"/>
      <c r="DJ63" s="41"/>
      <c r="DK63" s="41"/>
      <c r="DL63" s="41"/>
      <c r="DM63" s="41"/>
      <c r="DN63" s="41"/>
      <c r="DO63" s="41"/>
      <c r="DP63" s="41"/>
      <c r="DQ63" s="41"/>
      <c r="DR63" s="41"/>
      <c r="DS63" s="41"/>
      <c r="DT63" s="41"/>
      <c r="DU63" s="41"/>
      <c r="DV63" s="41"/>
      <c r="DW63" s="41"/>
      <c r="DX63" s="41"/>
      <c r="DY63" s="41"/>
      <c r="DZ63" s="41"/>
      <c r="EA63" s="41"/>
      <c r="EB63" s="41"/>
      <c r="EC63" s="41"/>
      <c r="ED63" s="41"/>
      <c r="EE63" s="41"/>
      <c r="EF63" s="41"/>
      <c r="EG63" s="41"/>
      <c r="EH63" s="41"/>
      <c r="EI63" s="41"/>
      <c r="EJ63" s="41"/>
      <c r="EK63" s="41"/>
      <c r="EL63" s="41"/>
      <c r="EM63" s="41"/>
      <c r="EN63" s="41"/>
      <c r="EO63" s="41"/>
      <c r="EP63" s="41"/>
      <c r="EQ63" s="41"/>
      <c r="ER63" s="41"/>
      <c r="ES63" s="41"/>
      <c r="ET63" s="41"/>
      <c r="EU63" s="41"/>
      <c r="EV63" s="41"/>
      <c r="EW63" s="41"/>
      <c r="EX63" s="41"/>
      <c r="EY63" s="41"/>
      <c r="EZ63" s="41"/>
      <c r="FA63" s="41"/>
      <c r="FB63" s="41"/>
      <c r="FC63" s="41"/>
      <c r="FD63" s="41"/>
      <c r="FE63" s="41"/>
      <c r="FF63" s="41"/>
      <c r="FG63" s="41"/>
      <c r="FH63" s="41"/>
      <c r="FI63" s="41"/>
      <c r="FJ63" s="41"/>
      <c r="FK63" s="41"/>
      <c r="FL63" s="41"/>
      <c r="FM63" s="41"/>
      <c r="FN63" s="41"/>
      <c r="FO63" s="41"/>
      <c r="FP63" s="41"/>
      <c r="FQ63" s="41"/>
      <c r="FR63" s="41"/>
      <c r="FS63" s="41"/>
      <c r="FT63" s="41"/>
      <c r="FU63" s="41"/>
      <c r="FV63" s="41"/>
      <c r="FW63" s="41"/>
      <c r="FX63" s="41"/>
      <c r="FY63" s="41"/>
      <c r="FZ63" s="41"/>
      <c r="GA63" s="41"/>
      <c r="GB63" s="41"/>
      <c r="GC63" s="41"/>
      <c r="GD63" s="41"/>
      <c r="GE63" s="41"/>
      <c r="GF63" s="41"/>
      <c r="GG63" s="41"/>
      <c r="GH63" s="41"/>
      <c r="GI63" s="41"/>
      <c r="GJ63" s="41"/>
      <c r="GK63" s="41"/>
      <c r="GL63" s="41"/>
      <c r="GM63" s="41"/>
      <c r="GN63" s="41"/>
      <c r="GO63" s="41"/>
      <c r="GP63" s="41"/>
      <c r="GQ63" s="41"/>
      <c r="GR63" s="41"/>
      <c r="GS63" s="41"/>
      <c r="GT63" s="41"/>
      <c r="GU63" s="41"/>
      <c r="GV63" s="41"/>
      <c r="GW63" s="41"/>
      <c r="GX63" s="41"/>
      <c r="GY63" s="41"/>
      <c r="GZ63" s="41"/>
      <c r="HA63" s="41"/>
      <c r="HB63" s="41"/>
      <c r="HC63" s="41"/>
      <c r="HD63" s="41"/>
      <c r="HE63" s="41"/>
      <c r="HF63" s="41"/>
      <c r="HG63" s="41"/>
      <c r="HH63" s="41"/>
      <c r="HI63" s="41"/>
      <c r="HJ63" s="41"/>
      <c r="HK63" s="41"/>
      <c r="HL63" s="41"/>
      <c r="HM63" s="41"/>
      <c r="HN63" s="41"/>
      <c r="HO63" s="41"/>
      <c r="HP63" s="41"/>
      <c r="HQ63" s="41"/>
      <c r="HR63" s="41"/>
      <c r="HS63" s="41"/>
      <c r="HT63" s="41"/>
      <c r="HU63" s="41"/>
      <c r="HV63" s="41"/>
      <c r="HW63" s="41"/>
      <c r="HX63" s="41"/>
      <c r="HY63" s="41"/>
      <c r="HZ63" s="41"/>
      <c r="IA63" s="41"/>
      <c r="IB63" s="41"/>
      <c r="IC63" s="41"/>
      <c r="ID63" s="41"/>
      <c r="IE63" s="41"/>
      <c r="IF63" s="41"/>
      <c r="IG63" s="41"/>
      <c r="IH63" s="41"/>
      <c r="II63" s="41"/>
      <c r="IJ63" s="41"/>
      <c r="IK63" s="41"/>
      <c r="IL63" s="41"/>
      <c r="IM63" s="41"/>
      <c r="IN63" s="41"/>
      <c r="IO63" s="41"/>
      <c r="IP63" s="41"/>
      <c r="IQ63" s="41"/>
      <c r="IR63" s="41"/>
      <c r="IS63" s="41"/>
      <c r="IT63" s="41"/>
      <c r="IU63" s="41"/>
      <c r="IV63" s="41"/>
      <c r="IW63" s="41"/>
      <c r="IX63" s="41"/>
      <c r="IY63" s="41"/>
      <c r="IZ63" s="41"/>
      <c r="JA63" s="41"/>
      <c r="JB63" s="41"/>
      <c r="JC63" s="41"/>
      <c r="JD63" s="41"/>
      <c r="JE63" s="41"/>
      <c r="JF63" s="41"/>
      <c r="JG63" s="41"/>
      <c r="JH63" s="41"/>
      <c r="JI63" s="41"/>
      <c r="JJ63" s="41"/>
      <c r="JK63" s="41"/>
      <c r="JL63" s="41"/>
      <c r="JM63" s="41"/>
      <c r="JN63" s="41"/>
      <c r="JO63" s="41"/>
      <c r="JP63" s="41"/>
      <c r="JQ63" s="41"/>
      <c r="JR63" s="41"/>
      <c r="JS63" s="41"/>
      <c r="JT63" s="41"/>
      <c r="JU63" s="41"/>
      <c r="JV63" s="41"/>
      <c r="JW63" s="41"/>
      <c r="JX63" s="41"/>
      <c r="JY63" s="41"/>
      <c r="JZ63" s="41"/>
      <c r="KA63" s="41"/>
      <c r="KB63" s="41"/>
      <c r="KC63" s="41"/>
      <c r="KD63" s="41"/>
      <c r="KE63" s="41"/>
      <c r="KF63" s="41"/>
      <c r="KG63" s="41"/>
      <c r="KH63" s="41"/>
      <c r="KI63" s="41"/>
      <c r="KJ63" s="41"/>
      <c r="KK63" s="41"/>
      <c r="KL63" s="41"/>
      <c r="KM63" s="41"/>
      <c r="KN63" s="41"/>
      <c r="KO63" s="41"/>
      <c r="KP63" s="41"/>
      <c r="KQ63" s="41"/>
      <c r="KR63" s="41"/>
      <c r="KS63" s="41"/>
      <c r="KT63" s="41"/>
      <c r="KU63" s="41"/>
      <c r="KV63" s="41"/>
      <c r="KW63" s="41"/>
      <c r="KX63" s="41"/>
      <c r="KY63" s="41"/>
      <c r="KZ63" s="41"/>
      <c r="LA63" s="41"/>
      <c r="LB63" s="41"/>
      <c r="LC63" s="41"/>
      <c r="LD63" s="41"/>
      <c r="LE63" s="41"/>
      <c r="LF63" s="41"/>
      <c r="LG63" s="41"/>
      <c r="LH63" s="41"/>
      <c r="LI63" s="41"/>
      <c r="LJ63" s="41"/>
      <c r="LK63" s="41"/>
      <c r="LL63" s="41"/>
      <c r="LM63" s="41"/>
      <c r="LN63" s="41"/>
      <c r="LO63" s="41"/>
      <c r="LP63" s="41"/>
      <c r="LQ63" s="41"/>
      <c r="LR63" s="41"/>
      <c r="LS63" s="41"/>
      <c r="LT63" s="41"/>
      <c r="LU63" s="41"/>
      <c r="LV63" s="41"/>
      <c r="LW63" s="41"/>
      <c r="LX63" s="41"/>
      <c r="LY63" s="41"/>
      <c r="LZ63" s="41"/>
      <c r="MA63" s="41"/>
      <c r="MB63" s="41"/>
      <c r="MC63" s="41"/>
      <c r="MD63" s="41"/>
      <c r="ME63" s="41"/>
      <c r="MF63" s="41"/>
      <c r="MG63" s="41"/>
      <c r="MH63" s="41"/>
      <c r="MI63" s="41"/>
      <c r="MJ63" s="41"/>
      <c r="MK63" s="41"/>
      <c r="ML63" s="41"/>
      <c r="MM63" s="41"/>
      <c r="MN63" s="41"/>
      <c r="MO63" s="41"/>
      <c r="MP63" s="41"/>
      <c r="MQ63" s="41"/>
      <c r="MR63" s="41"/>
      <c r="MS63" s="41"/>
      <c r="MT63" s="41"/>
      <c r="MU63" s="41"/>
      <c r="MV63" s="41"/>
      <c r="MW63" s="41"/>
      <c r="MX63" s="41"/>
      <c r="MY63" s="41"/>
      <c r="MZ63" s="41"/>
      <c r="NA63" s="41"/>
      <c r="NB63" s="41"/>
      <c r="NC63" s="41"/>
      <c r="ND63" s="41"/>
      <c r="NE63" s="41"/>
      <c r="NF63" s="41"/>
      <c r="NG63" s="41"/>
      <c r="NH63" s="41"/>
      <c r="NI63" s="41"/>
      <c r="NJ63" s="41"/>
      <c r="NK63" s="41"/>
      <c r="NL63" s="41"/>
      <c r="NM63" s="41"/>
      <c r="NN63" s="41"/>
      <c r="NO63" s="41"/>
      <c r="NP63" s="41"/>
      <c r="NQ63" s="41"/>
      <c r="NR63" s="41"/>
      <c r="NS63" s="41"/>
      <c r="NT63" s="41"/>
      <c r="NU63" s="41"/>
      <c r="NV63" s="41"/>
      <c r="NW63" s="41"/>
      <c r="NX63" s="41"/>
      <c r="NY63" s="41"/>
      <c r="NZ63" s="41"/>
      <c r="OA63" s="41"/>
      <c r="OB63" s="41"/>
      <c r="OC63" s="41"/>
      <c r="OD63" s="41"/>
      <c r="OE63" s="41"/>
      <c r="OF63" s="41"/>
      <c r="OG63" s="41"/>
      <c r="OH63" s="41"/>
      <c r="OI63" s="41"/>
      <c r="OJ63" s="41"/>
      <c r="OK63" s="41"/>
      <c r="OL63" s="41"/>
      <c r="OM63" s="41"/>
      <c r="ON63" s="41"/>
      <c r="OO63" s="41"/>
      <c r="OP63" s="41"/>
      <c r="OQ63" s="41"/>
      <c r="OR63" s="41"/>
      <c r="OS63" s="41"/>
      <c r="OT63" s="41"/>
      <c r="OU63" s="41"/>
      <c r="OV63" s="41"/>
      <c r="OW63" s="41"/>
      <c r="OX63" s="41"/>
      <c r="OY63" s="41"/>
      <c r="OZ63" s="41"/>
      <c r="PA63" s="41"/>
      <c r="PB63" s="41"/>
      <c r="PC63" s="41"/>
      <c r="PD63" s="41"/>
      <c r="PE63" s="41"/>
      <c r="PF63" s="41"/>
      <c r="PG63" s="41"/>
      <c r="PH63" s="41"/>
      <c r="PI63" s="41"/>
      <c r="PJ63" s="41"/>
      <c r="PK63" s="41"/>
      <c r="PL63" s="41"/>
      <c r="PM63" s="41"/>
      <c r="PN63" s="41"/>
      <c r="PO63" s="41"/>
      <c r="PP63" s="41"/>
      <c r="PQ63" s="41"/>
      <c r="PR63" s="41"/>
      <c r="PS63" s="41"/>
      <c r="PT63" s="41"/>
      <c r="PU63" s="41"/>
      <c r="PV63" s="41"/>
      <c r="PW63" s="41"/>
      <c r="PX63" s="41"/>
      <c r="PY63" s="41"/>
      <c r="PZ63" s="41"/>
      <c r="QA63" s="41"/>
      <c r="QB63" s="41"/>
      <c r="QC63" s="41"/>
      <c r="QD63" s="41"/>
      <c r="QE63" s="41"/>
      <c r="QF63" s="41"/>
      <c r="QG63" s="41"/>
      <c r="QH63" s="41"/>
      <c r="QI63" s="41"/>
      <c r="QJ63" s="41"/>
      <c r="QK63" s="41"/>
      <c r="QL63" s="41"/>
      <c r="QM63" s="41"/>
      <c r="QN63" s="41"/>
      <c r="QO63" s="41"/>
      <c r="QP63" s="41"/>
      <c r="QQ63" s="41"/>
      <c r="QR63" s="41"/>
      <c r="QS63" s="41"/>
      <c r="QT63" s="41"/>
      <c r="QU63" s="41"/>
      <c r="QV63" s="41"/>
      <c r="QW63" s="41"/>
      <c r="QX63" s="41"/>
      <c r="QY63" s="41"/>
      <c r="QZ63" s="41"/>
      <c r="RA63" s="41"/>
      <c r="RB63" s="41"/>
      <c r="RC63" s="41"/>
      <c r="RD63" s="41"/>
      <c r="RE63" s="41"/>
      <c r="RF63" s="41"/>
      <c r="RG63" s="41"/>
      <c r="RH63" s="41"/>
      <c r="RI63" s="41"/>
      <c r="RJ63" s="41"/>
      <c r="RK63" s="41"/>
      <c r="RL63" s="41"/>
      <c r="RM63" s="41"/>
      <c r="RN63" s="41"/>
      <c r="RO63" s="41"/>
      <c r="RP63" s="41"/>
      <c r="RQ63" s="41"/>
      <c r="RR63" s="41"/>
      <c r="RS63" s="41"/>
      <c r="RT63" s="41"/>
      <c r="RU63" s="41"/>
      <c r="RV63" s="41"/>
      <c r="RW63" s="41"/>
      <c r="RX63" s="41"/>
      <c r="RY63" s="41"/>
      <c r="RZ63" s="41"/>
      <c r="SA63" s="41"/>
      <c r="SB63" s="41"/>
      <c r="SC63" s="41"/>
      <c r="SD63" s="41"/>
      <c r="SE63" s="41"/>
      <c r="SF63" s="41"/>
      <c r="SG63" s="41"/>
      <c r="SH63" s="41"/>
      <c r="SI63" s="41"/>
      <c r="SJ63" s="41"/>
      <c r="SK63" s="41"/>
      <c r="SL63" s="41"/>
      <c r="SM63" s="41"/>
      <c r="SN63" s="41"/>
      <c r="SO63" s="41"/>
      <c r="SP63" s="41"/>
      <c r="SQ63" s="41"/>
      <c r="SR63" s="41"/>
      <c r="SS63" s="41"/>
      <c r="ST63" s="41"/>
      <c r="SU63" s="41"/>
      <c r="SV63" s="41"/>
      <c r="SW63" s="41"/>
      <c r="SX63" s="41"/>
      <c r="SY63" s="41"/>
      <c r="SZ63" s="41"/>
      <c r="TA63" s="41"/>
      <c r="TB63" s="41"/>
      <c r="TC63" s="41"/>
      <c r="TD63" s="41"/>
      <c r="TE63" s="41"/>
      <c r="TF63" s="41"/>
      <c r="TG63" s="41"/>
      <c r="TH63" s="41"/>
      <c r="TI63" s="41"/>
      <c r="TJ63" s="41"/>
      <c r="TK63" s="41"/>
      <c r="TL63" s="41"/>
      <c r="TM63" s="41"/>
      <c r="TN63" s="41"/>
      <c r="TO63" s="41"/>
      <c r="TP63" s="41"/>
      <c r="TQ63" s="41"/>
      <c r="TR63" s="41"/>
      <c r="TS63" s="41"/>
      <c r="TT63" s="41"/>
      <c r="TU63" s="41"/>
      <c r="TV63" s="41"/>
      <c r="TW63" s="41"/>
      <c r="TX63" s="41"/>
      <c r="TY63" s="41"/>
      <c r="TZ63" s="41"/>
      <c r="UA63" s="41"/>
      <c r="UB63" s="41"/>
      <c r="UC63" s="41"/>
      <c r="UD63" s="41"/>
      <c r="UE63" s="41"/>
      <c r="UF63" s="41"/>
      <c r="UG63" s="41"/>
      <c r="UH63" s="41"/>
      <c r="UI63" s="41"/>
      <c r="UJ63" s="41"/>
      <c r="UK63" s="41"/>
      <c r="UL63" s="41"/>
      <c r="UM63" s="41"/>
      <c r="UN63" s="41"/>
      <c r="UO63" s="41"/>
      <c r="UP63" s="41"/>
      <c r="UQ63" s="41"/>
      <c r="UR63" s="41"/>
      <c r="US63" s="41"/>
      <c r="UT63" s="41"/>
      <c r="UU63" s="41"/>
      <c r="UV63" s="41"/>
      <c r="UW63" s="41"/>
      <c r="UX63" s="41"/>
      <c r="UY63" s="41"/>
      <c r="UZ63" s="41"/>
      <c r="VA63" s="41"/>
      <c r="VB63" s="41"/>
      <c r="VC63" s="41"/>
      <c r="VD63" s="41"/>
      <c r="VE63" s="41"/>
      <c r="VF63" s="41"/>
      <c r="VG63" s="41"/>
      <c r="VH63" s="41"/>
      <c r="VI63" s="41"/>
      <c r="VJ63" s="41"/>
      <c r="VK63" s="41"/>
      <c r="VL63" s="41"/>
      <c r="VM63" s="41"/>
      <c r="VN63" s="41"/>
      <c r="VO63" s="41"/>
      <c r="VP63" s="41"/>
      <c r="VQ63" s="41"/>
      <c r="VR63" s="41"/>
      <c r="VS63" s="41"/>
      <c r="VT63" s="41"/>
      <c r="VU63" s="41"/>
      <c r="VV63" s="41"/>
      <c r="VW63" s="41"/>
      <c r="VX63" s="41"/>
      <c r="VY63" s="41"/>
      <c r="VZ63" s="41"/>
      <c r="WA63" s="41"/>
      <c r="WB63" s="41"/>
      <c r="WC63" s="41"/>
      <c r="WD63" s="41"/>
      <c r="WE63" s="41"/>
      <c r="WF63" s="41"/>
      <c r="WG63" s="41"/>
      <c r="WH63" s="41"/>
      <c r="WI63" s="41"/>
      <c r="WJ63" s="41"/>
      <c r="WK63" s="41"/>
      <c r="WL63" s="41"/>
      <c r="WM63" s="41"/>
      <c r="WN63" s="41"/>
      <c r="WO63" s="41"/>
      <c r="WP63" s="41"/>
      <c r="WQ63" s="41"/>
      <c r="WR63" s="41"/>
      <c r="WS63" s="41"/>
      <c r="WT63" s="41"/>
      <c r="WU63" s="41"/>
      <c r="WV63" s="41"/>
      <c r="WW63" s="41"/>
      <c r="WX63" s="41"/>
      <c r="WY63" s="41"/>
      <c r="WZ63" s="41"/>
      <c r="XA63" s="41"/>
      <c r="XB63" s="41"/>
      <c r="XC63" s="41"/>
      <c r="XD63" s="41"/>
      <c r="XE63" s="41"/>
      <c r="XF63" s="41"/>
      <c r="XG63" s="41"/>
      <c r="XH63" s="41"/>
      <c r="XI63" s="41"/>
      <c r="XJ63" s="41"/>
      <c r="XK63" s="41"/>
      <c r="XL63" s="41"/>
      <c r="XM63" s="41"/>
      <c r="XN63" s="41"/>
      <c r="XO63" s="41"/>
      <c r="XP63" s="41"/>
      <c r="XQ63" s="41"/>
      <c r="XR63" s="41"/>
      <c r="XS63" s="41"/>
      <c r="XT63" s="41"/>
      <c r="XU63" s="41"/>
      <c r="XV63" s="41"/>
      <c r="XW63" s="41"/>
      <c r="XX63" s="41"/>
      <c r="XY63" s="41"/>
      <c r="XZ63" s="41"/>
      <c r="YA63" s="41"/>
      <c r="YB63" s="41"/>
      <c r="YC63" s="41"/>
      <c r="YD63" s="41"/>
      <c r="YE63" s="41"/>
      <c r="YF63" s="41"/>
      <c r="YG63" s="41"/>
      <c r="YH63" s="41"/>
      <c r="YI63" s="41"/>
      <c r="YJ63" s="41"/>
      <c r="YK63" s="41"/>
      <c r="YL63" s="41"/>
      <c r="YM63" s="41"/>
      <c r="YN63" s="41"/>
      <c r="YO63" s="41"/>
      <c r="YP63" s="41"/>
      <c r="YQ63" s="41"/>
      <c r="YR63" s="41"/>
      <c r="YS63" s="41"/>
      <c r="YT63" s="41"/>
      <c r="YU63" s="41"/>
      <c r="YV63" s="41"/>
      <c r="YW63" s="41"/>
      <c r="YX63" s="41"/>
      <c r="YY63" s="41"/>
      <c r="YZ63" s="41"/>
      <c r="ZA63" s="41"/>
      <c r="ZB63" s="41"/>
      <c r="ZC63" s="41"/>
      <c r="ZD63" s="41"/>
      <c r="ZE63" s="41"/>
      <c r="ZF63" s="41"/>
      <c r="ZG63" s="41"/>
      <c r="ZH63" s="41"/>
      <c r="ZI63" s="41"/>
      <c r="ZJ63" s="41"/>
      <c r="ZK63" s="41"/>
      <c r="ZL63" s="41"/>
      <c r="ZM63" s="41"/>
      <c r="ZN63" s="41"/>
      <c r="ZO63" s="41"/>
      <c r="ZP63" s="41"/>
      <c r="ZQ63" s="41"/>
      <c r="ZR63" s="41"/>
      <c r="ZS63" s="41"/>
      <c r="ZT63" s="41"/>
      <c r="ZU63" s="41"/>
      <c r="ZV63" s="41"/>
      <c r="ZW63" s="41"/>
      <c r="ZX63" s="41"/>
      <c r="ZY63" s="41"/>
      <c r="ZZ63" s="41"/>
      <c r="AAA63" s="41"/>
      <c r="AAB63" s="41"/>
      <c r="AAC63" s="41"/>
    </row>
    <row r="64" spans="1:705" s="42" customFormat="1" ht="42" hidden="1" x14ac:dyDescent="0.3">
      <c r="A64" s="26">
        <v>60</v>
      </c>
      <c r="B64" s="137">
        <v>239600</v>
      </c>
      <c r="C64" s="138">
        <v>60</v>
      </c>
      <c r="D64" s="139">
        <v>45914</v>
      </c>
      <c r="E64" s="139">
        <f t="shared" si="8"/>
        <v>45913</v>
      </c>
      <c r="F64" s="139">
        <f t="shared" si="5"/>
        <v>45924</v>
      </c>
      <c r="G64" s="139">
        <v>45924</v>
      </c>
      <c r="H64" s="139">
        <v>45932</v>
      </c>
      <c r="I64" s="139" t="s">
        <v>75</v>
      </c>
      <c r="J64" s="140" t="s">
        <v>204</v>
      </c>
      <c r="K64" s="141">
        <f t="shared" si="9"/>
        <v>8</v>
      </c>
      <c r="L64" s="141">
        <v>1143116</v>
      </c>
      <c r="M64" s="140" t="s">
        <v>15</v>
      </c>
      <c r="N64" s="142">
        <v>803240</v>
      </c>
      <c r="O64" s="140" t="s">
        <v>246</v>
      </c>
      <c r="P64" s="143">
        <v>45922</v>
      </c>
      <c r="Q64" s="143">
        <v>45937</v>
      </c>
      <c r="R64" s="137" t="s">
        <v>211</v>
      </c>
      <c r="S64" s="144" t="s">
        <v>205</v>
      </c>
      <c r="T64" s="145">
        <v>1</v>
      </c>
      <c r="U64" s="137" t="s">
        <v>169</v>
      </c>
      <c r="V64" s="146">
        <v>5</v>
      </c>
      <c r="W64" s="146">
        <v>5</v>
      </c>
      <c r="X64" s="155">
        <v>0</v>
      </c>
      <c r="Y64" s="154">
        <v>0</v>
      </c>
      <c r="Z64" s="154">
        <v>0</v>
      </c>
      <c r="AA64" s="154">
        <v>0</v>
      </c>
      <c r="AB64" s="146">
        <v>0</v>
      </c>
      <c r="AC64" s="146">
        <v>0</v>
      </c>
      <c r="AD64" s="154">
        <v>0</v>
      </c>
      <c r="AE64" s="154">
        <v>0</v>
      </c>
      <c r="AF64" s="154">
        <v>0</v>
      </c>
      <c r="AG64" s="154">
        <v>0</v>
      </c>
      <c r="AH64" s="146">
        <v>1</v>
      </c>
      <c r="AI64" s="146">
        <v>1</v>
      </c>
      <c r="AJ64" s="146">
        <v>0</v>
      </c>
      <c r="AK64" s="146">
        <v>0</v>
      </c>
      <c r="AL64" s="146">
        <v>0</v>
      </c>
      <c r="AM64" s="146">
        <v>0</v>
      </c>
      <c r="AN64" s="146">
        <v>0</v>
      </c>
      <c r="AO64" s="146">
        <v>0</v>
      </c>
      <c r="AP64" s="146">
        <v>1</v>
      </c>
      <c r="AQ64" s="146">
        <v>1</v>
      </c>
      <c r="AR64" s="146">
        <v>0</v>
      </c>
      <c r="AS64" s="146">
        <v>0</v>
      </c>
      <c r="AT64" s="146">
        <v>1</v>
      </c>
      <c r="AU64" s="146">
        <v>1</v>
      </c>
      <c r="AV64" s="154">
        <v>0</v>
      </c>
      <c r="AW64" s="154">
        <v>0</v>
      </c>
      <c r="AX64" s="146">
        <f t="shared" si="6"/>
        <v>1450</v>
      </c>
      <c r="AY64" s="146">
        <f t="shared" si="7"/>
        <v>1450</v>
      </c>
      <c r="AZ64" s="140" t="s">
        <v>562</v>
      </c>
      <c r="BA64" s="140" t="s">
        <v>562</v>
      </c>
      <c r="BB64" s="140">
        <v>1</v>
      </c>
      <c r="BC64" s="148">
        <v>60</v>
      </c>
      <c r="BD64" s="149"/>
      <c r="BE64" s="145"/>
      <c r="BF64" s="150"/>
      <c r="BG64" s="152">
        <v>45901</v>
      </c>
      <c r="BH64" s="153" t="s">
        <v>535</v>
      </c>
      <c r="BI64" s="153" t="s">
        <v>562</v>
      </c>
      <c r="CC64" s="41"/>
      <c r="CD64" s="41"/>
      <c r="CE64" s="41"/>
      <c r="CF64" s="41"/>
      <c r="CG64" s="41"/>
      <c r="CH64" s="41"/>
      <c r="CI64" s="41"/>
      <c r="CJ64" s="41"/>
      <c r="CK64" s="41"/>
      <c r="CL64" s="41"/>
      <c r="CM64" s="41"/>
      <c r="CN64" s="41"/>
      <c r="CO64" s="41"/>
      <c r="CP64" s="41"/>
      <c r="CQ64" s="41"/>
      <c r="CR64" s="41"/>
      <c r="CS64" s="41"/>
      <c r="CT64" s="41"/>
      <c r="CU64" s="41"/>
      <c r="CV64" s="41"/>
      <c r="CW64" s="41"/>
      <c r="CX64" s="41"/>
      <c r="CY64" s="41"/>
      <c r="CZ64" s="41"/>
      <c r="DA64" s="41"/>
      <c r="DB64" s="41"/>
      <c r="DC64" s="41"/>
      <c r="DD64" s="41"/>
      <c r="DE64" s="41"/>
      <c r="DF64" s="41"/>
      <c r="DG64" s="41"/>
      <c r="DH64" s="41"/>
      <c r="DI64" s="41"/>
      <c r="DJ64" s="41"/>
      <c r="DK64" s="41"/>
      <c r="DL64" s="41"/>
      <c r="DM64" s="41"/>
      <c r="DN64" s="41"/>
      <c r="DO64" s="41"/>
      <c r="DP64" s="41"/>
      <c r="DQ64" s="41"/>
      <c r="DR64" s="41"/>
      <c r="DS64" s="41"/>
      <c r="DT64" s="41"/>
      <c r="DU64" s="41"/>
      <c r="DV64" s="41"/>
      <c r="DW64" s="41"/>
      <c r="DX64" s="41"/>
      <c r="DY64" s="41"/>
      <c r="DZ64" s="41"/>
      <c r="EA64" s="41"/>
      <c r="EB64" s="41"/>
      <c r="EC64" s="41"/>
      <c r="ED64" s="41"/>
      <c r="EE64" s="41"/>
      <c r="EF64" s="41"/>
      <c r="EG64" s="41"/>
      <c r="EH64" s="41"/>
      <c r="EI64" s="41"/>
      <c r="EJ64" s="41"/>
      <c r="EK64" s="41"/>
      <c r="EL64" s="41"/>
      <c r="EM64" s="41"/>
      <c r="EN64" s="41"/>
      <c r="EO64" s="41"/>
      <c r="EP64" s="41"/>
      <c r="EQ64" s="41"/>
      <c r="ER64" s="41"/>
      <c r="ES64" s="41"/>
      <c r="ET64" s="41"/>
      <c r="EU64" s="41"/>
      <c r="EV64" s="41"/>
      <c r="EW64" s="41"/>
      <c r="EX64" s="41"/>
      <c r="EY64" s="41"/>
      <c r="EZ64" s="41"/>
      <c r="FA64" s="41"/>
      <c r="FB64" s="41"/>
      <c r="FC64" s="41"/>
      <c r="FD64" s="41"/>
      <c r="FE64" s="41"/>
      <c r="FF64" s="41"/>
      <c r="FG64" s="41"/>
      <c r="FH64" s="41"/>
      <c r="FI64" s="41"/>
      <c r="FJ64" s="41"/>
      <c r="FK64" s="41"/>
      <c r="FL64" s="41"/>
      <c r="FM64" s="41"/>
      <c r="FN64" s="41"/>
      <c r="FO64" s="41"/>
      <c r="FP64" s="41"/>
      <c r="FQ64" s="41"/>
      <c r="FR64" s="41"/>
      <c r="FS64" s="41"/>
      <c r="FT64" s="41"/>
      <c r="FU64" s="41"/>
      <c r="FV64" s="41"/>
      <c r="FW64" s="41"/>
      <c r="FX64" s="41"/>
      <c r="FY64" s="41"/>
      <c r="FZ64" s="41"/>
      <c r="GA64" s="41"/>
      <c r="GB64" s="41"/>
      <c r="GC64" s="41"/>
      <c r="GD64" s="41"/>
      <c r="GE64" s="41"/>
      <c r="GF64" s="41"/>
      <c r="GG64" s="41"/>
      <c r="GH64" s="41"/>
      <c r="GI64" s="41"/>
      <c r="GJ64" s="41"/>
      <c r="GK64" s="41"/>
      <c r="GL64" s="41"/>
      <c r="GM64" s="41"/>
      <c r="GN64" s="41"/>
      <c r="GO64" s="41"/>
      <c r="GP64" s="41"/>
      <c r="GQ64" s="41"/>
      <c r="GR64" s="41"/>
      <c r="GS64" s="41"/>
      <c r="GT64" s="41"/>
      <c r="GU64" s="41"/>
      <c r="GV64" s="41"/>
      <c r="GW64" s="41"/>
      <c r="GX64" s="41"/>
      <c r="GY64" s="41"/>
      <c r="GZ64" s="41"/>
      <c r="HA64" s="41"/>
      <c r="HB64" s="41"/>
      <c r="HC64" s="41"/>
      <c r="HD64" s="41"/>
      <c r="HE64" s="41"/>
      <c r="HF64" s="41"/>
      <c r="HG64" s="41"/>
      <c r="HH64" s="41"/>
      <c r="HI64" s="41"/>
      <c r="HJ64" s="41"/>
      <c r="HK64" s="41"/>
      <c r="HL64" s="41"/>
      <c r="HM64" s="41"/>
      <c r="HN64" s="41"/>
      <c r="HO64" s="41"/>
      <c r="HP64" s="41"/>
      <c r="HQ64" s="41"/>
      <c r="HR64" s="41"/>
      <c r="HS64" s="41"/>
      <c r="HT64" s="41"/>
      <c r="HU64" s="41"/>
      <c r="HV64" s="41"/>
      <c r="HW64" s="41"/>
      <c r="HX64" s="41"/>
      <c r="HY64" s="41"/>
      <c r="HZ64" s="41"/>
      <c r="IA64" s="41"/>
      <c r="IB64" s="41"/>
      <c r="IC64" s="41"/>
      <c r="ID64" s="41"/>
      <c r="IE64" s="41"/>
      <c r="IF64" s="41"/>
      <c r="IG64" s="41"/>
      <c r="IH64" s="41"/>
      <c r="II64" s="41"/>
      <c r="IJ64" s="41"/>
      <c r="IK64" s="41"/>
      <c r="IL64" s="41"/>
      <c r="IM64" s="41"/>
      <c r="IN64" s="41"/>
      <c r="IO64" s="41"/>
      <c r="IP64" s="41"/>
      <c r="IQ64" s="41"/>
      <c r="IR64" s="41"/>
      <c r="IS64" s="41"/>
      <c r="IT64" s="41"/>
      <c r="IU64" s="41"/>
      <c r="IV64" s="41"/>
      <c r="IW64" s="41"/>
      <c r="IX64" s="41"/>
      <c r="IY64" s="41"/>
      <c r="IZ64" s="41"/>
      <c r="JA64" s="41"/>
      <c r="JB64" s="41"/>
      <c r="JC64" s="41"/>
      <c r="JD64" s="41"/>
      <c r="JE64" s="41"/>
      <c r="JF64" s="41"/>
      <c r="JG64" s="41"/>
      <c r="JH64" s="41"/>
      <c r="JI64" s="41"/>
      <c r="JJ64" s="41"/>
      <c r="JK64" s="41"/>
      <c r="JL64" s="41"/>
      <c r="JM64" s="41"/>
      <c r="JN64" s="41"/>
      <c r="JO64" s="41"/>
      <c r="JP64" s="41"/>
      <c r="JQ64" s="41"/>
      <c r="JR64" s="41"/>
      <c r="JS64" s="41"/>
      <c r="JT64" s="41"/>
      <c r="JU64" s="41"/>
      <c r="JV64" s="41"/>
      <c r="JW64" s="41"/>
      <c r="JX64" s="41"/>
      <c r="JY64" s="41"/>
      <c r="JZ64" s="41"/>
      <c r="KA64" s="41"/>
      <c r="KB64" s="41"/>
      <c r="KC64" s="41"/>
      <c r="KD64" s="41"/>
      <c r="KE64" s="41"/>
      <c r="KF64" s="41"/>
      <c r="KG64" s="41"/>
      <c r="KH64" s="41"/>
      <c r="KI64" s="41"/>
      <c r="KJ64" s="41"/>
      <c r="KK64" s="41"/>
      <c r="KL64" s="41"/>
      <c r="KM64" s="41"/>
      <c r="KN64" s="41"/>
      <c r="KO64" s="41"/>
      <c r="KP64" s="41"/>
      <c r="KQ64" s="41"/>
      <c r="KR64" s="41"/>
      <c r="KS64" s="41"/>
      <c r="KT64" s="41"/>
      <c r="KU64" s="41"/>
      <c r="KV64" s="41"/>
      <c r="KW64" s="41"/>
      <c r="KX64" s="41"/>
      <c r="KY64" s="41"/>
      <c r="KZ64" s="41"/>
      <c r="LA64" s="41"/>
      <c r="LB64" s="41"/>
      <c r="LC64" s="41"/>
      <c r="LD64" s="41"/>
      <c r="LE64" s="41"/>
      <c r="LF64" s="41"/>
      <c r="LG64" s="41"/>
      <c r="LH64" s="41"/>
      <c r="LI64" s="41"/>
      <c r="LJ64" s="41"/>
      <c r="LK64" s="41"/>
      <c r="LL64" s="41"/>
      <c r="LM64" s="41"/>
      <c r="LN64" s="41"/>
      <c r="LO64" s="41"/>
      <c r="LP64" s="41"/>
      <c r="LQ64" s="41"/>
      <c r="LR64" s="41"/>
      <c r="LS64" s="41"/>
      <c r="LT64" s="41"/>
      <c r="LU64" s="41"/>
      <c r="LV64" s="41"/>
      <c r="LW64" s="41"/>
      <c r="LX64" s="41"/>
      <c r="LY64" s="41"/>
      <c r="LZ64" s="41"/>
      <c r="MA64" s="41"/>
      <c r="MB64" s="41"/>
      <c r="MC64" s="41"/>
      <c r="MD64" s="41"/>
      <c r="ME64" s="41"/>
      <c r="MF64" s="41"/>
      <c r="MG64" s="41"/>
      <c r="MH64" s="41"/>
      <c r="MI64" s="41"/>
      <c r="MJ64" s="41"/>
      <c r="MK64" s="41"/>
      <c r="ML64" s="41"/>
      <c r="MM64" s="41"/>
      <c r="MN64" s="41"/>
      <c r="MO64" s="41"/>
      <c r="MP64" s="41"/>
      <c r="MQ64" s="41"/>
      <c r="MR64" s="41"/>
      <c r="MS64" s="41"/>
      <c r="MT64" s="41"/>
      <c r="MU64" s="41"/>
      <c r="MV64" s="41"/>
      <c r="MW64" s="41"/>
      <c r="MX64" s="41"/>
      <c r="MY64" s="41"/>
      <c r="MZ64" s="41"/>
      <c r="NA64" s="41"/>
      <c r="NB64" s="41"/>
      <c r="NC64" s="41"/>
      <c r="ND64" s="41"/>
      <c r="NE64" s="41"/>
      <c r="NF64" s="41"/>
      <c r="NG64" s="41"/>
      <c r="NH64" s="41"/>
      <c r="NI64" s="41"/>
      <c r="NJ64" s="41"/>
      <c r="NK64" s="41"/>
      <c r="NL64" s="41"/>
      <c r="NM64" s="41"/>
      <c r="NN64" s="41"/>
      <c r="NO64" s="41"/>
      <c r="NP64" s="41"/>
      <c r="NQ64" s="41"/>
      <c r="NR64" s="41"/>
      <c r="NS64" s="41"/>
      <c r="NT64" s="41"/>
      <c r="NU64" s="41"/>
      <c r="NV64" s="41"/>
      <c r="NW64" s="41"/>
      <c r="NX64" s="41"/>
      <c r="NY64" s="41"/>
      <c r="NZ64" s="41"/>
      <c r="OA64" s="41"/>
      <c r="OB64" s="41"/>
      <c r="OC64" s="41"/>
      <c r="OD64" s="41"/>
      <c r="OE64" s="41"/>
      <c r="OF64" s="41"/>
      <c r="OG64" s="41"/>
      <c r="OH64" s="41"/>
      <c r="OI64" s="41"/>
      <c r="OJ64" s="41"/>
      <c r="OK64" s="41"/>
      <c r="OL64" s="41"/>
      <c r="OM64" s="41"/>
      <c r="ON64" s="41"/>
      <c r="OO64" s="41"/>
      <c r="OP64" s="41"/>
      <c r="OQ64" s="41"/>
      <c r="OR64" s="41"/>
      <c r="OS64" s="41"/>
      <c r="OT64" s="41"/>
      <c r="OU64" s="41"/>
      <c r="OV64" s="41"/>
      <c r="OW64" s="41"/>
      <c r="OX64" s="41"/>
      <c r="OY64" s="41"/>
      <c r="OZ64" s="41"/>
      <c r="PA64" s="41"/>
      <c r="PB64" s="41"/>
      <c r="PC64" s="41"/>
      <c r="PD64" s="41"/>
      <c r="PE64" s="41"/>
      <c r="PF64" s="41"/>
      <c r="PG64" s="41"/>
      <c r="PH64" s="41"/>
      <c r="PI64" s="41"/>
      <c r="PJ64" s="41"/>
      <c r="PK64" s="41"/>
      <c r="PL64" s="41"/>
      <c r="PM64" s="41"/>
      <c r="PN64" s="41"/>
      <c r="PO64" s="41"/>
      <c r="PP64" s="41"/>
      <c r="PQ64" s="41"/>
      <c r="PR64" s="41"/>
      <c r="PS64" s="41"/>
      <c r="PT64" s="41"/>
      <c r="PU64" s="41"/>
      <c r="PV64" s="41"/>
      <c r="PW64" s="41"/>
      <c r="PX64" s="41"/>
      <c r="PY64" s="41"/>
      <c r="PZ64" s="41"/>
      <c r="QA64" s="41"/>
      <c r="QB64" s="41"/>
      <c r="QC64" s="41"/>
      <c r="QD64" s="41"/>
      <c r="QE64" s="41"/>
      <c r="QF64" s="41"/>
      <c r="QG64" s="41"/>
      <c r="QH64" s="41"/>
      <c r="QI64" s="41"/>
      <c r="QJ64" s="41"/>
      <c r="QK64" s="41"/>
      <c r="QL64" s="41"/>
      <c r="QM64" s="41"/>
      <c r="QN64" s="41"/>
      <c r="QO64" s="41"/>
      <c r="QP64" s="41"/>
      <c r="QQ64" s="41"/>
      <c r="QR64" s="41"/>
      <c r="QS64" s="41"/>
      <c r="QT64" s="41"/>
      <c r="QU64" s="41"/>
      <c r="QV64" s="41"/>
      <c r="QW64" s="41"/>
      <c r="QX64" s="41"/>
      <c r="QY64" s="41"/>
      <c r="QZ64" s="41"/>
      <c r="RA64" s="41"/>
      <c r="RB64" s="41"/>
      <c r="RC64" s="41"/>
      <c r="RD64" s="41"/>
      <c r="RE64" s="41"/>
      <c r="RF64" s="41"/>
      <c r="RG64" s="41"/>
      <c r="RH64" s="41"/>
      <c r="RI64" s="41"/>
      <c r="RJ64" s="41"/>
      <c r="RK64" s="41"/>
      <c r="RL64" s="41"/>
      <c r="RM64" s="41"/>
      <c r="RN64" s="41"/>
      <c r="RO64" s="41"/>
      <c r="RP64" s="41"/>
      <c r="RQ64" s="41"/>
      <c r="RR64" s="41"/>
      <c r="RS64" s="41"/>
      <c r="RT64" s="41"/>
      <c r="RU64" s="41"/>
      <c r="RV64" s="41"/>
      <c r="RW64" s="41"/>
      <c r="RX64" s="41"/>
      <c r="RY64" s="41"/>
      <c r="RZ64" s="41"/>
      <c r="SA64" s="41"/>
      <c r="SB64" s="41"/>
      <c r="SC64" s="41"/>
      <c r="SD64" s="41"/>
      <c r="SE64" s="41"/>
      <c r="SF64" s="41"/>
      <c r="SG64" s="41"/>
      <c r="SH64" s="41"/>
      <c r="SI64" s="41"/>
      <c r="SJ64" s="41"/>
      <c r="SK64" s="41"/>
      <c r="SL64" s="41"/>
      <c r="SM64" s="41"/>
      <c r="SN64" s="41"/>
      <c r="SO64" s="41"/>
      <c r="SP64" s="41"/>
      <c r="SQ64" s="41"/>
      <c r="SR64" s="41"/>
      <c r="SS64" s="41"/>
      <c r="ST64" s="41"/>
      <c r="SU64" s="41"/>
      <c r="SV64" s="41"/>
      <c r="SW64" s="41"/>
      <c r="SX64" s="41"/>
      <c r="SY64" s="41"/>
      <c r="SZ64" s="41"/>
      <c r="TA64" s="41"/>
      <c r="TB64" s="41"/>
      <c r="TC64" s="41"/>
      <c r="TD64" s="41"/>
      <c r="TE64" s="41"/>
      <c r="TF64" s="41"/>
      <c r="TG64" s="41"/>
      <c r="TH64" s="41"/>
      <c r="TI64" s="41"/>
      <c r="TJ64" s="41"/>
      <c r="TK64" s="41"/>
      <c r="TL64" s="41"/>
      <c r="TM64" s="41"/>
      <c r="TN64" s="41"/>
      <c r="TO64" s="41"/>
      <c r="TP64" s="41"/>
      <c r="TQ64" s="41"/>
      <c r="TR64" s="41"/>
      <c r="TS64" s="41"/>
      <c r="TT64" s="41"/>
      <c r="TU64" s="41"/>
      <c r="TV64" s="41"/>
      <c r="TW64" s="41"/>
      <c r="TX64" s="41"/>
      <c r="TY64" s="41"/>
      <c r="TZ64" s="41"/>
      <c r="UA64" s="41"/>
      <c r="UB64" s="41"/>
      <c r="UC64" s="41"/>
      <c r="UD64" s="41"/>
      <c r="UE64" s="41"/>
      <c r="UF64" s="41"/>
      <c r="UG64" s="41"/>
      <c r="UH64" s="41"/>
      <c r="UI64" s="41"/>
      <c r="UJ64" s="41"/>
      <c r="UK64" s="41"/>
      <c r="UL64" s="41"/>
      <c r="UM64" s="41"/>
      <c r="UN64" s="41"/>
      <c r="UO64" s="41"/>
      <c r="UP64" s="41"/>
      <c r="UQ64" s="41"/>
      <c r="UR64" s="41"/>
      <c r="US64" s="41"/>
      <c r="UT64" s="41"/>
      <c r="UU64" s="41"/>
      <c r="UV64" s="41"/>
      <c r="UW64" s="41"/>
      <c r="UX64" s="41"/>
      <c r="UY64" s="41"/>
      <c r="UZ64" s="41"/>
      <c r="VA64" s="41"/>
      <c r="VB64" s="41"/>
      <c r="VC64" s="41"/>
      <c r="VD64" s="41"/>
      <c r="VE64" s="41"/>
      <c r="VF64" s="41"/>
      <c r="VG64" s="41"/>
      <c r="VH64" s="41"/>
      <c r="VI64" s="41"/>
      <c r="VJ64" s="41"/>
      <c r="VK64" s="41"/>
      <c r="VL64" s="41"/>
      <c r="VM64" s="41"/>
      <c r="VN64" s="41"/>
      <c r="VO64" s="41"/>
      <c r="VP64" s="41"/>
      <c r="VQ64" s="41"/>
      <c r="VR64" s="41"/>
      <c r="VS64" s="41"/>
      <c r="VT64" s="41"/>
      <c r="VU64" s="41"/>
      <c r="VV64" s="41"/>
      <c r="VW64" s="41"/>
      <c r="VX64" s="41"/>
      <c r="VY64" s="41"/>
      <c r="VZ64" s="41"/>
      <c r="WA64" s="41"/>
      <c r="WB64" s="41"/>
      <c r="WC64" s="41"/>
      <c r="WD64" s="41"/>
      <c r="WE64" s="41"/>
      <c r="WF64" s="41"/>
      <c r="WG64" s="41"/>
      <c r="WH64" s="41"/>
      <c r="WI64" s="41"/>
      <c r="WJ64" s="41"/>
      <c r="WK64" s="41"/>
      <c r="WL64" s="41"/>
      <c r="WM64" s="41"/>
      <c r="WN64" s="41"/>
      <c r="WO64" s="41"/>
      <c r="WP64" s="41"/>
      <c r="WQ64" s="41"/>
      <c r="WR64" s="41"/>
      <c r="WS64" s="41"/>
      <c r="WT64" s="41"/>
      <c r="WU64" s="41"/>
      <c r="WV64" s="41"/>
      <c r="WW64" s="41"/>
      <c r="WX64" s="41"/>
      <c r="WY64" s="41"/>
      <c r="WZ64" s="41"/>
      <c r="XA64" s="41"/>
      <c r="XB64" s="41"/>
      <c r="XC64" s="41"/>
      <c r="XD64" s="41"/>
      <c r="XE64" s="41"/>
      <c r="XF64" s="41"/>
      <c r="XG64" s="41"/>
      <c r="XH64" s="41"/>
      <c r="XI64" s="41"/>
      <c r="XJ64" s="41"/>
      <c r="XK64" s="41"/>
      <c r="XL64" s="41"/>
      <c r="XM64" s="41"/>
      <c r="XN64" s="41"/>
      <c r="XO64" s="41"/>
      <c r="XP64" s="41"/>
      <c r="XQ64" s="41"/>
      <c r="XR64" s="41"/>
      <c r="XS64" s="41"/>
      <c r="XT64" s="41"/>
      <c r="XU64" s="41"/>
      <c r="XV64" s="41"/>
      <c r="XW64" s="41"/>
      <c r="XX64" s="41"/>
      <c r="XY64" s="41"/>
      <c r="XZ64" s="41"/>
      <c r="YA64" s="41"/>
      <c r="YB64" s="41"/>
      <c r="YC64" s="41"/>
      <c r="YD64" s="41"/>
      <c r="YE64" s="41"/>
      <c r="YF64" s="41"/>
      <c r="YG64" s="41"/>
      <c r="YH64" s="41"/>
      <c r="YI64" s="41"/>
      <c r="YJ64" s="41"/>
      <c r="YK64" s="41"/>
      <c r="YL64" s="41"/>
      <c r="YM64" s="41"/>
      <c r="YN64" s="41"/>
      <c r="YO64" s="41"/>
      <c r="YP64" s="41"/>
      <c r="YQ64" s="41"/>
      <c r="YR64" s="41"/>
      <c r="YS64" s="41"/>
      <c r="YT64" s="41"/>
      <c r="YU64" s="41"/>
      <c r="YV64" s="41"/>
      <c r="YW64" s="41"/>
      <c r="YX64" s="41"/>
      <c r="YY64" s="41"/>
      <c r="YZ64" s="41"/>
      <c r="ZA64" s="41"/>
      <c r="ZB64" s="41"/>
      <c r="ZC64" s="41"/>
      <c r="ZD64" s="41"/>
      <c r="ZE64" s="41"/>
      <c r="ZF64" s="41"/>
      <c r="ZG64" s="41"/>
      <c r="ZH64" s="41"/>
      <c r="ZI64" s="41"/>
      <c r="ZJ64" s="41"/>
      <c r="ZK64" s="41"/>
      <c r="ZL64" s="41"/>
      <c r="ZM64" s="41"/>
      <c r="ZN64" s="41"/>
      <c r="ZO64" s="41"/>
      <c r="ZP64" s="41"/>
      <c r="ZQ64" s="41"/>
      <c r="ZR64" s="41"/>
      <c r="ZS64" s="41"/>
      <c r="ZT64" s="41"/>
      <c r="ZU64" s="41"/>
      <c r="ZV64" s="41"/>
      <c r="ZW64" s="41"/>
      <c r="ZX64" s="41"/>
      <c r="ZY64" s="41"/>
      <c r="ZZ64" s="41"/>
      <c r="AAA64" s="41"/>
      <c r="AAB64" s="41"/>
      <c r="AAC64" s="41"/>
    </row>
    <row r="65" spans="1:705" s="42" customFormat="1" ht="42" hidden="1" x14ac:dyDescent="0.3">
      <c r="A65" s="26">
        <v>61</v>
      </c>
      <c r="B65" s="137">
        <v>239604</v>
      </c>
      <c r="C65" s="138">
        <v>61</v>
      </c>
      <c r="D65" s="139">
        <v>45914</v>
      </c>
      <c r="E65" s="139">
        <f t="shared" si="8"/>
        <v>45913</v>
      </c>
      <c r="F65" s="139">
        <f t="shared" si="5"/>
        <v>45924</v>
      </c>
      <c r="G65" s="139">
        <v>45924</v>
      </c>
      <c r="H65" s="139">
        <v>45932</v>
      </c>
      <c r="I65" s="139" t="s">
        <v>75</v>
      </c>
      <c r="J65" s="140" t="s">
        <v>206</v>
      </c>
      <c r="K65" s="141">
        <f t="shared" si="9"/>
        <v>8</v>
      </c>
      <c r="L65" s="141">
        <v>1143164</v>
      </c>
      <c r="M65" s="140" t="s">
        <v>15</v>
      </c>
      <c r="N65" s="142">
        <v>803240</v>
      </c>
      <c r="O65" s="140" t="s">
        <v>246</v>
      </c>
      <c r="P65" s="143">
        <v>45922</v>
      </c>
      <c r="Q65" s="143">
        <v>45937</v>
      </c>
      <c r="R65" s="137" t="s">
        <v>211</v>
      </c>
      <c r="S65" s="156" t="s">
        <v>207</v>
      </c>
      <c r="T65" s="145">
        <v>1</v>
      </c>
      <c r="U65" s="137" t="s">
        <v>169</v>
      </c>
      <c r="V65" s="146">
        <v>6</v>
      </c>
      <c r="W65" s="146">
        <v>6</v>
      </c>
      <c r="X65" s="155">
        <v>0</v>
      </c>
      <c r="Y65" s="154">
        <v>0</v>
      </c>
      <c r="Z65" s="154">
        <v>0</v>
      </c>
      <c r="AA65" s="154">
        <v>0</v>
      </c>
      <c r="AB65" s="146">
        <v>0</v>
      </c>
      <c r="AC65" s="146"/>
      <c r="AD65" s="154">
        <v>0</v>
      </c>
      <c r="AE65" s="154">
        <v>0</v>
      </c>
      <c r="AF65" s="154">
        <v>0</v>
      </c>
      <c r="AG65" s="154">
        <v>0</v>
      </c>
      <c r="AH65" s="146">
        <v>1</v>
      </c>
      <c r="AI65" s="146">
        <v>1</v>
      </c>
      <c r="AJ65" s="146">
        <v>0</v>
      </c>
      <c r="AK65" s="146">
        <v>0</v>
      </c>
      <c r="AL65" s="146">
        <v>0</v>
      </c>
      <c r="AM65" s="146">
        <v>0</v>
      </c>
      <c r="AN65" s="146">
        <v>0</v>
      </c>
      <c r="AO65" s="146">
        <v>0</v>
      </c>
      <c r="AP65" s="146">
        <v>1</v>
      </c>
      <c r="AQ65" s="146">
        <v>1</v>
      </c>
      <c r="AR65" s="146">
        <v>0</v>
      </c>
      <c r="AS65" s="146">
        <v>0</v>
      </c>
      <c r="AT65" s="146">
        <v>1</v>
      </c>
      <c r="AU65" s="146">
        <v>1</v>
      </c>
      <c r="AV65" s="154">
        <v>0</v>
      </c>
      <c r="AW65" s="154">
        <v>0</v>
      </c>
      <c r="AX65" s="146">
        <f t="shared" si="6"/>
        <v>1510</v>
      </c>
      <c r="AY65" s="146">
        <f t="shared" si="7"/>
        <v>1510</v>
      </c>
      <c r="AZ65" s="140" t="s">
        <v>562</v>
      </c>
      <c r="BA65" s="140" t="s">
        <v>562</v>
      </c>
      <c r="BB65" s="140">
        <v>1</v>
      </c>
      <c r="BC65" s="148">
        <v>61</v>
      </c>
      <c r="BD65" s="149"/>
      <c r="BE65" s="145"/>
      <c r="BF65" s="150"/>
      <c r="BG65" s="152">
        <v>45901</v>
      </c>
      <c r="BH65" s="153" t="s">
        <v>535</v>
      </c>
      <c r="BI65" s="153" t="s">
        <v>562</v>
      </c>
      <c r="CC65" s="41"/>
      <c r="CD65" s="41"/>
      <c r="CE65" s="41"/>
      <c r="CF65" s="41"/>
      <c r="CG65" s="41"/>
      <c r="CH65" s="41"/>
      <c r="CI65" s="41"/>
      <c r="CJ65" s="41"/>
      <c r="CK65" s="41"/>
      <c r="CL65" s="41"/>
      <c r="CM65" s="41"/>
      <c r="CN65" s="41"/>
      <c r="CO65" s="41"/>
      <c r="CP65" s="41"/>
      <c r="CQ65" s="41"/>
      <c r="CR65" s="41"/>
      <c r="CS65" s="41"/>
      <c r="CT65" s="41"/>
      <c r="CU65" s="41"/>
      <c r="CV65" s="41"/>
      <c r="CW65" s="41"/>
      <c r="CX65" s="41"/>
      <c r="CY65" s="41"/>
      <c r="CZ65" s="41"/>
      <c r="DA65" s="41"/>
      <c r="DB65" s="41"/>
      <c r="DC65" s="41"/>
      <c r="DD65" s="41"/>
      <c r="DE65" s="41"/>
      <c r="DF65" s="41"/>
      <c r="DG65" s="41"/>
      <c r="DH65" s="41"/>
      <c r="DI65" s="41"/>
      <c r="DJ65" s="41"/>
      <c r="DK65" s="41"/>
      <c r="DL65" s="41"/>
      <c r="DM65" s="41"/>
      <c r="DN65" s="41"/>
      <c r="DO65" s="41"/>
      <c r="DP65" s="41"/>
      <c r="DQ65" s="41"/>
      <c r="DR65" s="41"/>
      <c r="DS65" s="41"/>
      <c r="DT65" s="41"/>
      <c r="DU65" s="41"/>
      <c r="DV65" s="41"/>
      <c r="DW65" s="41"/>
      <c r="DX65" s="41"/>
      <c r="DY65" s="41"/>
      <c r="DZ65" s="41"/>
      <c r="EA65" s="41"/>
      <c r="EB65" s="41"/>
      <c r="EC65" s="41"/>
      <c r="ED65" s="41"/>
      <c r="EE65" s="41"/>
      <c r="EF65" s="41"/>
      <c r="EG65" s="41"/>
      <c r="EH65" s="41"/>
      <c r="EI65" s="41"/>
      <c r="EJ65" s="41"/>
      <c r="EK65" s="41"/>
      <c r="EL65" s="41"/>
      <c r="EM65" s="41"/>
      <c r="EN65" s="41"/>
      <c r="EO65" s="41"/>
      <c r="EP65" s="41"/>
      <c r="EQ65" s="41"/>
      <c r="ER65" s="41"/>
      <c r="ES65" s="41"/>
      <c r="ET65" s="41"/>
      <c r="EU65" s="41"/>
      <c r="EV65" s="41"/>
      <c r="EW65" s="41"/>
      <c r="EX65" s="41"/>
      <c r="EY65" s="41"/>
      <c r="EZ65" s="41"/>
      <c r="FA65" s="41"/>
      <c r="FB65" s="41"/>
      <c r="FC65" s="41"/>
      <c r="FD65" s="41"/>
      <c r="FE65" s="41"/>
      <c r="FF65" s="41"/>
      <c r="FG65" s="41"/>
      <c r="FH65" s="41"/>
      <c r="FI65" s="41"/>
      <c r="FJ65" s="41"/>
      <c r="FK65" s="41"/>
      <c r="FL65" s="41"/>
      <c r="FM65" s="41"/>
      <c r="FN65" s="41"/>
      <c r="FO65" s="41"/>
      <c r="FP65" s="41"/>
      <c r="FQ65" s="41"/>
      <c r="FR65" s="41"/>
      <c r="FS65" s="41"/>
      <c r="FT65" s="41"/>
      <c r="FU65" s="41"/>
      <c r="FV65" s="41"/>
      <c r="FW65" s="41"/>
      <c r="FX65" s="41"/>
      <c r="FY65" s="41"/>
      <c r="FZ65" s="41"/>
      <c r="GA65" s="41"/>
      <c r="GB65" s="41"/>
      <c r="GC65" s="41"/>
      <c r="GD65" s="41"/>
      <c r="GE65" s="41"/>
      <c r="GF65" s="41"/>
      <c r="GG65" s="41"/>
      <c r="GH65" s="41"/>
      <c r="GI65" s="41"/>
      <c r="GJ65" s="41"/>
      <c r="GK65" s="41"/>
      <c r="GL65" s="41"/>
      <c r="GM65" s="41"/>
      <c r="GN65" s="41"/>
      <c r="GO65" s="41"/>
      <c r="GP65" s="41"/>
      <c r="GQ65" s="41"/>
      <c r="GR65" s="41"/>
      <c r="GS65" s="41"/>
      <c r="GT65" s="41"/>
      <c r="GU65" s="41"/>
      <c r="GV65" s="41"/>
      <c r="GW65" s="41"/>
      <c r="GX65" s="41"/>
      <c r="GY65" s="41"/>
      <c r="GZ65" s="41"/>
      <c r="HA65" s="41"/>
      <c r="HB65" s="41"/>
      <c r="HC65" s="41"/>
      <c r="HD65" s="41"/>
      <c r="HE65" s="41"/>
      <c r="HF65" s="41"/>
      <c r="HG65" s="41"/>
      <c r="HH65" s="41"/>
      <c r="HI65" s="41"/>
      <c r="HJ65" s="41"/>
      <c r="HK65" s="41"/>
      <c r="HL65" s="41"/>
      <c r="HM65" s="41"/>
      <c r="HN65" s="41"/>
      <c r="HO65" s="41"/>
      <c r="HP65" s="41"/>
      <c r="HQ65" s="41"/>
      <c r="HR65" s="41"/>
      <c r="HS65" s="41"/>
      <c r="HT65" s="41"/>
      <c r="HU65" s="41"/>
      <c r="HV65" s="41"/>
      <c r="HW65" s="41"/>
      <c r="HX65" s="41"/>
      <c r="HY65" s="41"/>
      <c r="HZ65" s="41"/>
      <c r="IA65" s="41"/>
      <c r="IB65" s="41"/>
      <c r="IC65" s="41"/>
      <c r="ID65" s="41"/>
      <c r="IE65" s="41"/>
      <c r="IF65" s="41"/>
      <c r="IG65" s="41"/>
      <c r="IH65" s="41"/>
      <c r="II65" s="41"/>
      <c r="IJ65" s="41"/>
      <c r="IK65" s="41"/>
      <c r="IL65" s="41"/>
      <c r="IM65" s="41"/>
      <c r="IN65" s="41"/>
      <c r="IO65" s="41"/>
      <c r="IP65" s="41"/>
      <c r="IQ65" s="41"/>
      <c r="IR65" s="41"/>
      <c r="IS65" s="41"/>
      <c r="IT65" s="41"/>
      <c r="IU65" s="41"/>
      <c r="IV65" s="41"/>
      <c r="IW65" s="41"/>
      <c r="IX65" s="41"/>
      <c r="IY65" s="41"/>
      <c r="IZ65" s="41"/>
      <c r="JA65" s="41"/>
      <c r="JB65" s="41"/>
      <c r="JC65" s="41"/>
      <c r="JD65" s="41"/>
      <c r="JE65" s="41"/>
      <c r="JF65" s="41"/>
      <c r="JG65" s="41"/>
      <c r="JH65" s="41"/>
      <c r="JI65" s="41"/>
      <c r="JJ65" s="41"/>
      <c r="JK65" s="41"/>
      <c r="JL65" s="41"/>
      <c r="JM65" s="41"/>
      <c r="JN65" s="41"/>
      <c r="JO65" s="41"/>
      <c r="JP65" s="41"/>
      <c r="JQ65" s="41"/>
      <c r="JR65" s="41"/>
      <c r="JS65" s="41"/>
      <c r="JT65" s="41"/>
      <c r="JU65" s="41"/>
      <c r="JV65" s="41"/>
      <c r="JW65" s="41"/>
      <c r="JX65" s="41"/>
      <c r="JY65" s="41"/>
      <c r="JZ65" s="41"/>
      <c r="KA65" s="41"/>
      <c r="KB65" s="41"/>
      <c r="KC65" s="41"/>
      <c r="KD65" s="41"/>
      <c r="KE65" s="41"/>
      <c r="KF65" s="41"/>
      <c r="KG65" s="41"/>
      <c r="KH65" s="41"/>
      <c r="KI65" s="41"/>
      <c r="KJ65" s="41"/>
      <c r="KK65" s="41"/>
      <c r="KL65" s="41"/>
      <c r="KM65" s="41"/>
      <c r="KN65" s="41"/>
      <c r="KO65" s="41"/>
      <c r="KP65" s="41"/>
      <c r="KQ65" s="41"/>
      <c r="KR65" s="41"/>
      <c r="KS65" s="41"/>
      <c r="KT65" s="41"/>
      <c r="KU65" s="41"/>
      <c r="KV65" s="41"/>
      <c r="KW65" s="41"/>
      <c r="KX65" s="41"/>
      <c r="KY65" s="41"/>
      <c r="KZ65" s="41"/>
      <c r="LA65" s="41"/>
      <c r="LB65" s="41"/>
      <c r="LC65" s="41"/>
      <c r="LD65" s="41"/>
      <c r="LE65" s="41"/>
      <c r="LF65" s="41"/>
      <c r="LG65" s="41"/>
      <c r="LH65" s="41"/>
      <c r="LI65" s="41"/>
      <c r="LJ65" s="41"/>
      <c r="LK65" s="41"/>
      <c r="LL65" s="41"/>
      <c r="LM65" s="41"/>
      <c r="LN65" s="41"/>
      <c r="LO65" s="41"/>
      <c r="LP65" s="41"/>
      <c r="LQ65" s="41"/>
      <c r="LR65" s="41"/>
      <c r="LS65" s="41"/>
      <c r="LT65" s="41"/>
      <c r="LU65" s="41"/>
      <c r="LV65" s="41"/>
      <c r="LW65" s="41"/>
      <c r="LX65" s="41"/>
      <c r="LY65" s="41"/>
      <c r="LZ65" s="41"/>
      <c r="MA65" s="41"/>
      <c r="MB65" s="41"/>
      <c r="MC65" s="41"/>
      <c r="MD65" s="41"/>
      <c r="ME65" s="41"/>
      <c r="MF65" s="41"/>
      <c r="MG65" s="41"/>
      <c r="MH65" s="41"/>
      <c r="MI65" s="41"/>
      <c r="MJ65" s="41"/>
      <c r="MK65" s="41"/>
      <c r="ML65" s="41"/>
      <c r="MM65" s="41"/>
      <c r="MN65" s="41"/>
      <c r="MO65" s="41"/>
      <c r="MP65" s="41"/>
      <c r="MQ65" s="41"/>
      <c r="MR65" s="41"/>
      <c r="MS65" s="41"/>
      <c r="MT65" s="41"/>
      <c r="MU65" s="41"/>
      <c r="MV65" s="41"/>
      <c r="MW65" s="41"/>
      <c r="MX65" s="41"/>
      <c r="MY65" s="41"/>
      <c r="MZ65" s="41"/>
      <c r="NA65" s="41"/>
      <c r="NB65" s="41"/>
      <c r="NC65" s="41"/>
      <c r="ND65" s="41"/>
      <c r="NE65" s="41"/>
      <c r="NF65" s="41"/>
      <c r="NG65" s="41"/>
      <c r="NH65" s="41"/>
      <c r="NI65" s="41"/>
      <c r="NJ65" s="41"/>
      <c r="NK65" s="41"/>
      <c r="NL65" s="41"/>
      <c r="NM65" s="41"/>
      <c r="NN65" s="41"/>
      <c r="NO65" s="41"/>
      <c r="NP65" s="41"/>
      <c r="NQ65" s="41"/>
      <c r="NR65" s="41"/>
      <c r="NS65" s="41"/>
      <c r="NT65" s="41"/>
      <c r="NU65" s="41"/>
      <c r="NV65" s="41"/>
      <c r="NW65" s="41"/>
      <c r="NX65" s="41"/>
      <c r="NY65" s="41"/>
      <c r="NZ65" s="41"/>
      <c r="OA65" s="41"/>
      <c r="OB65" s="41"/>
      <c r="OC65" s="41"/>
      <c r="OD65" s="41"/>
      <c r="OE65" s="41"/>
      <c r="OF65" s="41"/>
      <c r="OG65" s="41"/>
      <c r="OH65" s="41"/>
      <c r="OI65" s="41"/>
      <c r="OJ65" s="41"/>
      <c r="OK65" s="41"/>
      <c r="OL65" s="41"/>
      <c r="OM65" s="41"/>
      <c r="ON65" s="41"/>
      <c r="OO65" s="41"/>
      <c r="OP65" s="41"/>
      <c r="OQ65" s="41"/>
      <c r="OR65" s="41"/>
      <c r="OS65" s="41"/>
      <c r="OT65" s="41"/>
      <c r="OU65" s="41"/>
      <c r="OV65" s="41"/>
      <c r="OW65" s="41"/>
      <c r="OX65" s="41"/>
      <c r="OY65" s="41"/>
      <c r="OZ65" s="41"/>
      <c r="PA65" s="41"/>
      <c r="PB65" s="41"/>
      <c r="PC65" s="41"/>
      <c r="PD65" s="41"/>
      <c r="PE65" s="41"/>
      <c r="PF65" s="41"/>
      <c r="PG65" s="41"/>
      <c r="PH65" s="41"/>
      <c r="PI65" s="41"/>
      <c r="PJ65" s="41"/>
      <c r="PK65" s="41"/>
      <c r="PL65" s="41"/>
      <c r="PM65" s="41"/>
      <c r="PN65" s="41"/>
      <c r="PO65" s="41"/>
      <c r="PP65" s="41"/>
      <c r="PQ65" s="41"/>
      <c r="PR65" s="41"/>
      <c r="PS65" s="41"/>
      <c r="PT65" s="41"/>
      <c r="PU65" s="41"/>
      <c r="PV65" s="41"/>
      <c r="PW65" s="41"/>
      <c r="PX65" s="41"/>
      <c r="PY65" s="41"/>
      <c r="PZ65" s="41"/>
      <c r="QA65" s="41"/>
      <c r="QB65" s="41"/>
      <c r="QC65" s="41"/>
      <c r="QD65" s="41"/>
      <c r="QE65" s="41"/>
      <c r="QF65" s="41"/>
      <c r="QG65" s="41"/>
      <c r="QH65" s="41"/>
      <c r="QI65" s="41"/>
      <c r="QJ65" s="41"/>
      <c r="QK65" s="41"/>
      <c r="QL65" s="41"/>
      <c r="QM65" s="41"/>
      <c r="QN65" s="41"/>
      <c r="QO65" s="41"/>
      <c r="QP65" s="41"/>
      <c r="QQ65" s="41"/>
      <c r="QR65" s="41"/>
      <c r="QS65" s="41"/>
      <c r="QT65" s="41"/>
      <c r="QU65" s="41"/>
      <c r="QV65" s="41"/>
      <c r="QW65" s="41"/>
      <c r="QX65" s="41"/>
      <c r="QY65" s="41"/>
      <c r="QZ65" s="41"/>
      <c r="RA65" s="41"/>
      <c r="RB65" s="41"/>
      <c r="RC65" s="41"/>
      <c r="RD65" s="41"/>
      <c r="RE65" s="41"/>
      <c r="RF65" s="41"/>
      <c r="RG65" s="41"/>
      <c r="RH65" s="41"/>
      <c r="RI65" s="41"/>
      <c r="RJ65" s="41"/>
      <c r="RK65" s="41"/>
      <c r="RL65" s="41"/>
      <c r="RM65" s="41"/>
      <c r="RN65" s="41"/>
      <c r="RO65" s="41"/>
      <c r="RP65" s="41"/>
      <c r="RQ65" s="41"/>
      <c r="RR65" s="41"/>
      <c r="RS65" s="41"/>
      <c r="RT65" s="41"/>
      <c r="RU65" s="41"/>
      <c r="RV65" s="41"/>
      <c r="RW65" s="41"/>
      <c r="RX65" s="41"/>
      <c r="RY65" s="41"/>
      <c r="RZ65" s="41"/>
      <c r="SA65" s="41"/>
      <c r="SB65" s="41"/>
      <c r="SC65" s="41"/>
      <c r="SD65" s="41"/>
      <c r="SE65" s="41"/>
      <c r="SF65" s="41"/>
      <c r="SG65" s="41"/>
      <c r="SH65" s="41"/>
      <c r="SI65" s="41"/>
      <c r="SJ65" s="41"/>
      <c r="SK65" s="41"/>
      <c r="SL65" s="41"/>
      <c r="SM65" s="41"/>
      <c r="SN65" s="41"/>
      <c r="SO65" s="41"/>
      <c r="SP65" s="41"/>
      <c r="SQ65" s="41"/>
      <c r="SR65" s="41"/>
      <c r="SS65" s="41"/>
      <c r="ST65" s="41"/>
      <c r="SU65" s="41"/>
      <c r="SV65" s="41"/>
      <c r="SW65" s="41"/>
      <c r="SX65" s="41"/>
      <c r="SY65" s="41"/>
      <c r="SZ65" s="41"/>
      <c r="TA65" s="41"/>
      <c r="TB65" s="41"/>
      <c r="TC65" s="41"/>
      <c r="TD65" s="41"/>
      <c r="TE65" s="41"/>
      <c r="TF65" s="41"/>
      <c r="TG65" s="41"/>
      <c r="TH65" s="41"/>
      <c r="TI65" s="41"/>
      <c r="TJ65" s="41"/>
      <c r="TK65" s="41"/>
      <c r="TL65" s="41"/>
      <c r="TM65" s="41"/>
      <c r="TN65" s="41"/>
      <c r="TO65" s="41"/>
      <c r="TP65" s="41"/>
      <c r="TQ65" s="41"/>
      <c r="TR65" s="41"/>
      <c r="TS65" s="41"/>
      <c r="TT65" s="41"/>
      <c r="TU65" s="41"/>
      <c r="TV65" s="41"/>
      <c r="TW65" s="41"/>
      <c r="TX65" s="41"/>
      <c r="TY65" s="41"/>
      <c r="TZ65" s="41"/>
      <c r="UA65" s="41"/>
      <c r="UB65" s="41"/>
      <c r="UC65" s="41"/>
      <c r="UD65" s="41"/>
      <c r="UE65" s="41"/>
      <c r="UF65" s="41"/>
      <c r="UG65" s="41"/>
      <c r="UH65" s="41"/>
      <c r="UI65" s="41"/>
      <c r="UJ65" s="41"/>
      <c r="UK65" s="41"/>
      <c r="UL65" s="41"/>
      <c r="UM65" s="41"/>
      <c r="UN65" s="41"/>
      <c r="UO65" s="41"/>
      <c r="UP65" s="41"/>
      <c r="UQ65" s="41"/>
      <c r="UR65" s="41"/>
      <c r="US65" s="41"/>
      <c r="UT65" s="41"/>
      <c r="UU65" s="41"/>
      <c r="UV65" s="41"/>
      <c r="UW65" s="41"/>
      <c r="UX65" s="41"/>
      <c r="UY65" s="41"/>
      <c r="UZ65" s="41"/>
      <c r="VA65" s="41"/>
      <c r="VB65" s="41"/>
      <c r="VC65" s="41"/>
      <c r="VD65" s="41"/>
      <c r="VE65" s="41"/>
      <c r="VF65" s="41"/>
      <c r="VG65" s="41"/>
      <c r="VH65" s="41"/>
      <c r="VI65" s="41"/>
      <c r="VJ65" s="41"/>
      <c r="VK65" s="41"/>
      <c r="VL65" s="41"/>
      <c r="VM65" s="41"/>
      <c r="VN65" s="41"/>
      <c r="VO65" s="41"/>
      <c r="VP65" s="41"/>
      <c r="VQ65" s="41"/>
      <c r="VR65" s="41"/>
      <c r="VS65" s="41"/>
      <c r="VT65" s="41"/>
      <c r="VU65" s="41"/>
      <c r="VV65" s="41"/>
      <c r="VW65" s="41"/>
      <c r="VX65" s="41"/>
      <c r="VY65" s="41"/>
      <c r="VZ65" s="41"/>
      <c r="WA65" s="41"/>
      <c r="WB65" s="41"/>
      <c r="WC65" s="41"/>
      <c r="WD65" s="41"/>
      <c r="WE65" s="41"/>
      <c r="WF65" s="41"/>
      <c r="WG65" s="41"/>
      <c r="WH65" s="41"/>
      <c r="WI65" s="41"/>
      <c r="WJ65" s="41"/>
      <c r="WK65" s="41"/>
      <c r="WL65" s="41"/>
      <c r="WM65" s="41"/>
      <c r="WN65" s="41"/>
      <c r="WO65" s="41"/>
      <c r="WP65" s="41"/>
      <c r="WQ65" s="41"/>
      <c r="WR65" s="41"/>
      <c r="WS65" s="41"/>
      <c r="WT65" s="41"/>
      <c r="WU65" s="41"/>
      <c r="WV65" s="41"/>
      <c r="WW65" s="41"/>
      <c r="WX65" s="41"/>
      <c r="WY65" s="41"/>
      <c r="WZ65" s="41"/>
      <c r="XA65" s="41"/>
      <c r="XB65" s="41"/>
      <c r="XC65" s="41"/>
      <c r="XD65" s="41"/>
      <c r="XE65" s="41"/>
      <c r="XF65" s="41"/>
      <c r="XG65" s="41"/>
      <c r="XH65" s="41"/>
      <c r="XI65" s="41"/>
      <c r="XJ65" s="41"/>
      <c r="XK65" s="41"/>
      <c r="XL65" s="41"/>
      <c r="XM65" s="41"/>
      <c r="XN65" s="41"/>
      <c r="XO65" s="41"/>
      <c r="XP65" s="41"/>
      <c r="XQ65" s="41"/>
      <c r="XR65" s="41"/>
      <c r="XS65" s="41"/>
      <c r="XT65" s="41"/>
      <c r="XU65" s="41"/>
      <c r="XV65" s="41"/>
      <c r="XW65" s="41"/>
      <c r="XX65" s="41"/>
      <c r="XY65" s="41"/>
      <c r="XZ65" s="41"/>
      <c r="YA65" s="41"/>
      <c r="YB65" s="41"/>
      <c r="YC65" s="41"/>
      <c r="YD65" s="41"/>
      <c r="YE65" s="41"/>
      <c r="YF65" s="41"/>
      <c r="YG65" s="41"/>
      <c r="YH65" s="41"/>
      <c r="YI65" s="41"/>
      <c r="YJ65" s="41"/>
      <c r="YK65" s="41"/>
      <c r="YL65" s="41"/>
      <c r="YM65" s="41"/>
      <c r="YN65" s="41"/>
      <c r="YO65" s="41"/>
      <c r="YP65" s="41"/>
      <c r="YQ65" s="41"/>
      <c r="YR65" s="41"/>
      <c r="YS65" s="41"/>
      <c r="YT65" s="41"/>
      <c r="YU65" s="41"/>
      <c r="YV65" s="41"/>
      <c r="YW65" s="41"/>
      <c r="YX65" s="41"/>
      <c r="YY65" s="41"/>
      <c r="YZ65" s="41"/>
      <c r="ZA65" s="41"/>
      <c r="ZB65" s="41"/>
      <c r="ZC65" s="41"/>
      <c r="ZD65" s="41"/>
      <c r="ZE65" s="41"/>
      <c r="ZF65" s="41"/>
      <c r="ZG65" s="41"/>
      <c r="ZH65" s="41"/>
      <c r="ZI65" s="41"/>
      <c r="ZJ65" s="41"/>
      <c r="ZK65" s="41"/>
      <c r="ZL65" s="41"/>
      <c r="ZM65" s="41"/>
      <c r="ZN65" s="41"/>
      <c r="ZO65" s="41"/>
      <c r="ZP65" s="41"/>
      <c r="ZQ65" s="41"/>
      <c r="ZR65" s="41"/>
      <c r="ZS65" s="41"/>
      <c r="ZT65" s="41"/>
      <c r="ZU65" s="41"/>
      <c r="ZV65" s="41"/>
      <c r="ZW65" s="41"/>
      <c r="ZX65" s="41"/>
      <c r="ZY65" s="41"/>
      <c r="ZZ65" s="41"/>
      <c r="AAA65" s="41"/>
      <c r="AAB65" s="41"/>
      <c r="AAC65" s="41"/>
    </row>
    <row r="66" spans="1:705" s="42" customFormat="1" ht="42" hidden="1" customHeight="1" x14ac:dyDescent="0.3">
      <c r="A66" s="26">
        <v>62</v>
      </c>
      <c r="B66" s="137">
        <v>239611</v>
      </c>
      <c r="C66" s="138">
        <v>62</v>
      </c>
      <c r="D66" s="139">
        <v>45914</v>
      </c>
      <c r="E66" s="139">
        <f t="shared" si="8"/>
        <v>45913</v>
      </c>
      <c r="F66" s="139">
        <f t="shared" si="5"/>
        <v>45924</v>
      </c>
      <c r="G66" s="139">
        <v>45924</v>
      </c>
      <c r="H66" s="139">
        <v>45959</v>
      </c>
      <c r="I66" s="139" t="s">
        <v>75</v>
      </c>
      <c r="J66" s="140" t="s">
        <v>208</v>
      </c>
      <c r="K66" s="141">
        <f t="shared" si="9"/>
        <v>35</v>
      </c>
      <c r="L66" s="141">
        <v>1143168</v>
      </c>
      <c r="M66" s="140" t="s">
        <v>535</v>
      </c>
      <c r="N66" s="142">
        <v>803461</v>
      </c>
      <c r="O66" s="140" t="s">
        <v>246</v>
      </c>
      <c r="P66" s="143">
        <v>45949</v>
      </c>
      <c r="Q66" s="143">
        <v>46121</v>
      </c>
      <c r="R66" s="137" t="s">
        <v>211</v>
      </c>
      <c r="S66" s="144" t="s">
        <v>209</v>
      </c>
      <c r="T66" s="145">
        <v>5</v>
      </c>
      <c r="U66" s="137" t="s">
        <v>195</v>
      </c>
      <c r="V66" s="146">
        <v>23</v>
      </c>
      <c r="W66" s="146">
        <v>23</v>
      </c>
      <c r="X66" s="155">
        <v>0</v>
      </c>
      <c r="Y66" s="154">
        <v>0</v>
      </c>
      <c r="Z66" s="154">
        <v>0</v>
      </c>
      <c r="AA66" s="154">
        <v>0</v>
      </c>
      <c r="AB66" s="146">
        <v>12</v>
      </c>
      <c r="AC66" s="146">
        <v>12</v>
      </c>
      <c r="AD66" s="154">
        <v>0</v>
      </c>
      <c r="AE66" s="154">
        <v>0</v>
      </c>
      <c r="AF66" s="154">
        <v>0</v>
      </c>
      <c r="AG66" s="154">
        <v>0</v>
      </c>
      <c r="AH66" s="146">
        <v>5</v>
      </c>
      <c r="AI66" s="146">
        <v>5</v>
      </c>
      <c r="AJ66" s="146">
        <v>0</v>
      </c>
      <c r="AK66" s="146">
        <v>0</v>
      </c>
      <c r="AL66" s="146">
        <v>0</v>
      </c>
      <c r="AM66" s="146">
        <v>0</v>
      </c>
      <c r="AN66" s="146">
        <v>0</v>
      </c>
      <c r="AO66" s="146">
        <v>0</v>
      </c>
      <c r="AP66" s="146">
        <v>5</v>
      </c>
      <c r="AQ66" s="146">
        <v>5</v>
      </c>
      <c r="AR66" s="146">
        <v>0</v>
      </c>
      <c r="AS66" s="146">
        <v>0</v>
      </c>
      <c r="AT66" s="146">
        <v>5</v>
      </c>
      <c r="AU66" s="146">
        <v>5</v>
      </c>
      <c r="AV66" s="154">
        <v>0</v>
      </c>
      <c r="AW66" s="154">
        <v>0</v>
      </c>
      <c r="AX66" s="146">
        <f t="shared" si="6"/>
        <v>7814</v>
      </c>
      <c r="AY66" s="146">
        <f t="shared" si="7"/>
        <v>7814</v>
      </c>
      <c r="AZ66" s="140" t="s">
        <v>562</v>
      </c>
      <c r="BA66" s="140" t="s">
        <v>562</v>
      </c>
      <c r="BB66" s="140">
        <v>12</v>
      </c>
      <c r="BC66" s="148">
        <v>62</v>
      </c>
      <c r="BD66" s="149"/>
      <c r="BE66" s="145"/>
      <c r="BF66" s="150"/>
      <c r="BG66" s="151">
        <v>45931</v>
      </c>
      <c r="BH66" s="153" t="s">
        <v>15</v>
      </c>
      <c r="BI66" s="153" t="s">
        <v>562</v>
      </c>
      <c r="BK66" s="238"/>
      <c r="CC66" s="41"/>
      <c r="CD66" s="41"/>
      <c r="CE66" s="41"/>
      <c r="CF66" s="41"/>
      <c r="CG66" s="41"/>
      <c r="CH66" s="41"/>
      <c r="CI66" s="41"/>
      <c r="CJ66" s="41"/>
      <c r="CK66" s="41"/>
      <c r="CL66" s="41"/>
      <c r="CM66" s="41"/>
      <c r="CN66" s="41"/>
      <c r="CO66" s="41"/>
      <c r="CP66" s="41"/>
      <c r="CQ66" s="41"/>
      <c r="CR66" s="41"/>
      <c r="CS66" s="41"/>
      <c r="CT66" s="41"/>
      <c r="CU66" s="41"/>
      <c r="CV66" s="41"/>
      <c r="CW66" s="41"/>
      <c r="CX66" s="41"/>
      <c r="CY66" s="41"/>
      <c r="CZ66" s="41"/>
      <c r="DA66" s="41"/>
      <c r="DB66" s="41"/>
      <c r="DC66" s="41"/>
      <c r="DD66" s="41"/>
      <c r="DE66" s="41"/>
      <c r="DF66" s="41"/>
      <c r="DG66" s="41"/>
      <c r="DH66" s="41"/>
      <c r="DI66" s="41"/>
      <c r="DJ66" s="41"/>
      <c r="DK66" s="41"/>
      <c r="DL66" s="41"/>
      <c r="DM66" s="41"/>
      <c r="DN66" s="41"/>
      <c r="DO66" s="41"/>
      <c r="DP66" s="41"/>
      <c r="DQ66" s="41"/>
      <c r="DR66" s="41"/>
      <c r="DS66" s="41"/>
      <c r="DT66" s="41"/>
      <c r="DU66" s="41"/>
      <c r="DV66" s="41"/>
      <c r="DW66" s="41"/>
      <c r="DX66" s="41"/>
      <c r="DY66" s="41"/>
      <c r="DZ66" s="41"/>
      <c r="EA66" s="41"/>
      <c r="EB66" s="41"/>
      <c r="EC66" s="41"/>
      <c r="ED66" s="41"/>
      <c r="EE66" s="41"/>
      <c r="EF66" s="41"/>
      <c r="EG66" s="41"/>
      <c r="EH66" s="41"/>
      <c r="EI66" s="41"/>
      <c r="EJ66" s="41"/>
      <c r="EK66" s="41"/>
      <c r="EL66" s="41"/>
      <c r="EM66" s="41"/>
      <c r="EN66" s="41"/>
      <c r="EO66" s="41"/>
      <c r="EP66" s="41"/>
      <c r="EQ66" s="41"/>
      <c r="ER66" s="41"/>
      <c r="ES66" s="41"/>
      <c r="ET66" s="41"/>
      <c r="EU66" s="41"/>
      <c r="EV66" s="41"/>
      <c r="EW66" s="41"/>
      <c r="EX66" s="41"/>
      <c r="EY66" s="41"/>
      <c r="EZ66" s="41"/>
      <c r="FA66" s="41"/>
      <c r="FB66" s="41"/>
      <c r="FC66" s="41"/>
      <c r="FD66" s="41"/>
      <c r="FE66" s="41"/>
      <c r="FF66" s="41"/>
      <c r="FG66" s="41"/>
      <c r="FH66" s="41"/>
      <c r="FI66" s="41"/>
      <c r="FJ66" s="41"/>
      <c r="FK66" s="41"/>
      <c r="FL66" s="41"/>
      <c r="FM66" s="41"/>
      <c r="FN66" s="41"/>
      <c r="FO66" s="41"/>
      <c r="FP66" s="41"/>
      <c r="FQ66" s="41"/>
      <c r="FR66" s="41"/>
      <c r="FS66" s="41"/>
      <c r="FT66" s="41"/>
      <c r="FU66" s="41"/>
      <c r="FV66" s="41"/>
      <c r="FW66" s="41"/>
      <c r="FX66" s="41"/>
      <c r="FY66" s="41"/>
      <c r="FZ66" s="41"/>
      <c r="GA66" s="41"/>
      <c r="GB66" s="41"/>
      <c r="GC66" s="41"/>
      <c r="GD66" s="41"/>
      <c r="GE66" s="41"/>
      <c r="GF66" s="41"/>
      <c r="GG66" s="41"/>
      <c r="GH66" s="41"/>
      <c r="GI66" s="41"/>
      <c r="GJ66" s="41"/>
      <c r="GK66" s="41"/>
      <c r="GL66" s="41"/>
      <c r="GM66" s="41"/>
      <c r="GN66" s="41"/>
      <c r="GO66" s="41"/>
      <c r="GP66" s="41"/>
      <c r="GQ66" s="41"/>
      <c r="GR66" s="41"/>
      <c r="GS66" s="41"/>
      <c r="GT66" s="41"/>
      <c r="GU66" s="41"/>
      <c r="GV66" s="41"/>
      <c r="GW66" s="41"/>
      <c r="GX66" s="41"/>
      <c r="GY66" s="41"/>
      <c r="GZ66" s="41"/>
      <c r="HA66" s="41"/>
      <c r="HB66" s="41"/>
      <c r="HC66" s="41"/>
      <c r="HD66" s="41"/>
      <c r="HE66" s="41"/>
      <c r="HF66" s="41"/>
      <c r="HG66" s="41"/>
      <c r="HH66" s="41"/>
      <c r="HI66" s="41"/>
      <c r="HJ66" s="41"/>
      <c r="HK66" s="41"/>
      <c r="HL66" s="41"/>
      <c r="HM66" s="41"/>
      <c r="HN66" s="41"/>
      <c r="HO66" s="41"/>
      <c r="HP66" s="41"/>
      <c r="HQ66" s="41"/>
      <c r="HR66" s="41"/>
      <c r="HS66" s="41"/>
      <c r="HT66" s="41"/>
      <c r="HU66" s="41"/>
      <c r="HV66" s="41"/>
      <c r="HW66" s="41"/>
      <c r="HX66" s="41"/>
      <c r="HY66" s="41"/>
      <c r="HZ66" s="41"/>
      <c r="IA66" s="41"/>
      <c r="IB66" s="41"/>
      <c r="IC66" s="41"/>
      <c r="ID66" s="41"/>
      <c r="IE66" s="41"/>
      <c r="IF66" s="41"/>
      <c r="IG66" s="41"/>
      <c r="IH66" s="41"/>
      <c r="II66" s="41"/>
      <c r="IJ66" s="41"/>
      <c r="IK66" s="41"/>
      <c r="IL66" s="41"/>
      <c r="IM66" s="41"/>
      <c r="IN66" s="41"/>
      <c r="IO66" s="41"/>
      <c r="IP66" s="41"/>
      <c r="IQ66" s="41"/>
      <c r="IR66" s="41"/>
      <c r="IS66" s="41"/>
      <c r="IT66" s="41"/>
      <c r="IU66" s="41"/>
      <c r="IV66" s="41"/>
      <c r="IW66" s="41"/>
      <c r="IX66" s="41"/>
      <c r="IY66" s="41"/>
      <c r="IZ66" s="41"/>
      <c r="JA66" s="41"/>
      <c r="JB66" s="41"/>
      <c r="JC66" s="41"/>
      <c r="JD66" s="41"/>
      <c r="JE66" s="41"/>
      <c r="JF66" s="41"/>
      <c r="JG66" s="41"/>
      <c r="JH66" s="41"/>
      <c r="JI66" s="41"/>
      <c r="JJ66" s="41"/>
      <c r="JK66" s="41"/>
      <c r="JL66" s="41"/>
      <c r="JM66" s="41"/>
      <c r="JN66" s="41"/>
      <c r="JO66" s="41"/>
      <c r="JP66" s="41"/>
      <c r="JQ66" s="41"/>
      <c r="JR66" s="41"/>
      <c r="JS66" s="41"/>
      <c r="JT66" s="41"/>
      <c r="JU66" s="41"/>
      <c r="JV66" s="41"/>
      <c r="JW66" s="41"/>
      <c r="JX66" s="41"/>
      <c r="JY66" s="41"/>
      <c r="JZ66" s="41"/>
      <c r="KA66" s="41"/>
      <c r="KB66" s="41"/>
      <c r="KC66" s="41"/>
      <c r="KD66" s="41"/>
      <c r="KE66" s="41"/>
      <c r="KF66" s="41"/>
      <c r="KG66" s="41"/>
      <c r="KH66" s="41"/>
      <c r="KI66" s="41"/>
      <c r="KJ66" s="41"/>
      <c r="KK66" s="41"/>
      <c r="KL66" s="41"/>
      <c r="KM66" s="41"/>
      <c r="KN66" s="41"/>
      <c r="KO66" s="41"/>
      <c r="KP66" s="41"/>
      <c r="KQ66" s="41"/>
      <c r="KR66" s="41"/>
      <c r="KS66" s="41"/>
      <c r="KT66" s="41"/>
      <c r="KU66" s="41"/>
      <c r="KV66" s="41"/>
      <c r="KW66" s="41"/>
      <c r="KX66" s="41"/>
      <c r="KY66" s="41"/>
      <c r="KZ66" s="41"/>
      <c r="LA66" s="41"/>
      <c r="LB66" s="41"/>
      <c r="LC66" s="41"/>
      <c r="LD66" s="41"/>
      <c r="LE66" s="41"/>
      <c r="LF66" s="41"/>
      <c r="LG66" s="41"/>
      <c r="LH66" s="41"/>
      <c r="LI66" s="41"/>
      <c r="LJ66" s="41"/>
      <c r="LK66" s="41"/>
      <c r="LL66" s="41"/>
      <c r="LM66" s="41"/>
      <c r="LN66" s="41"/>
      <c r="LO66" s="41"/>
      <c r="LP66" s="41"/>
      <c r="LQ66" s="41"/>
      <c r="LR66" s="41"/>
      <c r="LS66" s="41"/>
      <c r="LT66" s="41"/>
      <c r="LU66" s="41"/>
      <c r="LV66" s="41"/>
      <c r="LW66" s="41"/>
      <c r="LX66" s="41"/>
      <c r="LY66" s="41"/>
      <c r="LZ66" s="41"/>
      <c r="MA66" s="41"/>
      <c r="MB66" s="41"/>
      <c r="MC66" s="41"/>
      <c r="MD66" s="41"/>
      <c r="ME66" s="41"/>
      <c r="MF66" s="41"/>
      <c r="MG66" s="41"/>
      <c r="MH66" s="41"/>
      <c r="MI66" s="41"/>
      <c r="MJ66" s="41"/>
      <c r="MK66" s="41"/>
      <c r="ML66" s="41"/>
      <c r="MM66" s="41"/>
      <c r="MN66" s="41"/>
      <c r="MO66" s="41"/>
      <c r="MP66" s="41"/>
      <c r="MQ66" s="41"/>
      <c r="MR66" s="41"/>
      <c r="MS66" s="41"/>
      <c r="MT66" s="41"/>
      <c r="MU66" s="41"/>
      <c r="MV66" s="41"/>
      <c r="MW66" s="41"/>
      <c r="MX66" s="41"/>
      <c r="MY66" s="41"/>
      <c r="MZ66" s="41"/>
      <c r="NA66" s="41"/>
      <c r="NB66" s="41"/>
      <c r="NC66" s="41"/>
      <c r="ND66" s="41"/>
      <c r="NE66" s="41"/>
      <c r="NF66" s="41"/>
      <c r="NG66" s="41"/>
      <c r="NH66" s="41"/>
      <c r="NI66" s="41"/>
      <c r="NJ66" s="41"/>
      <c r="NK66" s="41"/>
      <c r="NL66" s="41"/>
      <c r="NM66" s="41"/>
      <c r="NN66" s="41"/>
      <c r="NO66" s="41"/>
      <c r="NP66" s="41"/>
      <c r="NQ66" s="41"/>
      <c r="NR66" s="41"/>
      <c r="NS66" s="41"/>
      <c r="NT66" s="41"/>
      <c r="NU66" s="41"/>
      <c r="NV66" s="41"/>
      <c r="NW66" s="41"/>
      <c r="NX66" s="41"/>
      <c r="NY66" s="41"/>
      <c r="NZ66" s="41"/>
      <c r="OA66" s="41"/>
      <c r="OB66" s="41"/>
      <c r="OC66" s="41"/>
      <c r="OD66" s="41"/>
      <c r="OE66" s="41"/>
      <c r="OF66" s="41"/>
      <c r="OG66" s="41"/>
      <c r="OH66" s="41"/>
      <c r="OI66" s="41"/>
      <c r="OJ66" s="41"/>
      <c r="OK66" s="41"/>
      <c r="OL66" s="41"/>
      <c r="OM66" s="41"/>
      <c r="ON66" s="41"/>
      <c r="OO66" s="41"/>
      <c r="OP66" s="41"/>
      <c r="OQ66" s="41"/>
      <c r="OR66" s="41"/>
      <c r="OS66" s="41"/>
      <c r="OT66" s="41"/>
      <c r="OU66" s="41"/>
      <c r="OV66" s="41"/>
      <c r="OW66" s="41"/>
      <c r="OX66" s="41"/>
      <c r="OY66" s="41"/>
      <c r="OZ66" s="41"/>
      <c r="PA66" s="41"/>
      <c r="PB66" s="41"/>
      <c r="PC66" s="41"/>
      <c r="PD66" s="41"/>
      <c r="PE66" s="41"/>
      <c r="PF66" s="41"/>
      <c r="PG66" s="41"/>
      <c r="PH66" s="41"/>
      <c r="PI66" s="41"/>
      <c r="PJ66" s="41"/>
      <c r="PK66" s="41"/>
      <c r="PL66" s="41"/>
      <c r="PM66" s="41"/>
      <c r="PN66" s="41"/>
      <c r="PO66" s="41"/>
      <c r="PP66" s="41"/>
      <c r="PQ66" s="41"/>
      <c r="PR66" s="41"/>
      <c r="PS66" s="41"/>
      <c r="PT66" s="41"/>
      <c r="PU66" s="41"/>
      <c r="PV66" s="41"/>
      <c r="PW66" s="41"/>
      <c r="PX66" s="41"/>
      <c r="PY66" s="41"/>
      <c r="PZ66" s="41"/>
      <c r="QA66" s="41"/>
      <c r="QB66" s="41"/>
      <c r="QC66" s="41"/>
      <c r="QD66" s="41"/>
      <c r="QE66" s="41"/>
      <c r="QF66" s="41"/>
      <c r="QG66" s="41"/>
      <c r="QH66" s="41"/>
      <c r="QI66" s="41"/>
      <c r="QJ66" s="41"/>
      <c r="QK66" s="41"/>
      <c r="QL66" s="41"/>
      <c r="QM66" s="41"/>
      <c r="QN66" s="41"/>
      <c r="QO66" s="41"/>
      <c r="QP66" s="41"/>
      <c r="QQ66" s="41"/>
      <c r="QR66" s="41"/>
      <c r="QS66" s="41"/>
      <c r="QT66" s="41"/>
      <c r="QU66" s="41"/>
      <c r="QV66" s="41"/>
      <c r="QW66" s="41"/>
      <c r="QX66" s="41"/>
      <c r="QY66" s="41"/>
      <c r="QZ66" s="41"/>
      <c r="RA66" s="41"/>
      <c r="RB66" s="41"/>
      <c r="RC66" s="41"/>
      <c r="RD66" s="41"/>
      <c r="RE66" s="41"/>
      <c r="RF66" s="41"/>
      <c r="RG66" s="41"/>
      <c r="RH66" s="41"/>
      <c r="RI66" s="41"/>
      <c r="RJ66" s="41"/>
      <c r="RK66" s="41"/>
      <c r="RL66" s="41"/>
      <c r="RM66" s="41"/>
      <c r="RN66" s="41"/>
      <c r="RO66" s="41"/>
      <c r="RP66" s="41"/>
      <c r="RQ66" s="41"/>
      <c r="RR66" s="41"/>
      <c r="RS66" s="41"/>
      <c r="RT66" s="41"/>
      <c r="RU66" s="41"/>
      <c r="RV66" s="41"/>
      <c r="RW66" s="41"/>
      <c r="RX66" s="41"/>
      <c r="RY66" s="41"/>
      <c r="RZ66" s="41"/>
      <c r="SA66" s="41"/>
      <c r="SB66" s="41"/>
      <c r="SC66" s="41"/>
      <c r="SD66" s="41"/>
      <c r="SE66" s="41"/>
      <c r="SF66" s="41"/>
      <c r="SG66" s="41"/>
      <c r="SH66" s="41"/>
      <c r="SI66" s="41"/>
      <c r="SJ66" s="41"/>
      <c r="SK66" s="41"/>
      <c r="SL66" s="41"/>
      <c r="SM66" s="41"/>
      <c r="SN66" s="41"/>
      <c r="SO66" s="41"/>
      <c r="SP66" s="41"/>
      <c r="SQ66" s="41"/>
      <c r="SR66" s="41"/>
      <c r="SS66" s="41"/>
      <c r="ST66" s="41"/>
      <c r="SU66" s="41"/>
      <c r="SV66" s="41"/>
      <c r="SW66" s="41"/>
      <c r="SX66" s="41"/>
      <c r="SY66" s="41"/>
      <c r="SZ66" s="41"/>
      <c r="TA66" s="41"/>
      <c r="TB66" s="41"/>
      <c r="TC66" s="41"/>
      <c r="TD66" s="41"/>
      <c r="TE66" s="41"/>
      <c r="TF66" s="41"/>
      <c r="TG66" s="41"/>
      <c r="TH66" s="41"/>
      <c r="TI66" s="41"/>
      <c r="TJ66" s="41"/>
      <c r="TK66" s="41"/>
      <c r="TL66" s="41"/>
      <c r="TM66" s="41"/>
      <c r="TN66" s="41"/>
      <c r="TO66" s="41"/>
      <c r="TP66" s="41"/>
      <c r="TQ66" s="41"/>
      <c r="TR66" s="41"/>
      <c r="TS66" s="41"/>
      <c r="TT66" s="41"/>
      <c r="TU66" s="41"/>
      <c r="TV66" s="41"/>
      <c r="TW66" s="41"/>
      <c r="TX66" s="41"/>
      <c r="TY66" s="41"/>
      <c r="TZ66" s="41"/>
      <c r="UA66" s="41"/>
      <c r="UB66" s="41"/>
      <c r="UC66" s="41"/>
      <c r="UD66" s="41"/>
      <c r="UE66" s="41"/>
      <c r="UF66" s="41"/>
      <c r="UG66" s="41"/>
      <c r="UH66" s="41"/>
      <c r="UI66" s="41"/>
      <c r="UJ66" s="41"/>
      <c r="UK66" s="41"/>
      <c r="UL66" s="41"/>
      <c r="UM66" s="41"/>
      <c r="UN66" s="41"/>
      <c r="UO66" s="41"/>
      <c r="UP66" s="41"/>
      <c r="UQ66" s="41"/>
      <c r="UR66" s="41"/>
      <c r="US66" s="41"/>
      <c r="UT66" s="41"/>
      <c r="UU66" s="41"/>
      <c r="UV66" s="41"/>
      <c r="UW66" s="41"/>
      <c r="UX66" s="41"/>
      <c r="UY66" s="41"/>
      <c r="UZ66" s="41"/>
      <c r="VA66" s="41"/>
      <c r="VB66" s="41"/>
      <c r="VC66" s="41"/>
      <c r="VD66" s="41"/>
      <c r="VE66" s="41"/>
      <c r="VF66" s="41"/>
      <c r="VG66" s="41"/>
      <c r="VH66" s="41"/>
      <c r="VI66" s="41"/>
      <c r="VJ66" s="41"/>
      <c r="VK66" s="41"/>
      <c r="VL66" s="41"/>
      <c r="VM66" s="41"/>
      <c r="VN66" s="41"/>
      <c r="VO66" s="41"/>
      <c r="VP66" s="41"/>
      <c r="VQ66" s="41"/>
      <c r="VR66" s="41"/>
      <c r="VS66" s="41"/>
      <c r="VT66" s="41"/>
      <c r="VU66" s="41"/>
      <c r="VV66" s="41"/>
      <c r="VW66" s="41"/>
      <c r="VX66" s="41"/>
      <c r="VY66" s="41"/>
      <c r="VZ66" s="41"/>
      <c r="WA66" s="41"/>
      <c r="WB66" s="41"/>
      <c r="WC66" s="41"/>
      <c r="WD66" s="41"/>
      <c r="WE66" s="41"/>
      <c r="WF66" s="41"/>
      <c r="WG66" s="41"/>
      <c r="WH66" s="41"/>
      <c r="WI66" s="41"/>
      <c r="WJ66" s="41"/>
      <c r="WK66" s="41"/>
      <c r="WL66" s="41"/>
      <c r="WM66" s="41"/>
      <c r="WN66" s="41"/>
      <c r="WO66" s="41"/>
      <c r="WP66" s="41"/>
      <c r="WQ66" s="41"/>
      <c r="WR66" s="41"/>
      <c r="WS66" s="41"/>
      <c r="WT66" s="41"/>
      <c r="WU66" s="41"/>
      <c r="WV66" s="41"/>
      <c r="WW66" s="41"/>
      <c r="WX66" s="41"/>
      <c r="WY66" s="41"/>
      <c r="WZ66" s="41"/>
      <c r="XA66" s="41"/>
      <c r="XB66" s="41"/>
      <c r="XC66" s="41"/>
      <c r="XD66" s="41"/>
      <c r="XE66" s="41"/>
      <c r="XF66" s="41"/>
      <c r="XG66" s="41"/>
      <c r="XH66" s="41"/>
      <c r="XI66" s="41"/>
      <c r="XJ66" s="41"/>
      <c r="XK66" s="41"/>
      <c r="XL66" s="41"/>
      <c r="XM66" s="41"/>
      <c r="XN66" s="41"/>
      <c r="XO66" s="41"/>
      <c r="XP66" s="41"/>
      <c r="XQ66" s="41"/>
      <c r="XR66" s="41"/>
      <c r="XS66" s="41"/>
      <c r="XT66" s="41"/>
      <c r="XU66" s="41"/>
      <c r="XV66" s="41"/>
      <c r="XW66" s="41"/>
      <c r="XX66" s="41"/>
      <c r="XY66" s="41"/>
      <c r="XZ66" s="41"/>
      <c r="YA66" s="41"/>
      <c r="YB66" s="41"/>
      <c r="YC66" s="41"/>
      <c r="YD66" s="41"/>
      <c r="YE66" s="41"/>
      <c r="YF66" s="41"/>
      <c r="YG66" s="41"/>
      <c r="YH66" s="41"/>
      <c r="YI66" s="41"/>
      <c r="YJ66" s="41"/>
      <c r="YK66" s="41"/>
      <c r="YL66" s="41"/>
      <c r="YM66" s="41"/>
      <c r="YN66" s="41"/>
      <c r="YO66" s="41"/>
      <c r="YP66" s="41"/>
      <c r="YQ66" s="41"/>
      <c r="YR66" s="41"/>
      <c r="YS66" s="41"/>
      <c r="YT66" s="41"/>
      <c r="YU66" s="41"/>
      <c r="YV66" s="41"/>
      <c r="YW66" s="41"/>
      <c r="YX66" s="41"/>
      <c r="YY66" s="41"/>
      <c r="YZ66" s="41"/>
      <c r="ZA66" s="41"/>
      <c r="ZB66" s="41"/>
      <c r="ZC66" s="41"/>
      <c r="ZD66" s="41"/>
      <c r="ZE66" s="41"/>
      <c r="ZF66" s="41"/>
      <c r="ZG66" s="41"/>
      <c r="ZH66" s="41"/>
      <c r="ZI66" s="41"/>
      <c r="ZJ66" s="41"/>
      <c r="ZK66" s="41"/>
      <c r="ZL66" s="41"/>
      <c r="ZM66" s="41"/>
      <c r="ZN66" s="41"/>
      <c r="ZO66" s="41"/>
      <c r="ZP66" s="41"/>
      <c r="ZQ66" s="41"/>
      <c r="ZR66" s="41"/>
      <c r="ZS66" s="41"/>
      <c r="ZT66" s="41"/>
      <c r="ZU66" s="41"/>
      <c r="ZV66" s="41"/>
      <c r="ZW66" s="41"/>
      <c r="ZX66" s="41"/>
      <c r="ZY66" s="41"/>
      <c r="ZZ66" s="41"/>
      <c r="AAA66" s="41"/>
      <c r="AAB66" s="41"/>
      <c r="AAC66" s="41"/>
    </row>
    <row r="67" spans="1:705" s="42" customFormat="1" ht="42" hidden="1" x14ac:dyDescent="0.3">
      <c r="A67" s="26">
        <v>63</v>
      </c>
      <c r="B67" s="137">
        <v>239647</v>
      </c>
      <c r="C67" s="138">
        <v>63</v>
      </c>
      <c r="D67" s="139">
        <v>45915</v>
      </c>
      <c r="E67" s="139">
        <f t="shared" si="8"/>
        <v>45914</v>
      </c>
      <c r="F67" s="139">
        <f t="shared" si="5"/>
        <v>45925</v>
      </c>
      <c r="G67" s="139">
        <v>45925</v>
      </c>
      <c r="H67" s="139">
        <v>45931</v>
      </c>
      <c r="I67" s="139" t="s">
        <v>75</v>
      </c>
      <c r="J67" s="140" t="s">
        <v>214</v>
      </c>
      <c r="K67" s="141">
        <f t="shared" si="9"/>
        <v>6</v>
      </c>
      <c r="L67" s="141">
        <v>1143515</v>
      </c>
      <c r="M67" s="140" t="s">
        <v>15</v>
      </c>
      <c r="N67" s="142">
        <v>803630</v>
      </c>
      <c r="O67" s="140" t="s">
        <v>246</v>
      </c>
      <c r="P67" s="143">
        <v>45925</v>
      </c>
      <c r="Q67" s="143">
        <v>45940</v>
      </c>
      <c r="R67" s="137" t="s">
        <v>211</v>
      </c>
      <c r="S67" s="144" t="s">
        <v>215</v>
      </c>
      <c r="T67" s="145">
        <v>1</v>
      </c>
      <c r="U67" s="137" t="s">
        <v>82</v>
      </c>
      <c r="V67" s="146">
        <v>4</v>
      </c>
      <c r="W67" s="146">
        <v>4</v>
      </c>
      <c r="X67" s="155">
        <v>0</v>
      </c>
      <c r="Y67" s="154">
        <v>0</v>
      </c>
      <c r="Z67" s="154">
        <v>0</v>
      </c>
      <c r="AA67" s="154">
        <v>0</v>
      </c>
      <c r="AB67" s="146">
        <v>0</v>
      </c>
      <c r="AC67" s="146"/>
      <c r="AD67" s="154">
        <v>0</v>
      </c>
      <c r="AE67" s="154">
        <v>0</v>
      </c>
      <c r="AF67" s="154">
        <v>0</v>
      </c>
      <c r="AG67" s="154">
        <v>0</v>
      </c>
      <c r="AH67" s="146">
        <v>1</v>
      </c>
      <c r="AI67" s="146">
        <v>1</v>
      </c>
      <c r="AJ67" s="146">
        <v>0</v>
      </c>
      <c r="AK67" s="146">
        <v>0</v>
      </c>
      <c r="AL67" s="146">
        <v>0</v>
      </c>
      <c r="AM67" s="146">
        <v>0</v>
      </c>
      <c r="AN67" s="146">
        <v>1</v>
      </c>
      <c r="AO67" s="146">
        <v>1</v>
      </c>
      <c r="AP67" s="146">
        <v>1</v>
      </c>
      <c r="AQ67" s="146">
        <v>1</v>
      </c>
      <c r="AR67" s="146">
        <v>0</v>
      </c>
      <c r="AS67" s="146">
        <v>0</v>
      </c>
      <c r="AT67" s="146">
        <v>1</v>
      </c>
      <c r="AU67" s="146">
        <v>1</v>
      </c>
      <c r="AV67" s="154">
        <v>0</v>
      </c>
      <c r="AW67" s="154">
        <v>0</v>
      </c>
      <c r="AX67" s="146">
        <f t="shared" si="6"/>
        <v>1450</v>
      </c>
      <c r="AY67" s="146">
        <f t="shared" si="7"/>
        <v>1450</v>
      </c>
      <c r="AZ67" s="140" t="s">
        <v>562</v>
      </c>
      <c r="BA67" s="140" t="s">
        <v>562</v>
      </c>
      <c r="BB67" s="140">
        <v>2</v>
      </c>
      <c r="BC67" s="148">
        <v>63</v>
      </c>
      <c r="BD67" s="149"/>
      <c r="BE67" s="145"/>
      <c r="BF67" s="150"/>
      <c r="BG67" s="152">
        <v>45901</v>
      </c>
      <c r="BH67" s="153" t="s">
        <v>535</v>
      </c>
      <c r="BI67" s="153" t="s">
        <v>562</v>
      </c>
      <c r="CC67" s="41"/>
      <c r="CD67" s="41"/>
      <c r="CE67" s="41"/>
      <c r="CF67" s="41"/>
      <c r="CG67" s="41"/>
      <c r="CH67" s="41"/>
      <c r="CI67" s="41"/>
      <c r="CJ67" s="41"/>
      <c r="CK67" s="41"/>
      <c r="CL67" s="41"/>
      <c r="CM67" s="41"/>
      <c r="CN67" s="41"/>
      <c r="CO67" s="41"/>
      <c r="CP67" s="41"/>
      <c r="CQ67" s="41"/>
      <c r="CR67" s="41"/>
      <c r="CS67" s="41"/>
      <c r="CT67" s="41"/>
      <c r="CU67" s="41"/>
      <c r="CV67" s="41"/>
      <c r="CW67" s="41"/>
      <c r="CX67" s="41"/>
      <c r="CY67" s="41"/>
      <c r="CZ67" s="41"/>
      <c r="DA67" s="41"/>
      <c r="DB67" s="41"/>
      <c r="DC67" s="41"/>
      <c r="DD67" s="41"/>
      <c r="DE67" s="41"/>
      <c r="DF67" s="41"/>
      <c r="DG67" s="41"/>
      <c r="DH67" s="41"/>
      <c r="DI67" s="41"/>
      <c r="DJ67" s="41"/>
      <c r="DK67" s="41"/>
      <c r="DL67" s="41"/>
      <c r="DM67" s="41"/>
      <c r="DN67" s="41"/>
      <c r="DO67" s="41"/>
      <c r="DP67" s="41"/>
      <c r="DQ67" s="41"/>
      <c r="DR67" s="41"/>
      <c r="DS67" s="41"/>
      <c r="DT67" s="41"/>
      <c r="DU67" s="41"/>
      <c r="DV67" s="41"/>
      <c r="DW67" s="41"/>
      <c r="DX67" s="41"/>
      <c r="DY67" s="41"/>
      <c r="DZ67" s="41"/>
      <c r="EA67" s="41"/>
      <c r="EB67" s="41"/>
      <c r="EC67" s="41"/>
      <c r="ED67" s="41"/>
      <c r="EE67" s="41"/>
      <c r="EF67" s="41"/>
      <c r="EG67" s="41"/>
      <c r="EH67" s="41"/>
      <c r="EI67" s="41"/>
      <c r="EJ67" s="41"/>
      <c r="EK67" s="41"/>
      <c r="EL67" s="41"/>
      <c r="EM67" s="41"/>
      <c r="EN67" s="41"/>
      <c r="EO67" s="41"/>
      <c r="EP67" s="41"/>
      <c r="EQ67" s="41"/>
      <c r="ER67" s="41"/>
      <c r="ES67" s="41"/>
      <c r="ET67" s="41"/>
      <c r="EU67" s="41"/>
      <c r="EV67" s="41"/>
      <c r="EW67" s="41"/>
      <c r="EX67" s="41"/>
      <c r="EY67" s="41"/>
      <c r="EZ67" s="41"/>
      <c r="FA67" s="41"/>
      <c r="FB67" s="41"/>
      <c r="FC67" s="41"/>
      <c r="FD67" s="41"/>
      <c r="FE67" s="41"/>
      <c r="FF67" s="41"/>
      <c r="FG67" s="41"/>
      <c r="FH67" s="41"/>
      <c r="FI67" s="41"/>
      <c r="FJ67" s="41"/>
      <c r="FK67" s="41"/>
      <c r="FL67" s="41"/>
      <c r="FM67" s="41"/>
      <c r="FN67" s="41"/>
      <c r="FO67" s="41"/>
      <c r="FP67" s="41"/>
      <c r="FQ67" s="41"/>
      <c r="FR67" s="41"/>
      <c r="FS67" s="41"/>
      <c r="FT67" s="41"/>
      <c r="FU67" s="41"/>
      <c r="FV67" s="41"/>
      <c r="FW67" s="41"/>
      <c r="FX67" s="41"/>
      <c r="FY67" s="41"/>
      <c r="FZ67" s="41"/>
      <c r="GA67" s="41"/>
      <c r="GB67" s="41"/>
      <c r="GC67" s="41"/>
      <c r="GD67" s="41"/>
      <c r="GE67" s="41"/>
      <c r="GF67" s="41"/>
      <c r="GG67" s="41"/>
      <c r="GH67" s="41"/>
      <c r="GI67" s="41"/>
      <c r="GJ67" s="41"/>
      <c r="GK67" s="41"/>
      <c r="GL67" s="41"/>
      <c r="GM67" s="41"/>
      <c r="GN67" s="41"/>
      <c r="GO67" s="41"/>
      <c r="GP67" s="41"/>
      <c r="GQ67" s="41"/>
      <c r="GR67" s="41"/>
      <c r="GS67" s="41"/>
      <c r="GT67" s="41"/>
      <c r="GU67" s="41"/>
      <c r="GV67" s="41"/>
      <c r="GW67" s="41"/>
      <c r="GX67" s="41"/>
      <c r="GY67" s="41"/>
      <c r="GZ67" s="41"/>
      <c r="HA67" s="41"/>
      <c r="HB67" s="41"/>
      <c r="HC67" s="41"/>
      <c r="HD67" s="41"/>
      <c r="HE67" s="41"/>
      <c r="HF67" s="41"/>
      <c r="HG67" s="41"/>
      <c r="HH67" s="41"/>
      <c r="HI67" s="41"/>
      <c r="HJ67" s="41"/>
      <c r="HK67" s="41"/>
      <c r="HL67" s="41"/>
      <c r="HM67" s="41"/>
      <c r="HN67" s="41"/>
      <c r="HO67" s="41"/>
      <c r="HP67" s="41"/>
      <c r="HQ67" s="41"/>
      <c r="HR67" s="41"/>
      <c r="HS67" s="41"/>
      <c r="HT67" s="41"/>
      <c r="HU67" s="41"/>
      <c r="HV67" s="41"/>
      <c r="HW67" s="41"/>
      <c r="HX67" s="41"/>
      <c r="HY67" s="41"/>
      <c r="HZ67" s="41"/>
      <c r="IA67" s="41"/>
      <c r="IB67" s="41"/>
      <c r="IC67" s="41"/>
      <c r="ID67" s="41"/>
      <c r="IE67" s="41"/>
      <c r="IF67" s="41"/>
      <c r="IG67" s="41"/>
      <c r="IH67" s="41"/>
      <c r="II67" s="41"/>
      <c r="IJ67" s="41"/>
      <c r="IK67" s="41"/>
      <c r="IL67" s="41"/>
      <c r="IM67" s="41"/>
      <c r="IN67" s="41"/>
      <c r="IO67" s="41"/>
      <c r="IP67" s="41"/>
      <c r="IQ67" s="41"/>
      <c r="IR67" s="41"/>
      <c r="IS67" s="41"/>
      <c r="IT67" s="41"/>
      <c r="IU67" s="41"/>
      <c r="IV67" s="41"/>
      <c r="IW67" s="41"/>
      <c r="IX67" s="41"/>
      <c r="IY67" s="41"/>
      <c r="IZ67" s="41"/>
      <c r="JA67" s="41"/>
      <c r="JB67" s="41"/>
      <c r="JC67" s="41"/>
      <c r="JD67" s="41"/>
      <c r="JE67" s="41"/>
      <c r="JF67" s="41"/>
      <c r="JG67" s="41"/>
      <c r="JH67" s="41"/>
      <c r="JI67" s="41"/>
      <c r="JJ67" s="41"/>
      <c r="JK67" s="41"/>
      <c r="JL67" s="41"/>
      <c r="JM67" s="41"/>
      <c r="JN67" s="41"/>
      <c r="JO67" s="41"/>
      <c r="JP67" s="41"/>
      <c r="JQ67" s="41"/>
      <c r="JR67" s="41"/>
      <c r="JS67" s="41"/>
      <c r="JT67" s="41"/>
      <c r="JU67" s="41"/>
      <c r="JV67" s="41"/>
      <c r="JW67" s="41"/>
      <c r="JX67" s="41"/>
      <c r="JY67" s="41"/>
      <c r="JZ67" s="41"/>
      <c r="KA67" s="41"/>
      <c r="KB67" s="41"/>
      <c r="KC67" s="41"/>
      <c r="KD67" s="41"/>
      <c r="KE67" s="41"/>
      <c r="KF67" s="41"/>
      <c r="KG67" s="41"/>
      <c r="KH67" s="41"/>
      <c r="KI67" s="41"/>
      <c r="KJ67" s="41"/>
      <c r="KK67" s="41"/>
      <c r="KL67" s="41"/>
      <c r="KM67" s="41"/>
      <c r="KN67" s="41"/>
      <c r="KO67" s="41"/>
      <c r="KP67" s="41"/>
      <c r="KQ67" s="41"/>
      <c r="KR67" s="41"/>
      <c r="KS67" s="41"/>
      <c r="KT67" s="41"/>
      <c r="KU67" s="41"/>
      <c r="KV67" s="41"/>
      <c r="KW67" s="41"/>
      <c r="KX67" s="41"/>
      <c r="KY67" s="41"/>
      <c r="KZ67" s="41"/>
      <c r="LA67" s="41"/>
      <c r="LB67" s="41"/>
      <c r="LC67" s="41"/>
      <c r="LD67" s="41"/>
      <c r="LE67" s="41"/>
      <c r="LF67" s="41"/>
      <c r="LG67" s="41"/>
      <c r="LH67" s="41"/>
      <c r="LI67" s="41"/>
      <c r="LJ67" s="41"/>
      <c r="LK67" s="41"/>
      <c r="LL67" s="41"/>
      <c r="LM67" s="41"/>
      <c r="LN67" s="41"/>
      <c r="LO67" s="41"/>
      <c r="LP67" s="41"/>
      <c r="LQ67" s="41"/>
      <c r="LR67" s="41"/>
      <c r="LS67" s="41"/>
      <c r="LT67" s="41"/>
      <c r="LU67" s="41"/>
      <c r="LV67" s="41"/>
      <c r="LW67" s="41"/>
      <c r="LX67" s="41"/>
      <c r="LY67" s="41"/>
      <c r="LZ67" s="41"/>
      <c r="MA67" s="41"/>
      <c r="MB67" s="41"/>
      <c r="MC67" s="41"/>
      <c r="MD67" s="41"/>
      <c r="ME67" s="41"/>
      <c r="MF67" s="41"/>
      <c r="MG67" s="41"/>
      <c r="MH67" s="41"/>
      <c r="MI67" s="41"/>
      <c r="MJ67" s="41"/>
      <c r="MK67" s="41"/>
      <c r="ML67" s="41"/>
      <c r="MM67" s="41"/>
      <c r="MN67" s="41"/>
      <c r="MO67" s="41"/>
      <c r="MP67" s="41"/>
      <c r="MQ67" s="41"/>
      <c r="MR67" s="41"/>
      <c r="MS67" s="41"/>
      <c r="MT67" s="41"/>
      <c r="MU67" s="41"/>
      <c r="MV67" s="41"/>
      <c r="MW67" s="41"/>
      <c r="MX67" s="41"/>
      <c r="MY67" s="41"/>
      <c r="MZ67" s="41"/>
      <c r="NA67" s="41"/>
      <c r="NB67" s="41"/>
      <c r="NC67" s="41"/>
      <c r="ND67" s="41"/>
      <c r="NE67" s="41"/>
      <c r="NF67" s="41"/>
      <c r="NG67" s="41"/>
      <c r="NH67" s="41"/>
      <c r="NI67" s="41"/>
      <c r="NJ67" s="41"/>
      <c r="NK67" s="41"/>
      <c r="NL67" s="41"/>
      <c r="NM67" s="41"/>
      <c r="NN67" s="41"/>
      <c r="NO67" s="41"/>
      <c r="NP67" s="41"/>
      <c r="NQ67" s="41"/>
      <c r="NR67" s="41"/>
      <c r="NS67" s="41"/>
      <c r="NT67" s="41"/>
      <c r="NU67" s="41"/>
      <c r="NV67" s="41"/>
      <c r="NW67" s="41"/>
      <c r="NX67" s="41"/>
      <c r="NY67" s="41"/>
      <c r="NZ67" s="41"/>
      <c r="OA67" s="41"/>
      <c r="OB67" s="41"/>
      <c r="OC67" s="41"/>
      <c r="OD67" s="41"/>
      <c r="OE67" s="41"/>
      <c r="OF67" s="41"/>
      <c r="OG67" s="41"/>
      <c r="OH67" s="41"/>
      <c r="OI67" s="41"/>
      <c r="OJ67" s="41"/>
      <c r="OK67" s="41"/>
      <c r="OL67" s="41"/>
      <c r="OM67" s="41"/>
      <c r="ON67" s="41"/>
      <c r="OO67" s="41"/>
      <c r="OP67" s="41"/>
      <c r="OQ67" s="41"/>
      <c r="OR67" s="41"/>
      <c r="OS67" s="41"/>
      <c r="OT67" s="41"/>
      <c r="OU67" s="41"/>
      <c r="OV67" s="41"/>
      <c r="OW67" s="41"/>
      <c r="OX67" s="41"/>
      <c r="OY67" s="41"/>
      <c r="OZ67" s="41"/>
      <c r="PA67" s="41"/>
      <c r="PB67" s="41"/>
      <c r="PC67" s="41"/>
      <c r="PD67" s="41"/>
      <c r="PE67" s="41"/>
      <c r="PF67" s="41"/>
      <c r="PG67" s="41"/>
      <c r="PH67" s="41"/>
      <c r="PI67" s="41"/>
      <c r="PJ67" s="41"/>
      <c r="PK67" s="41"/>
      <c r="PL67" s="41"/>
      <c r="PM67" s="41"/>
      <c r="PN67" s="41"/>
      <c r="PO67" s="41"/>
      <c r="PP67" s="41"/>
      <c r="PQ67" s="41"/>
      <c r="PR67" s="41"/>
      <c r="PS67" s="41"/>
      <c r="PT67" s="41"/>
      <c r="PU67" s="41"/>
      <c r="PV67" s="41"/>
      <c r="PW67" s="41"/>
      <c r="PX67" s="41"/>
      <c r="PY67" s="41"/>
      <c r="PZ67" s="41"/>
      <c r="QA67" s="41"/>
      <c r="QB67" s="41"/>
      <c r="QC67" s="41"/>
      <c r="QD67" s="41"/>
      <c r="QE67" s="41"/>
      <c r="QF67" s="41"/>
      <c r="QG67" s="41"/>
      <c r="QH67" s="41"/>
      <c r="QI67" s="41"/>
      <c r="QJ67" s="41"/>
      <c r="QK67" s="41"/>
      <c r="QL67" s="41"/>
      <c r="QM67" s="41"/>
      <c r="QN67" s="41"/>
      <c r="QO67" s="41"/>
      <c r="QP67" s="41"/>
      <c r="QQ67" s="41"/>
      <c r="QR67" s="41"/>
      <c r="QS67" s="41"/>
      <c r="QT67" s="41"/>
      <c r="QU67" s="41"/>
      <c r="QV67" s="41"/>
      <c r="QW67" s="41"/>
      <c r="QX67" s="41"/>
      <c r="QY67" s="41"/>
      <c r="QZ67" s="41"/>
      <c r="RA67" s="41"/>
      <c r="RB67" s="41"/>
      <c r="RC67" s="41"/>
      <c r="RD67" s="41"/>
      <c r="RE67" s="41"/>
      <c r="RF67" s="41"/>
      <c r="RG67" s="41"/>
      <c r="RH67" s="41"/>
      <c r="RI67" s="41"/>
      <c r="RJ67" s="41"/>
      <c r="RK67" s="41"/>
      <c r="RL67" s="41"/>
      <c r="RM67" s="41"/>
      <c r="RN67" s="41"/>
      <c r="RO67" s="41"/>
      <c r="RP67" s="41"/>
      <c r="RQ67" s="41"/>
      <c r="RR67" s="41"/>
      <c r="RS67" s="41"/>
      <c r="RT67" s="41"/>
      <c r="RU67" s="41"/>
      <c r="RV67" s="41"/>
      <c r="RW67" s="41"/>
      <c r="RX67" s="41"/>
      <c r="RY67" s="41"/>
      <c r="RZ67" s="41"/>
      <c r="SA67" s="41"/>
      <c r="SB67" s="41"/>
      <c r="SC67" s="41"/>
      <c r="SD67" s="41"/>
      <c r="SE67" s="41"/>
      <c r="SF67" s="41"/>
      <c r="SG67" s="41"/>
      <c r="SH67" s="41"/>
      <c r="SI67" s="41"/>
      <c r="SJ67" s="41"/>
      <c r="SK67" s="41"/>
      <c r="SL67" s="41"/>
      <c r="SM67" s="41"/>
      <c r="SN67" s="41"/>
      <c r="SO67" s="41"/>
      <c r="SP67" s="41"/>
      <c r="SQ67" s="41"/>
      <c r="SR67" s="41"/>
      <c r="SS67" s="41"/>
      <c r="ST67" s="41"/>
      <c r="SU67" s="41"/>
      <c r="SV67" s="41"/>
      <c r="SW67" s="41"/>
      <c r="SX67" s="41"/>
      <c r="SY67" s="41"/>
      <c r="SZ67" s="41"/>
      <c r="TA67" s="41"/>
      <c r="TB67" s="41"/>
      <c r="TC67" s="41"/>
      <c r="TD67" s="41"/>
      <c r="TE67" s="41"/>
      <c r="TF67" s="41"/>
      <c r="TG67" s="41"/>
      <c r="TH67" s="41"/>
      <c r="TI67" s="41"/>
      <c r="TJ67" s="41"/>
      <c r="TK67" s="41"/>
      <c r="TL67" s="41"/>
      <c r="TM67" s="41"/>
      <c r="TN67" s="41"/>
      <c r="TO67" s="41"/>
      <c r="TP67" s="41"/>
      <c r="TQ67" s="41"/>
      <c r="TR67" s="41"/>
      <c r="TS67" s="41"/>
      <c r="TT67" s="41"/>
      <c r="TU67" s="41"/>
      <c r="TV67" s="41"/>
      <c r="TW67" s="41"/>
      <c r="TX67" s="41"/>
      <c r="TY67" s="41"/>
      <c r="TZ67" s="41"/>
      <c r="UA67" s="41"/>
      <c r="UB67" s="41"/>
      <c r="UC67" s="41"/>
      <c r="UD67" s="41"/>
      <c r="UE67" s="41"/>
      <c r="UF67" s="41"/>
      <c r="UG67" s="41"/>
      <c r="UH67" s="41"/>
      <c r="UI67" s="41"/>
      <c r="UJ67" s="41"/>
      <c r="UK67" s="41"/>
      <c r="UL67" s="41"/>
      <c r="UM67" s="41"/>
      <c r="UN67" s="41"/>
      <c r="UO67" s="41"/>
      <c r="UP67" s="41"/>
      <c r="UQ67" s="41"/>
      <c r="UR67" s="41"/>
      <c r="US67" s="41"/>
      <c r="UT67" s="41"/>
      <c r="UU67" s="41"/>
      <c r="UV67" s="41"/>
      <c r="UW67" s="41"/>
      <c r="UX67" s="41"/>
      <c r="UY67" s="41"/>
      <c r="UZ67" s="41"/>
      <c r="VA67" s="41"/>
      <c r="VB67" s="41"/>
      <c r="VC67" s="41"/>
      <c r="VD67" s="41"/>
      <c r="VE67" s="41"/>
      <c r="VF67" s="41"/>
      <c r="VG67" s="41"/>
      <c r="VH67" s="41"/>
      <c r="VI67" s="41"/>
      <c r="VJ67" s="41"/>
      <c r="VK67" s="41"/>
      <c r="VL67" s="41"/>
      <c r="VM67" s="41"/>
      <c r="VN67" s="41"/>
      <c r="VO67" s="41"/>
      <c r="VP67" s="41"/>
      <c r="VQ67" s="41"/>
      <c r="VR67" s="41"/>
      <c r="VS67" s="41"/>
      <c r="VT67" s="41"/>
      <c r="VU67" s="41"/>
      <c r="VV67" s="41"/>
      <c r="VW67" s="41"/>
      <c r="VX67" s="41"/>
      <c r="VY67" s="41"/>
      <c r="VZ67" s="41"/>
      <c r="WA67" s="41"/>
      <c r="WB67" s="41"/>
      <c r="WC67" s="41"/>
      <c r="WD67" s="41"/>
      <c r="WE67" s="41"/>
      <c r="WF67" s="41"/>
      <c r="WG67" s="41"/>
      <c r="WH67" s="41"/>
      <c r="WI67" s="41"/>
      <c r="WJ67" s="41"/>
      <c r="WK67" s="41"/>
      <c r="WL67" s="41"/>
      <c r="WM67" s="41"/>
      <c r="WN67" s="41"/>
      <c r="WO67" s="41"/>
      <c r="WP67" s="41"/>
      <c r="WQ67" s="41"/>
      <c r="WR67" s="41"/>
      <c r="WS67" s="41"/>
      <c r="WT67" s="41"/>
      <c r="WU67" s="41"/>
      <c r="WV67" s="41"/>
      <c r="WW67" s="41"/>
      <c r="WX67" s="41"/>
      <c r="WY67" s="41"/>
      <c r="WZ67" s="41"/>
      <c r="XA67" s="41"/>
      <c r="XB67" s="41"/>
      <c r="XC67" s="41"/>
      <c r="XD67" s="41"/>
      <c r="XE67" s="41"/>
      <c r="XF67" s="41"/>
      <c r="XG67" s="41"/>
      <c r="XH67" s="41"/>
      <c r="XI67" s="41"/>
      <c r="XJ67" s="41"/>
      <c r="XK67" s="41"/>
      <c r="XL67" s="41"/>
      <c r="XM67" s="41"/>
      <c r="XN67" s="41"/>
      <c r="XO67" s="41"/>
      <c r="XP67" s="41"/>
      <c r="XQ67" s="41"/>
      <c r="XR67" s="41"/>
      <c r="XS67" s="41"/>
      <c r="XT67" s="41"/>
      <c r="XU67" s="41"/>
      <c r="XV67" s="41"/>
      <c r="XW67" s="41"/>
      <c r="XX67" s="41"/>
      <c r="XY67" s="41"/>
      <c r="XZ67" s="41"/>
      <c r="YA67" s="41"/>
      <c r="YB67" s="41"/>
      <c r="YC67" s="41"/>
      <c r="YD67" s="41"/>
      <c r="YE67" s="41"/>
      <c r="YF67" s="41"/>
      <c r="YG67" s="41"/>
      <c r="YH67" s="41"/>
      <c r="YI67" s="41"/>
      <c r="YJ67" s="41"/>
      <c r="YK67" s="41"/>
      <c r="YL67" s="41"/>
      <c r="YM67" s="41"/>
      <c r="YN67" s="41"/>
      <c r="YO67" s="41"/>
      <c r="YP67" s="41"/>
      <c r="YQ67" s="41"/>
      <c r="YR67" s="41"/>
      <c r="YS67" s="41"/>
      <c r="YT67" s="41"/>
      <c r="YU67" s="41"/>
      <c r="YV67" s="41"/>
      <c r="YW67" s="41"/>
      <c r="YX67" s="41"/>
      <c r="YY67" s="41"/>
      <c r="YZ67" s="41"/>
      <c r="ZA67" s="41"/>
      <c r="ZB67" s="41"/>
      <c r="ZC67" s="41"/>
      <c r="ZD67" s="41"/>
      <c r="ZE67" s="41"/>
      <c r="ZF67" s="41"/>
      <c r="ZG67" s="41"/>
      <c r="ZH67" s="41"/>
      <c r="ZI67" s="41"/>
      <c r="ZJ67" s="41"/>
      <c r="ZK67" s="41"/>
      <c r="ZL67" s="41"/>
      <c r="ZM67" s="41"/>
      <c r="ZN67" s="41"/>
      <c r="ZO67" s="41"/>
      <c r="ZP67" s="41"/>
      <c r="ZQ67" s="41"/>
      <c r="ZR67" s="41"/>
      <c r="ZS67" s="41"/>
      <c r="ZT67" s="41"/>
      <c r="ZU67" s="41"/>
      <c r="ZV67" s="41"/>
      <c r="ZW67" s="41"/>
      <c r="ZX67" s="41"/>
      <c r="ZY67" s="41"/>
      <c r="ZZ67" s="41"/>
      <c r="AAA67" s="41"/>
      <c r="AAB67" s="41"/>
      <c r="AAC67" s="41"/>
    </row>
    <row r="68" spans="1:705" s="42" customFormat="1" ht="42" hidden="1" x14ac:dyDescent="0.3">
      <c r="A68" s="26">
        <v>64</v>
      </c>
      <c r="B68" s="137">
        <v>239648</v>
      </c>
      <c r="C68" s="138">
        <v>64</v>
      </c>
      <c r="D68" s="139">
        <v>45915</v>
      </c>
      <c r="E68" s="139">
        <f t="shared" si="8"/>
        <v>45914</v>
      </c>
      <c r="F68" s="139">
        <f t="shared" si="5"/>
        <v>45925</v>
      </c>
      <c r="G68" s="139">
        <v>45925</v>
      </c>
      <c r="H68" s="139">
        <v>45922</v>
      </c>
      <c r="I68" s="139" t="s">
        <v>75</v>
      </c>
      <c r="J68" s="140" t="s">
        <v>216</v>
      </c>
      <c r="K68" s="141">
        <f t="shared" si="9"/>
        <v>-3</v>
      </c>
      <c r="L68" s="142">
        <v>1143523</v>
      </c>
      <c r="M68" s="140" t="s">
        <v>15</v>
      </c>
      <c r="N68" s="142">
        <v>803629</v>
      </c>
      <c r="O68" s="140" t="s">
        <v>246</v>
      </c>
      <c r="P68" s="143">
        <v>45922</v>
      </c>
      <c r="Q68" s="143">
        <v>45937</v>
      </c>
      <c r="R68" s="137" t="s">
        <v>211</v>
      </c>
      <c r="S68" s="144" t="s">
        <v>217</v>
      </c>
      <c r="T68" s="145">
        <v>1</v>
      </c>
      <c r="U68" s="137" t="s">
        <v>98</v>
      </c>
      <c r="V68" s="146">
        <v>5</v>
      </c>
      <c r="W68" s="146">
        <v>5</v>
      </c>
      <c r="X68" s="147">
        <v>0</v>
      </c>
      <c r="Y68" s="146">
        <v>0</v>
      </c>
      <c r="Z68" s="146">
        <v>0</v>
      </c>
      <c r="AA68" s="146">
        <v>0</v>
      </c>
      <c r="AB68" s="146">
        <v>5</v>
      </c>
      <c r="AC68" s="146">
        <v>5</v>
      </c>
      <c r="AD68" s="146">
        <v>0</v>
      </c>
      <c r="AE68" s="146">
        <v>0</v>
      </c>
      <c r="AF68" s="146">
        <v>0</v>
      </c>
      <c r="AG68" s="146">
        <v>0</v>
      </c>
      <c r="AH68" s="146">
        <v>1</v>
      </c>
      <c r="AI68" s="146">
        <v>1</v>
      </c>
      <c r="AJ68" s="146">
        <v>0</v>
      </c>
      <c r="AK68" s="146">
        <v>0</v>
      </c>
      <c r="AL68" s="146">
        <v>0</v>
      </c>
      <c r="AM68" s="146">
        <v>0</v>
      </c>
      <c r="AN68" s="146">
        <v>0</v>
      </c>
      <c r="AO68" s="146">
        <v>0</v>
      </c>
      <c r="AP68" s="146">
        <v>1</v>
      </c>
      <c r="AQ68" s="146">
        <v>1</v>
      </c>
      <c r="AR68" s="146">
        <v>0</v>
      </c>
      <c r="AS68" s="146">
        <v>0</v>
      </c>
      <c r="AT68" s="146">
        <v>1</v>
      </c>
      <c r="AU68" s="146">
        <v>1</v>
      </c>
      <c r="AV68" s="146">
        <v>0</v>
      </c>
      <c r="AW68" s="146">
        <v>0</v>
      </c>
      <c r="AX68" s="146">
        <f t="shared" si="6"/>
        <v>1735</v>
      </c>
      <c r="AY68" s="146">
        <f t="shared" si="7"/>
        <v>1735</v>
      </c>
      <c r="AZ68" s="140" t="s">
        <v>562</v>
      </c>
      <c r="BA68" s="140" t="s">
        <v>562</v>
      </c>
      <c r="BB68" s="140">
        <v>1</v>
      </c>
      <c r="BC68" s="148">
        <v>64</v>
      </c>
      <c r="BD68" s="149"/>
      <c r="BE68" s="145"/>
      <c r="BF68" s="150"/>
      <c r="BG68" s="152">
        <v>45901</v>
      </c>
      <c r="BH68" s="153" t="s">
        <v>535</v>
      </c>
      <c r="BI68" s="137" t="s">
        <v>562</v>
      </c>
      <c r="CC68" s="41"/>
      <c r="CD68" s="41"/>
      <c r="CE68" s="41"/>
      <c r="CF68" s="41"/>
      <c r="CG68" s="41"/>
      <c r="CH68" s="41"/>
      <c r="CI68" s="41"/>
      <c r="CJ68" s="41"/>
      <c r="CK68" s="41"/>
      <c r="CL68" s="41"/>
      <c r="CM68" s="41"/>
      <c r="CN68" s="41"/>
      <c r="CO68" s="41"/>
      <c r="CP68" s="41"/>
      <c r="CQ68" s="41"/>
      <c r="CR68" s="41"/>
      <c r="CS68" s="41"/>
      <c r="CT68" s="41"/>
      <c r="CU68" s="41"/>
      <c r="CV68" s="41"/>
      <c r="CW68" s="41"/>
      <c r="CX68" s="41"/>
      <c r="CY68" s="41"/>
      <c r="CZ68" s="41"/>
      <c r="DA68" s="41"/>
      <c r="DB68" s="41"/>
      <c r="DC68" s="41"/>
      <c r="DD68" s="41"/>
      <c r="DE68" s="41"/>
      <c r="DF68" s="41"/>
      <c r="DG68" s="41"/>
      <c r="DH68" s="41"/>
      <c r="DI68" s="41"/>
      <c r="DJ68" s="41"/>
      <c r="DK68" s="41"/>
      <c r="DL68" s="41"/>
      <c r="DM68" s="41"/>
      <c r="DN68" s="41"/>
      <c r="DO68" s="41"/>
      <c r="DP68" s="41"/>
      <c r="DQ68" s="41"/>
      <c r="DR68" s="41"/>
      <c r="DS68" s="41"/>
      <c r="DT68" s="41"/>
      <c r="DU68" s="41"/>
      <c r="DV68" s="41"/>
      <c r="DW68" s="41"/>
      <c r="DX68" s="41"/>
      <c r="DY68" s="41"/>
      <c r="DZ68" s="41"/>
      <c r="EA68" s="41"/>
      <c r="EB68" s="41"/>
      <c r="EC68" s="41"/>
      <c r="ED68" s="41"/>
      <c r="EE68" s="41"/>
      <c r="EF68" s="41"/>
      <c r="EG68" s="41"/>
      <c r="EH68" s="41"/>
      <c r="EI68" s="41"/>
      <c r="EJ68" s="41"/>
      <c r="EK68" s="41"/>
      <c r="EL68" s="41"/>
      <c r="EM68" s="41"/>
      <c r="EN68" s="41"/>
      <c r="EO68" s="41"/>
      <c r="EP68" s="41"/>
      <c r="EQ68" s="41"/>
      <c r="ER68" s="41"/>
      <c r="ES68" s="41"/>
      <c r="ET68" s="41"/>
      <c r="EU68" s="41"/>
      <c r="EV68" s="41"/>
      <c r="EW68" s="41"/>
      <c r="EX68" s="41"/>
      <c r="EY68" s="41"/>
      <c r="EZ68" s="41"/>
      <c r="FA68" s="41"/>
      <c r="FB68" s="41"/>
      <c r="FC68" s="41"/>
      <c r="FD68" s="41"/>
      <c r="FE68" s="41"/>
      <c r="FF68" s="41"/>
      <c r="FG68" s="41"/>
      <c r="FH68" s="41"/>
      <c r="FI68" s="41"/>
      <c r="FJ68" s="41"/>
      <c r="FK68" s="41"/>
      <c r="FL68" s="41"/>
      <c r="FM68" s="41"/>
      <c r="FN68" s="41"/>
      <c r="FO68" s="41"/>
      <c r="FP68" s="41"/>
      <c r="FQ68" s="41"/>
      <c r="FR68" s="41"/>
      <c r="FS68" s="41"/>
      <c r="FT68" s="41"/>
      <c r="FU68" s="41"/>
      <c r="FV68" s="41"/>
      <c r="FW68" s="41"/>
      <c r="FX68" s="41"/>
      <c r="FY68" s="41"/>
      <c r="FZ68" s="41"/>
      <c r="GA68" s="41"/>
      <c r="GB68" s="41"/>
      <c r="GC68" s="41"/>
      <c r="GD68" s="41"/>
      <c r="GE68" s="41"/>
      <c r="GF68" s="41"/>
      <c r="GG68" s="41"/>
      <c r="GH68" s="41"/>
      <c r="GI68" s="41"/>
      <c r="GJ68" s="41"/>
      <c r="GK68" s="41"/>
      <c r="GL68" s="41"/>
      <c r="GM68" s="41"/>
      <c r="GN68" s="41"/>
      <c r="GO68" s="41"/>
      <c r="GP68" s="41"/>
      <c r="GQ68" s="41"/>
      <c r="GR68" s="41"/>
      <c r="GS68" s="41"/>
      <c r="GT68" s="41"/>
      <c r="GU68" s="41"/>
      <c r="GV68" s="41"/>
      <c r="GW68" s="41"/>
      <c r="GX68" s="41"/>
      <c r="GY68" s="41"/>
      <c r="GZ68" s="41"/>
      <c r="HA68" s="41"/>
      <c r="HB68" s="41"/>
      <c r="HC68" s="41"/>
      <c r="HD68" s="41"/>
      <c r="HE68" s="41"/>
      <c r="HF68" s="41"/>
      <c r="HG68" s="41"/>
      <c r="HH68" s="41"/>
      <c r="HI68" s="41"/>
      <c r="HJ68" s="41"/>
      <c r="HK68" s="41"/>
      <c r="HL68" s="41"/>
      <c r="HM68" s="41"/>
      <c r="HN68" s="41"/>
      <c r="HO68" s="41"/>
      <c r="HP68" s="41"/>
      <c r="HQ68" s="41"/>
      <c r="HR68" s="41"/>
      <c r="HS68" s="41"/>
      <c r="HT68" s="41"/>
      <c r="HU68" s="41"/>
      <c r="HV68" s="41"/>
      <c r="HW68" s="41"/>
      <c r="HX68" s="41"/>
      <c r="HY68" s="41"/>
      <c r="HZ68" s="41"/>
      <c r="IA68" s="41"/>
      <c r="IB68" s="41"/>
      <c r="IC68" s="41"/>
      <c r="ID68" s="41"/>
      <c r="IE68" s="41"/>
      <c r="IF68" s="41"/>
      <c r="IG68" s="41"/>
      <c r="IH68" s="41"/>
      <c r="II68" s="41"/>
      <c r="IJ68" s="41"/>
      <c r="IK68" s="41"/>
      <c r="IL68" s="41"/>
      <c r="IM68" s="41"/>
      <c r="IN68" s="41"/>
      <c r="IO68" s="41"/>
      <c r="IP68" s="41"/>
      <c r="IQ68" s="41"/>
      <c r="IR68" s="41"/>
      <c r="IS68" s="41"/>
      <c r="IT68" s="41"/>
      <c r="IU68" s="41"/>
      <c r="IV68" s="41"/>
      <c r="IW68" s="41"/>
      <c r="IX68" s="41"/>
      <c r="IY68" s="41"/>
      <c r="IZ68" s="41"/>
      <c r="JA68" s="41"/>
      <c r="JB68" s="41"/>
      <c r="JC68" s="41"/>
      <c r="JD68" s="41"/>
      <c r="JE68" s="41"/>
      <c r="JF68" s="41"/>
      <c r="JG68" s="41"/>
      <c r="JH68" s="41"/>
      <c r="JI68" s="41"/>
      <c r="JJ68" s="41"/>
      <c r="JK68" s="41"/>
      <c r="JL68" s="41"/>
      <c r="JM68" s="41"/>
      <c r="JN68" s="41"/>
      <c r="JO68" s="41"/>
      <c r="JP68" s="41"/>
      <c r="JQ68" s="41"/>
      <c r="JR68" s="41"/>
      <c r="JS68" s="41"/>
      <c r="JT68" s="41"/>
      <c r="JU68" s="41"/>
      <c r="JV68" s="41"/>
      <c r="JW68" s="41"/>
      <c r="JX68" s="41"/>
      <c r="JY68" s="41"/>
      <c r="JZ68" s="41"/>
      <c r="KA68" s="41"/>
      <c r="KB68" s="41"/>
      <c r="KC68" s="41"/>
      <c r="KD68" s="41"/>
      <c r="KE68" s="41"/>
      <c r="KF68" s="41"/>
      <c r="KG68" s="41"/>
      <c r="KH68" s="41"/>
      <c r="KI68" s="41"/>
      <c r="KJ68" s="41"/>
      <c r="KK68" s="41"/>
      <c r="KL68" s="41"/>
      <c r="KM68" s="41"/>
      <c r="KN68" s="41"/>
      <c r="KO68" s="41"/>
      <c r="KP68" s="41"/>
      <c r="KQ68" s="41"/>
      <c r="KR68" s="41"/>
      <c r="KS68" s="41"/>
      <c r="KT68" s="41"/>
      <c r="KU68" s="41"/>
      <c r="KV68" s="41"/>
      <c r="KW68" s="41"/>
      <c r="KX68" s="41"/>
      <c r="KY68" s="41"/>
      <c r="KZ68" s="41"/>
      <c r="LA68" s="41"/>
      <c r="LB68" s="41"/>
      <c r="LC68" s="41"/>
      <c r="LD68" s="41"/>
      <c r="LE68" s="41"/>
      <c r="LF68" s="41"/>
      <c r="LG68" s="41"/>
      <c r="LH68" s="41"/>
      <c r="LI68" s="41"/>
      <c r="LJ68" s="41"/>
      <c r="LK68" s="41"/>
      <c r="LL68" s="41"/>
      <c r="LM68" s="41"/>
      <c r="LN68" s="41"/>
      <c r="LO68" s="41"/>
      <c r="LP68" s="41"/>
      <c r="LQ68" s="41"/>
      <c r="LR68" s="41"/>
      <c r="LS68" s="41"/>
      <c r="LT68" s="41"/>
      <c r="LU68" s="41"/>
      <c r="LV68" s="41"/>
      <c r="LW68" s="41"/>
      <c r="LX68" s="41"/>
      <c r="LY68" s="41"/>
      <c r="LZ68" s="41"/>
      <c r="MA68" s="41"/>
      <c r="MB68" s="41"/>
      <c r="MC68" s="41"/>
      <c r="MD68" s="41"/>
      <c r="ME68" s="41"/>
      <c r="MF68" s="41"/>
      <c r="MG68" s="41"/>
      <c r="MH68" s="41"/>
      <c r="MI68" s="41"/>
      <c r="MJ68" s="41"/>
      <c r="MK68" s="41"/>
      <c r="ML68" s="41"/>
      <c r="MM68" s="41"/>
      <c r="MN68" s="41"/>
      <c r="MO68" s="41"/>
      <c r="MP68" s="41"/>
      <c r="MQ68" s="41"/>
      <c r="MR68" s="41"/>
      <c r="MS68" s="41"/>
      <c r="MT68" s="41"/>
      <c r="MU68" s="41"/>
      <c r="MV68" s="41"/>
      <c r="MW68" s="41"/>
      <c r="MX68" s="41"/>
      <c r="MY68" s="41"/>
      <c r="MZ68" s="41"/>
      <c r="NA68" s="41"/>
      <c r="NB68" s="41"/>
      <c r="NC68" s="41"/>
      <c r="ND68" s="41"/>
      <c r="NE68" s="41"/>
      <c r="NF68" s="41"/>
      <c r="NG68" s="41"/>
      <c r="NH68" s="41"/>
      <c r="NI68" s="41"/>
      <c r="NJ68" s="41"/>
      <c r="NK68" s="41"/>
      <c r="NL68" s="41"/>
      <c r="NM68" s="41"/>
      <c r="NN68" s="41"/>
      <c r="NO68" s="41"/>
      <c r="NP68" s="41"/>
      <c r="NQ68" s="41"/>
      <c r="NR68" s="41"/>
      <c r="NS68" s="41"/>
      <c r="NT68" s="41"/>
      <c r="NU68" s="41"/>
      <c r="NV68" s="41"/>
      <c r="NW68" s="41"/>
      <c r="NX68" s="41"/>
      <c r="NY68" s="41"/>
      <c r="NZ68" s="41"/>
      <c r="OA68" s="41"/>
      <c r="OB68" s="41"/>
      <c r="OC68" s="41"/>
      <c r="OD68" s="41"/>
      <c r="OE68" s="41"/>
      <c r="OF68" s="41"/>
      <c r="OG68" s="41"/>
      <c r="OH68" s="41"/>
      <c r="OI68" s="41"/>
      <c r="OJ68" s="41"/>
      <c r="OK68" s="41"/>
      <c r="OL68" s="41"/>
      <c r="OM68" s="41"/>
      <c r="ON68" s="41"/>
      <c r="OO68" s="41"/>
      <c r="OP68" s="41"/>
      <c r="OQ68" s="41"/>
      <c r="OR68" s="41"/>
      <c r="OS68" s="41"/>
      <c r="OT68" s="41"/>
      <c r="OU68" s="41"/>
      <c r="OV68" s="41"/>
      <c r="OW68" s="41"/>
      <c r="OX68" s="41"/>
      <c r="OY68" s="41"/>
      <c r="OZ68" s="41"/>
      <c r="PA68" s="41"/>
      <c r="PB68" s="41"/>
      <c r="PC68" s="41"/>
      <c r="PD68" s="41"/>
      <c r="PE68" s="41"/>
      <c r="PF68" s="41"/>
      <c r="PG68" s="41"/>
      <c r="PH68" s="41"/>
      <c r="PI68" s="41"/>
      <c r="PJ68" s="41"/>
      <c r="PK68" s="41"/>
      <c r="PL68" s="41"/>
      <c r="PM68" s="41"/>
      <c r="PN68" s="41"/>
      <c r="PO68" s="41"/>
      <c r="PP68" s="41"/>
      <c r="PQ68" s="41"/>
      <c r="PR68" s="41"/>
      <c r="PS68" s="41"/>
      <c r="PT68" s="41"/>
      <c r="PU68" s="41"/>
      <c r="PV68" s="41"/>
      <c r="PW68" s="41"/>
      <c r="PX68" s="41"/>
      <c r="PY68" s="41"/>
      <c r="PZ68" s="41"/>
      <c r="QA68" s="41"/>
      <c r="QB68" s="41"/>
      <c r="QC68" s="41"/>
      <c r="QD68" s="41"/>
      <c r="QE68" s="41"/>
      <c r="QF68" s="41"/>
      <c r="QG68" s="41"/>
      <c r="QH68" s="41"/>
      <c r="QI68" s="41"/>
      <c r="QJ68" s="41"/>
      <c r="QK68" s="41"/>
      <c r="QL68" s="41"/>
      <c r="QM68" s="41"/>
      <c r="QN68" s="41"/>
      <c r="QO68" s="41"/>
      <c r="QP68" s="41"/>
      <c r="QQ68" s="41"/>
      <c r="QR68" s="41"/>
      <c r="QS68" s="41"/>
      <c r="QT68" s="41"/>
      <c r="QU68" s="41"/>
      <c r="QV68" s="41"/>
      <c r="QW68" s="41"/>
      <c r="QX68" s="41"/>
      <c r="QY68" s="41"/>
      <c r="QZ68" s="41"/>
      <c r="RA68" s="41"/>
      <c r="RB68" s="41"/>
      <c r="RC68" s="41"/>
      <c r="RD68" s="41"/>
      <c r="RE68" s="41"/>
      <c r="RF68" s="41"/>
      <c r="RG68" s="41"/>
      <c r="RH68" s="41"/>
      <c r="RI68" s="41"/>
      <c r="RJ68" s="41"/>
      <c r="RK68" s="41"/>
      <c r="RL68" s="41"/>
      <c r="RM68" s="41"/>
      <c r="RN68" s="41"/>
      <c r="RO68" s="41"/>
      <c r="RP68" s="41"/>
      <c r="RQ68" s="41"/>
      <c r="RR68" s="41"/>
      <c r="RS68" s="41"/>
      <c r="RT68" s="41"/>
      <c r="RU68" s="41"/>
      <c r="RV68" s="41"/>
      <c r="RW68" s="41"/>
      <c r="RX68" s="41"/>
      <c r="RY68" s="41"/>
      <c r="RZ68" s="41"/>
      <c r="SA68" s="41"/>
      <c r="SB68" s="41"/>
      <c r="SC68" s="41"/>
      <c r="SD68" s="41"/>
      <c r="SE68" s="41"/>
      <c r="SF68" s="41"/>
      <c r="SG68" s="41"/>
      <c r="SH68" s="41"/>
      <c r="SI68" s="41"/>
      <c r="SJ68" s="41"/>
      <c r="SK68" s="41"/>
      <c r="SL68" s="41"/>
      <c r="SM68" s="41"/>
      <c r="SN68" s="41"/>
      <c r="SO68" s="41"/>
      <c r="SP68" s="41"/>
      <c r="SQ68" s="41"/>
      <c r="SR68" s="41"/>
      <c r="SS68" s="41"/>
      <c r="ST68" s="41"/>
      <c r="SU68" s="41"/>
      <c r="SV68" s="41"/>
      <c r="SW68" s="41"/>
      <c r="SX68" s="41"/>
      <c r="SY68" s="41"/>
      <c r="SZ68" s="41"/>
      <c r="TA68" s="41"/>
      <c r="TB68" s="41"/>
      <c r="TC68" s="41"/>
      <c r="TD68" s="41"/>
      <c r="TE68" s="41"/>
      <c r="TF68" s="41"/>
      <c r="TG68" s="41"/>
      <c r="TH68" s="41"/>
      <c r="TI68" s="41"/>
      <c r="TJ68" s="41"/>
      <c r="TK68" s="41"/>
      <c r="TL68" s="41"/>
      <c r="TM68" s="41"/>
      <c r="TN68" s="41"/>
      <c r="TO68" s="41"/>
      <c r="TP68" s="41"/>
      <c r="TQ68" s="41"/>
      <c r="TR68" s="41"/>
      <c r="TS68" s="41"/>
      <c r="TT68" s="41"/>
      <c r="TU68" s="41"/>
      <c r="TV68" s="41"/>
      <c r="TW68" s="41"/>
      <c r="TX68" s="41"/>
      <c r="TY68" s="41"/>
      <c r="TZ68" s="41"/>
      <c r="UA68" s="41"/>
      <c r="UB68" s="41"/>
      <c r="UC68" s="41"/>
      <c r="UD68" s="41"/>
      <c r="UE68" s="41"/>
      <c r="UF68" s="41"/>
      <c r="UG68" s="41"/>
      <c r="UH68" s="41"/>
      <c r="UI68" s="41"/>
      <c r="UJ68" s="41"/>
      <c r="UK68" s="41"/>
      <c r="UL68" s="41"/>
      <c r="UM68" s="41"/>
      <c r="UN68" s="41"/>
      <c r="UO68" s="41"/>
      <c r="UP68" s="41"/>
      <c r="UQ68" s="41"/>
      <c r="UR68" s="41"/>
      <c r="US68" s="41"/>
      <c r="UT68" s="41"/>
      <c r="UU68" s="41"/>
      <c r="UV68" s="41"/>
      <c r="UW68" s="41"/>
      <c r="UX68" s="41"/>
      <c r="UY68" s="41"/>
      <c r="UZ68" s="41"/>
      <c r="VA68" s="41"/>
      <c r="VB68" s="41"/>
      <c r="VC68" s="41"/>
      <c r="VD68" s="41"/>
      <c r="VE68" s="41"/>
      <c r="VF68" s="41"/>
      <c r="VG68" s="41"/>
      <c r="VH68" s="41"/>
      <c r="VI68" s="41"/>
      <c r="VJ68" s="41"/>
      <c r="VK68" s="41"/>
      <c r="VL68" s="41"/>
      <c r="VM68" s="41"/>
      <c r="VN68" s="41"/>
      <c r="VO68" s="41"/>
      <c r="VP68" s="41"/>
      <c r="VQ68" s="41"/>
      <c r="VR68" s="41"/>
      <c r="VS68" s="41"/>
      <c r="VT68" s="41"/>
      <c r="VU68" s="41"/>
      <c r="VV68" s="41"/>
      <c r="VW68" s="41"/>
      <c r="VX68" s="41"/>
      <c r="VY68" s="41"/>
      <c r="VZ68" s="41"/>
      <c r="WA68" s="41"/>
      <c r="WB68" s="41"/>
      <c r="WC68" s="41"/>
      <c r="WD68" s="41"/>
      <c r="WE68" s="41"/>
      <c r="WF68" s="41"/>
      <c r="WG68" s="41"/>
      <c r="WH68" s="41"/>
      <c r="WI68" s="41"/>
      <c r="WJ68" s="41"/>
      <c r="WK68" s="41"/>
      <c r="WL68" s="41"/>
      <c r="WM68" s="41"/>
      <c r="WN68" s="41"/>
      <c r="WO68" s="41"/>
      <c r="WP68" s="41"/>
      <c r="WQ68" s="41"/>
      <c r="WR68" s="41"/>
      <c r="WS68" s="41"/>
      <c r="WT68" s="41"/>
      <c r="WU68" s="41"/>
      <c r="WV68" s="41"/>
      <c r="WW68" s="41"/>
      <c r="WX68" s="41"/>
      <c r="WY68" s="41"/>
      <c r="WZ68" s="41"/>
      <c r="XA68" s="41"/>
      <c r="XB68" s="41"/>
      <c r="XC68" s="41"/>
      <c r="XD68" s="41"/>
      <c r="XE68" s="41"/>
      <c r="XF68" s="41"/>
      <c r="XG68" s="41"/>
      <c r="XH68" s="41"/>
      <c r="XI68" s="41"/>
      <c r="XJ68" s="41"/>
      <c r="XK68" s="41"/>
      <c r="XL68" s="41"/>
      <c r="XM68" s="41"/>
      <c r="XN68" s="41"/>
      <c r="XO68" s="41"/>
      <c r="XP68" s="41"/>
      <c r="XQ68" s="41"/>
      <c r="XR68" s="41"/>
      <c r="XS68" s="41"/>
      <c r="XT68" s="41"/>
      <c r="XU68" s="41"/>
      <c r="XV68" s="41"/>
      <c r="XW68" s="41"/>
      <c r="XX68" s="41"/>
      <c r="XY68" s="41"/>
      <c r="XZ68" s="41"/>
      <c r="YA68" s="41"/>
      <c r="YB68" s="41"/>
      <c r="YC68" s="41"/>
      <c r="YD68" s="41"/>
      <c r="YE68" s="41"/>
      <c r="YF68" s="41"/>
      <c r="YG68" s="41"/>
      <c r="YH68" s="41"/>
      <c r="YI68" s="41"/>
      <c r="YJ68" s="41"/>
      <c r="YK68" s="41"/>
      <c r="YL68" s="41"/>
      <c r="YM68" s="41"/>
      <c r="YN68" s="41"/>
      <c r="YO68" s="41"/>
      <c r="YP68" s="41"/>
      <c r="YQ68" s="41"/>
      <c r="YR68" s="41"/>
      <c r="YS68" s="41"/>
      <c r="YT68" s="41"/>
      <c r="YU68" s="41"/>
      <c r="YV68" s="41"/>
      <c r="YW68" s="41"/>
      <c r="YX68" s="41"/>
      <c r="YY68" s="41"/>
      <c r="YZ68" s="41"/>
      <c r="ZA68" s="41"/>
      <c r="ZB68" s="41"/>
      <c r="ZC68" s="41"/>
      <c r="ZD68" s="41"/>
      <c r="ZE68" s="41"/>
      <c r="ZF68" s="41"/>
      <c r="ZG68" s="41"/>
      <c r="ZH68" s="41"/>
      <c r="ZI68" s="41"/>
      <c r="ZJ68" s="41"/>
      <c r="ZK68" s="41"/>
      <c r="ZL68" s="41"/>
      <c r="ZM68" s="41"/>
      <c r="ZN68" s="41"/>
      <c r="ZO68" s="41"/>
      <c r="ZP68" s="41"/>
      <c r="ZQ68" s="41"/>
      <c r="ZR68" s="41"/>
      <c r="ZS68" s="41"/>
      <c r="ZT68" s="41"/>
      <c r="ZU68" s="41"/>
      <c r="ZV68" s="41"/>
      <c r="ZW68" s="41"/>
      <c r="ZX68" s="41"/>
      <c r="ZY68" s="41"/>
      <c r="ZZ68" s="41"/>
      <c r="AAA68" s="41"/>
      <c r="AAB68" s="41"/>
      <c r="AAC68" s="41"/>
    </row>
    <row r="69" spans="1:705" s="41" customFormat="1" ht="42" hidden="1" x14ac:dyDescent="0.3">
      <c r="A69" s="26">
        <v>65</v>
      </c>
      <c r="B69" s="137">
        <v>239649</v>
      </c>
      <c r="C69" s="138">
        <v>65</v>
      </c>
      <c r="D69" s="139">
        <v>45915</v>
      </c>
      <c r="E69" s="139">
        <f t="shared" si="8"/>
        <v>45914</v>
      </c>
      <c r="F69" s="139">
        <f t="shared" ref="F69:F100" si="10">D69+10</f>
        <v>45925</v>
      </c>
      <c r="G69" s="139">
        <v>45925</v>
      </c>
      <c r="H69" s="139">
        <v>45930</v>
      </c>
      <c r="I69" s="139" t="s">
        <v>75</v>
      </c>
      <c r="J69" s="140" t="s">
        <v>218</v>
      </c>
      <c r="K69" s="141">
        <f t="shared" si="9"/>
        <v>5</v>
      </c>
      <c r="L69" s="141">
        <v>1143543</v>
      </c>
      <c r="M69" s="140" t="s">
        <v>15</v>
      </c>
      <c r="N69" s="142">
        <v>803629</v>
      </c>
      <c r="O69" s="140" t="s">
        <v>246</v>
      </c>
      <c r="P69" s="143">
        <v>45922</v>
      </c>
      <c r="Q69" s="143">
        <v>45937</v>
      </c>
      <c r="R69" s="137" t="s">
        <v>211</v>
      </c>
      <c r="S69" s="144" t="s">
        <v>219</v>
      </c>
      <c r="T69" s="145">
        <v>1</v>
      </c>
      <c r="U69" s="137" t="s">
        <v>98</v>
      </c>
      <c r="V69" s="146">
        <v>6</v>
      </c>
      <c r="W69" s="146">
        <v>6</v>
      </c>
      <c r="X69" s="147">
        <v>0</v>
      </c>
      <c r="Y69" s="146">
        <v>0</v>
      </c>
      <c r="Z69" s="146">
        <v>0</v>
      </c>
      <c r="AA69" s="146">
        <v>0</v>
      </c>
      <c r="AB69" s="146">
        <v>0</v>
      </c>
      <c r="AC69" s="146">
        <v>0</v>
      </c>
      <c r="AD69" s="146">
        <v>0</v>
      </c>
      <c r="AE69" s="146">
        <v>0</v>
      </c>
      <c r="AF69" s="146">
        <v>0</v>
      </c>
      <c r="AG69" s="146">
        <v>0</v>
      </c>
      <c r="AH69" s="146">
        <v>1</v>
      </c>
      <c r="AI69" s="146">
        <v>1</v>
      </c>
      <c r="AJ69" s="146">
        <v>0</v>
      </c>
      <c r="AK69" s="146">
        <v>0</v>
      </c>
      <c r="AL69" s="146">
        <v>0</v>
      </c>
      <c r="AM69" s="146">
        <v>0</v>
      </c>
      <c r="AN69" s="146">
        <v>1</v>
      </c>
      <c r="AO69" s="146">
        <v>1</v>
      </c>
      <c r="AP69" s="146">
        <v>1</v>
      </c>
      <c r="AQ69" s="146">
        <v>1</v>
      </c>
      <c r="AR69" s="146">
        <v>0</v>
      </c>
      <c r="AS69" s="146">
        <v>0</v>
      </c>
      <c r="AT69" s="146">
        <v>1</v>
      </c>
      <c r="AU69" s="146">
        <v>1</v>
      </c>
      <c r="AV69" s="146">
        <v>0</v>
      </c>
      <c r="AW69" s="146">
        <v>0</v>
      </c>
      <c r="AX69" s="146">
        <f t="shared" ref="AX69:AX100" si="11">(V69*60)+(X69*80)+(Z69*38)+(AB69*57)+(AD69*75)+(AF69*155)+(AH69*170)+(AJ69*375)+(AL69*590)+(AN69*60)+(AP69*630)+(AR69*400)+(AT69*350)+(AV69*950)</f>
        <v>1570</v>
      </c>
      <c r="AY69" s="146">
        <f t="shared" ref="AY69:AY100" si="12">(W69*60)+(Y69*80)+(AA69*38)+(AC69*57)+(AE69*75)+(AG69*155)+(AI69*170)+(AK69*375)+(AM69*590)+(AO69*60)+(AQ69*630)+(AS69*400)+(AU69*350)+(AW69*950)</f>
        <v>1570</v>
      </c>
      <c r="AZ69" s="140" t="s">
        <v>562</v>
      </c>
      <c r="BA69" s="140" t="s">
        <v>562</v>
      </c>
      <c r="BB69" s="137">
        <v>2</v>
      </c>
      <c r="BC69" s="148">
        <v>65</v>
      </c>
      <c r="BD69" s="149"/>
      <c r="BE69" s="145"/>
      <c r="BF69" s="150"/>
      <c r="BG69" s="152">
        <v>45901</v>
      </c>
      <c r="BH69" s="153" t="s">
        <v>535</v>
      </c>
      <c r="BI69" s="153" t="s">
        <v>562</v>
      </c>
    </row>
    <row r="70" spans="1:705" s="41" customFormat="1" ht="42" hidden="1" x14ac:dyDescent="0.3">
      <c r="A70" s="26">
        <v>66</v>
      </c>
      <c r="B70" s="137">
        <v>239650</v>
      </c>
      <c r="C70" s="138">
        <v>66</v>
      </c>
      <c r="D70" s="139">
        <v>45915</v>
      </c>
      <c r="E70" s="139">
        <f t="shared" si="8"/>
        <v>45914</v>
      </c>
      <c r="F70" s="139">
        <f t="shared" si="10"/>
        <v>45925</v>
      </c>
      <c r="G70" s="139">
        <v>45925</v>
      </c>
      <c r="H70" s="139">
        <v>45916</v>
      </c>
      <c r="I70" s="139" t="s">
        <v>75</v>
      </c>
      <c r="J70" s="140" t="s">
        <v>220</v>
      </c>
      <c r="K70" s="141">
        <f t="shared" si="9"/>
        <v>-9</v>
      </c>
      <c r="L70" s="141">
        <v>1143556</v>
      </c>
      <c r="M70" s="142" t="s">
        <v>245</v>
      </c>
      <c r="N70" s="142" t="s">
        <v>251</v>
      </c>
      <c r="O70" s="140" t="s">
        <v>251</v>
      </c>
      <c r="P70" s="143" t="s">
        <v>213</v>
      </c>
      <c r="Q70" s="143" t="s">
        <v>213</v>
      </c>
      <c r="R70" s="137" t="s">
        <v>211</v>
      </c>
      <c r="S70" s="144" t="s">
        <v>221</v>
      </c>
      <c r="T70" s="145">
        <v>1</v>
      </c>
      <c r="U70" s="137" t="s">
        <v>81</v>
      </c>
      <c r="V70" s="146">
        <v>0</v>
      </c>
      <c r="W70" s="146">
        <v>0</v>
      </c>
      <c r="X70" s="147">
        <v>0</v>
      </c>
      <c r="Y70" s="146">
        <v>0</v>
      </c>
      <c r="Z70" s="146">
        <v>0</v>
      </c>
      <c r="AA70" s="146">
        <v>0</v>
      </c>
      <c r="AB70" s="146"/>
      <c r="AC70" s="146"/>
      <c r="AD70" s="146">
        <v>0</v>
      </c>
      <c r="AE70" s="146">
        <v>0</v>
      </c>
      <c r="AF70" s="146">
        <v>0</v>
      </c>
      <c r="AG70" s="146">
        <v>0</v>
      </c>
      <c r="AH70" s="146">
        <v>1</v>
      </c>
      <c r="AI70" s="146">
        <v>1</v>
      </c>
      <c r="AJ70" s="146">
        <v>0</v>
      </c>
      <c r="AK70" s="146">
        <v>0</v>
      </c>
      <c r="AL70" s="146">
        <v>0</v>
      </c>
      <c r="AM70" s="146">
        <v>0</v>
      </c>
      <c r="AN70" s="146">
        <v>0</v>
      </c>
      <c r="AO70" s="146">
        <v>0</v>
      </c>
      <c r="AP70" s="146">
        <v>0</v>
      </c>
      <c r="AQ70" s="146">
        <v>0</v>
      </c>
      <c r="AR70" s="146">
        <v>0</v>
      </c>
      <c r="AS70" s="146">
        <v>0</v>
      </c>
      <c r="AT70" s="146">
        <v>1</v>
      </c>
      <c r="AU70" s="146">
        <v>1</v>
      </c>
      <c r="AV70" s="146">
        <v>0</v>
      </c>
      <c r="AW70" s="146">
        <v>0</v>
      </c>
      <c r="AX70" s="146">
        <f t="shared" si="11"/>
        <v>520</v>
      </c>
      <c r="AY70" s="146">
        <f t="shared" si="12"/>
        <v>520</v>
      </c>
      <c r="AZ70" s="140" t="s">
        <v>562</v>
      </c>
      <c r="BA70" s="140" t="s">
        <v>562</v>
      </c>
      <c r="BB70" s="137">
        <v>1</v>
      </c>
      <c r="BC70" s="148">
        <v>66</v>
      </c>
      <c r="BD70" s="149"/>
      <c r="BE70" s="145"/>
      <c r="BF70" s="150"/>
      <c r="BG70" s="152">
        <v>45901</v>
      </c>
      <c r="BH70" s="153" t="s">
        <v>15</v>
      </c>
      <c r="BI70" s="153" t="s">
        <v>562</v>
      </c>
    </row>
    <row r="71" spans="1:705" s="41" customFormat="1" ht="42" hidden="1" x14ac:dyDescent="0.3">
      <c r="A71" s="26">
        <v>67</v>
      </c>
      <c r="B71" s="137">
        <v>239656</v>
      </c>
      <c r="C71" s="138">
        <v>67</v>
      </c>
      <c r="D71" s="139">
        <v>45915</v>
      </c>
      <c r="E71" s="139">
        <f t="shared" si="8"/>
        <v>45914</v>
      </c>
      <c r="F71" s="139">
        <f t="shared" si="10"/>
        <v>45925</v>
      </c>
      <c r="G71" s="139">
        <v>45925</v>
      </c>
      <c r="H71" s="139">
        <v>45931</v>
      </c>
      <c r="I71" s="139" t="s">
        <v>75</v>
      </c>
      <c r="J71" s="140" t="s">
        <v>222</v>
      </c>
      <c r="K71" s="141">
        <f t="shared" si="9"/>
        <v>6</v>
      </c>
      <c r="L71" s="141">
        <v>1143579</v>
      </c>
      <c r="M71" s="140" t="s">
        <v>15</v>
      </c>
      <c r="N71" s="142">
        <v>803630</v>
      </c>
      <c r="O71" s="140" t="s">
        <v>246</v>
      </c>
      <c r="P71" s="143">
        <v>45925</v>
      </c>
      <c r="Q71" s="143">
        <v>45940</v>
      </c>
      <c r="R71" s="137" t="s">
        <v>211</v>
      </c>
      <c r="S71" s="144" t="s">
        <v>223</v>
      </c>
      <c r="T71" s="145">
        <v>1</v>
      </c>
      <c r="U71" s="137" t="s">
        <v>82</v>
      </c>
      <c r="V71" s="146">
        <v>6</v>
      </c>
      <c r="W71" s="146">
        <v>6</v>
      </c>
      <c r="X71" s="147">
        <v>0</v>
      </c>
      <c r="Y71" s="146">
        <v>0</v>
      </c>
      <c r="Z71" s="146">
        <v>0</v>
      </c>
      <c r="AA71" s="146">
        <v>0</v>
      </c>
      <c r="AB71" s="146">
        <v>6</v>
      </c>
      <c r="AC71" s="146">
        <v>6</v>
      </c>
      <c r="AD71" s="146">
        <v>0</v>
      </c>
      <c r="AE71" s="146">
        <v>0</v>
      </c>
      <c r="AF71" s="146">
        <v>0</v>
      </c>
      <c r="AG71" s="146">
        <v>0</v>
      </c>
      <c r="AH71" s="146">
        <v>1</v>
      </c>
      <c r="AI71" s="146">
        <v>1</v>
      </c>
      <c r="AJ71" s="146">
        <v>0</v>
      </c>
      <c r="AK71" s="146"/>
      <c r="AL71" s="146">
        <v>0</v>
      </c>
      <c r="AM71" s="146">
        <v>0</v>
      </c>
      <c r="AN71" s="146">
        <v>1</v>
      </c>
      <c r="AO71" s="146">
        <v>1</v>
      </c>
      <c r="AP71" s="146">
        <v>1</v>
      </c>
      <c r="AQ71" s="146">
        <v>1</v>
      </c>
      <c r="AR71" s="146">
        <v>0</v>
      </c>
      <c r="AS71" s="146">
        <v>0</v>
      </c>
      <c r="AT71" s="146">
        <v>1</v>
      </c>
      <c r="AU71" s="146">
        <v>1</v>
      </c>
      <c r="AV71" s="146">
        <v>0</v>
      </c>
      <c r="AW71" s="146">
        <v>0</v>
      </c>
      <c r="AX71" s="146">
        <f t="shared" si="11"/>
        <v>1912</v>
      </c>
      <c r="AY71" s="146">
        <f t="shared" si="12"/>
        <v>1912</v>
      </c>
      <c r="AZ71" s="140" t="s">
        <v>562</v>
      </c>
      <c r="BA71" s="140" t="s">
        <v>562</v>
      </c>
      <c r="BB71" s="137">
        <v>2</v>
      </c>
      <c r="BC71" s="148">
        <v>67</v>
      </c>
      <c r="BD71" s="149"/>
      <c r="BE71" s="145"/>
      <c r="BF71" s="150"/>
      <c r="BG71" s="151">
        <v>45931</v>
      </c>
      <c r="BH71" s="153" t="s">
        <v>535</v>
      </c>
      <c r="BI71" s="153" t="s">
        <v>562</v>
      </c>
    </row>
    <row r="72" spans="1:705" s="42" customFormat="1" ht="48" hidden="1" customHeight="1" x14ac:dyDescent="0.3">
      <c r="A72" s="26">
        <v>68</v>
      </c>
      <c r="B72" s="137">
        <v>239663</v>
      </c>
      <c r="C72" s="138">
        <v>68</v>
      </c>
      <c r="D72" s="139">
        <v>45915</v>
      </c>
      <c r="E72" s="139">
        <f t="shared" ref="E72:E103" si="13">D72-1</f>
        <v>45914</v>
      </c>
      <c r="F72" s="139">
        <f t="shared" si="10"/>
        <v>45925</v>
      </c>
      <c r="G72" s="139">
        <v>45925</v>
      </c>
      <c r="H72" s="139">
        <v>45939</v>
      </c>
      <c r="I72" s="139" t="s">
        <v>75</v>
      </c>
      <c r="J72" s="140" t="s">
        <v>224</v>
      </c>
      <c r="K72" s="141">
        <f t="shared" ref="K72:K103" si="14">H72-F72</f>
        <v>14</v>
      </c>
      <c r="L72" s="141">
        <v>1143604</v>
      </c>
      <c r="M72" s="140" t="s">
        <v>15</v>
      </c>
      <c r="N72" s="142" t="s">
        <v>518</v>
      </c>
      <c r="O72" s="140" t="s">
        <v>246</v>
      </c>
      <c r="P72" s="143">
        <v>45929</v>
      </c>
      <c r="Q72" s="143">
        <v>45973</v>
      </c>
      <c r="R72" s="137" t="s">
        <v>211</v>
      </c>
      <c r="S72" s="144" t="s">
        <v>225</v>
      </c>
      <c r="T72" s="145">
        <v>1</v>
      </c>
      <c r="U72" s="137" t="s">
        <v>198</v>
      </c>
      <c r="V72" s="146">
        <v>5</v>
      </c>
      <c r="W72" s="146">
        <v>5</v>
      </c>
      <c r="X72" s="147">
        <v>0</v>
      </c>
      <c r="Y72" s="146">
        <v>0</v>
      </c>
      <c r="Z72" s="146">
        <v>0</v>
      </c>
      <c r="AA72" s="146"/>
      <c r="AB72" s="146">
        <v>5</v>
      </c>
      <c r="AC72" s="146">
        <v>5</v>
      </c>
      <c r="AD72" s="146">
        <v>0</v>
      </c>
      <c r="AE72" s="146">
        <v>0</v>
      </c>
      <c r="AF72" s="146">
        <v>0</v>
      </c>
      <c r="AG72" s="146">
        <v>0</v>
      </c>
      <c r="AH72" s="146">
        <v>1</v>
      </c>
      <c r="AI72" s="146">
        <v>1</v>
      </c>
      <c r="AJ72" s="146">
        <v>0</v>
      </c>
      <c r="AK72" s="146"/>
      <c r="AL72" s="146">
        <v>0</v>
      </c>
      <c r="AM72" s="146">
        <v>0</v>
      </c>
      <c r="AN72" s="146">
        <v>0</v>
      </c>
      <c r="AO72" s="146">
        <v>0</v>
      </c>
      <c r="AP72" s="146">
        <v>1</v>
      </c>
      <c r="AQ72" s="146">
        <v>1</v>
      </c>
      <c r="AR72" s="146">
        <v>0</v>
      </c>
      <c r="AS72" s="146">
        <v>0</v>
      </c>
      <c r="AT72" s="146">
        <v>1</v>
      </c>
      <c r="AU72" s="146">
        <v>1</v>
      </c>
      <c r="AV72" s="146">
        <v>0</v>
      </c>
      <c r="AW72" s="146">
        <v>0</v>
      </c>
      <c r="AX72" s="146">
        <f t="shared" si="11"/>
        <v>1735</v>
      </c>
      <c r="AY72" s="146">
        <f t="shared" si="12"/>
        <v>1735</v>
      </c>
      <c r="AZ72" s="140" t="s">
        <v>562</v>
      </c>
      <c r="BA72" s="140" t="s">
        <v>562</v>
      </c>
      <c r="BB72" s="137">
        <v>5</v>
      </c>
      <c r="BC72" s="148">
        <v>68</v>
      </c>
      <c r="BD72" s="149"/>
      <c r="BE72" s="145"/>
      <c r="BF72" s="150"/>
      <c r="BG72" s="151">
        <v>46016</v>
      </c>
      <c r="BH72" s="153" t="s">
        <v>15</v>
      </c>
      <c r="BI72" s="153" t="s">
        <v>562</v>
      </c>
      <c r="BJ72" s="41"/>
      <c r="BK72" s="41"/>
      <c r="BL72" s="41"/>
      <c r="BM72" s="41"/>
      <c r="BN72" s="41"/>
      <c r="BO72" s="41"/>
      <c r="BP72" s="41"/>
      <c r="BQ72" s="41"/>
      <c r="BR72" s="41"/>
      <c r="BS72" s="41"/>
      <c r="BT72" s="41"/>
      <c r="BU72" s="41"/>
      <c r="BV72" s="41"/>
      <c r="BW72" s="41"/>
      <c r="BX72" s="41"/>
      <c r="BY72" s="41"/>
      <c r="BZ72" s="41"/>
      <c r="CA72" s="41"/>
      <c r="CB72" s="41"/>
      <c r="CC72" s="41"/>
      <c r="CD72" s="41"/>
      <c r="CE72" s="41"/>
      <c r="CF72" s="41"/>
      <c r="CG72" s="41"/>
      <c r="CH72" s="41"/>
      <c r="CI72" s="41"/>
      <c r="CJ72" s="41"/>
      <c r="CK72" s="41"/>
      <c r="CL72" s="41"/>
      <c r="CM72" s="41"/>
      <c r="CN72" s="41"/>
      <c r="CO72" s="41"/>
      <c r="CP72" s="41"/>
      <c r="CQ72" s="41"/>
      <c r="CR72" s="41"/>
      <c r="CS72" s="41"/>
      <c r="CT72" s="41"/>
      <c r="CU72" s="41"/>
      <c r="CV72" s="41"/>
      <c r="CW72" s="41"/>
      <c r="CX72" s="41"/>
      <c r="CY72" s="41"/>
      <c r="CZ72" s="41"/>
      <c r="DA72" s="41"/>
      <c r="DB72" s="41"/>
      <c r="DC72" s="41"/>
      <c r="DD72" s="41"/>
      <c r="DE72" s="41"/>
      <c r="DF72" s="41"/>
      <c r="DG72" s="41"/>
      <c r="DH72" s="41"/>
      <c r="DI72" s="41"/>
      <c r="DJ72" s="41"/>
      <c r="DK72" s="41"/>
      <c r="DL72" s="41"/>
      <c r="DM72" s="41"/>
      <c r="DN72" s="41"/>
      <c r="DO72" s="41"/>
      <c r="DP72" s="41"/>
      <c r="DQ72" s="41"/>
      <c r="DR72" s="41"/>
      <c r="DS72" s="41"/>
      <c r="DT72" s="41"/>
      <c r="DU72" s="41"/>
      <c r="DV72" s="41"/>
      <c r="DW72" s="41"/>
      <c r="DX72" s="41"/>
      <c r="DY72" s="41"/>
      <c r="DZ72" s="41"/>
      <c r="EA72" s="41"/>
      <c r="EB72" s="41"/>
      <c r="EC72" s="41"/>
      <c r="ED72" s="41"/>
      <c r="EE72" s="41"/>
      <c r="EF72" s="41"/>
      <c r="EG72" s="41"/>
      <c r="EH72" s="41"/>
      <c r="EI72" s="41"/>
      <c r="EJ72" s="41"/>
      <c r="EK72" s="41"/>
      <c r="EL72" s="41"/>
      <c r="EM72" s="41"/>
      <c r="EN72" s="41"/>
      <c r="EO72" s="41"/>
      <c r="EP72" s="41"/>
      <c r="EQ72" s="41"/>
      <c r="ER72" s="41"/>
      <c r="ES72" s="41"/>
      <c r="ET72" s="41"/>
      <c r="EU72" s="41"/>
      <c r="EV72" s="41"/>
      <c r="EW72" s="41"/>
      <c r="EX72" s="41"/>
      <c r="EY72" s="41"/>
      <c r="EZ72" s="41"/>
      <c r="FA72" s="41"/>
      <c r="FB72" s="41"/>
      <c r="FC72" s="41"/>
      <c r="FD72" s="41"/>
      <c r="FE72" s="41"/>
      <c r="FF72" s="41"/>
      <c r="FG72" s="41"/>
      <c r="FH72" s="41"/>
      <c r="FI72" s="41"/>
      <c r="FJ72" s="41"/>
      <c r="FK72" s="41"/>
      <c r="FL72" s="41"/>
      <c r="FM72" s="41"/>
      <c r="FN72" s="41"/>
      <c r="FO72" s="41"/>
      <c r="FP72" s="41"/>
      <c r="FQ72" s="41"/>
      <c r="FR72" s="41"/>
      <c r="FS72" s="41"/>
      <c r="FT72" s="41"/>
      <c r="FU72" s="41"/>
      <c r="FV72" s="41"/>
      <c r="FW72" s="41"/>
      <c r="FX72" s="41"/>
      <c r="FY72" s="41"/>
      <c r="FZ72" s="41"/>
      <c r="GA72" s="41"/>
      <c r="GB72" s="41"/>
      <c r="GC72" s="41"/>
      <c r="GD72" s="41"/>
      <c r="GE72" s="41"/>
      <c r="GF72" s="41"/>
      <c r="GG72" s="41"/>
      <c r="GH72" s="41"/>
      <c r="GI72" s="41"/>
      <c r="GJ72" s="41"/>
      <c r="GK72" s="41"/>
      <c r="GL72" s="41"/>
      <c r="GM72" s="41"/>
      <c r="GN72" s="41"/>
      <c r="GO72" s="41"/>
      <c r="GP72" s="41"/>
      <c r="GQ72" s="41"/>
      <c r="GR72" s="41"/>
      <c r="GS72" s="41"/>
      <c r="GT72" s="41"/>
      <c r="GU72" s="41"/>
      <c r="GV72" s="41"/>
      <c r="GW72" s="41"/>
      <c r="GX72" s="41"/>
      <c r="GY72" s="41"/>
      <c r="GZ72" s="41"/>
      <c r="HA72" s="41"/>
      <c r="HB72" s="41"/>
      <c r="HC72" s="41"/>
      <c r="HD72" s="41"/>
      <c r="HE72" s="41"/>
      <c r="HF72" s="41"/>
      <c r="HG72" s="41"/>
      <c r="HH72" s="41"/>
      <c r="HI72" s="41"/>
      <c r="HJ72" s="41"/>
      <c r="HK72" s="41"/>
      <c r="HL72" s="41"/>
      <c r="HM72" s="41"/>
      <c r="HN72" s="41"/>
      <c r="HO72" s="41"/>
      <c r="HP72" s="41"/>
      <c r="HQ72" s="41"/>
      <c r="HR72" s="41"/>
      <c r="HS72" s="41"/>
      <c r="HT72" s="41"/>
      <c r="HU72" s="41"/>
      <c r="HV72" s="41"/>
      <c r="HW72" s="41"/>
      <c r="HX72" s="41"/>
      <c r="HY72" s="41"/>
      <c r="HZ72" s="41"/>
      <c r="IA72" s="41"/>
      <c r="IB72" s="41"/>
      <c r="IC72" s="41"/>
      <c r="ID72" s="41"/>
      <c r="IE72" s="41"/>
      <c r="IF72" s="41"/>
      <c r="IG72" s="41"/>
      <c r="IH72" s="41"/>
      <c r="II72" s="41"/>
      <c r="IJ72" s="41"/>
      <c r="IK72" s="41"/>
      <c r="IL72" s="41"/>
      <c r="IM72" s="41"/>
      <c r="IN72" s="41"/>
      <c r="IO72" s="41"/>
      <c r="IP72" s="41"/>
      <c r="IQ72" s="41"/>
      <c r="IR72" s="41"/>
      <c r="IS72" s="41"/>
      <c r="IT72" s="41"/>
      <c r="IU72" s="41"/>
      <c r="IV72" s="41"/>
      <c r="IW72" s="41"/>
      <c r="IX72" s="41"/>
      <c r="IY72" s="41"/>
      <c r="IZ72" s="41"/>
      <c r="JA72" s="41"/>
      <c r="JB72" s="41"/>
      <c r="JC72" s="41"/>
      <c r="JD72" s="41"/>
      <c r="JE72" s="41"/>
      <c r="JF72" s="41"/>
      <c r="JG72" s="41"/>
      <c r="JH72" s="41"/>
      <c r="JI72" s="41"/>
      <c r="JJ72" s="41"/>
      <c r="JK72" s="41"/>
      <c r="JL72" s="41"/>
      <c r="JM72" s="41"/>
      <c r="JN72" s="41"/>
      <c r="JO72" s="41"/>
      <c r="JP72" s="41"/>
      <c r="JQ72" s="41"/>
      <c r="JR72" s="41"/>
      <c r="JS72" s="41"/>
      <c r="JT72" s="41"/>
      <c r="JU72" s="41"/>
      <c r="JV72" s="41"/>
      <c r="JW72" s="41"/>
      <c r="JX72" s="41"/>
      <c r="JY72" s="41"/>
      <c r="JZ72" s="41"/>
      <c r="KA72" s="41"/>
      <c r="KB72" s="41"/>
      <c r="KC72" s="41"/>
      <c r="KD72" s="41"/>
      <c r="KE72" s="41"/>
      <c r="KF72" s="41"/>
      <c r="KG72" s="41"/>
      <c r="KH72" s="41"/>
      <c r="KI72" s="41"/>
      <c r="KJ72" s="41"/>
      <c r="KK72" s="41"/>
      <c r="KL72" s="41"/>
      <c r="KM72" s="41"/>
      <c r="KN72" s="41"/>
      <c r="KO72" s="41"/>
      <c r="KP72" s="41"/>
      <c r="KQ72" s="41"/>
      <c r="KR72" s="41"/>
      <c r="KS72" s="41"/>
      <c r="KT72" s="41"/>
      <c r="KU72" s="41"/>
      <c r="KV72" s="41"/>
      <c r="KW72" s="41"/>
      <c r="KX72" s="41"/>
      <c r="KY72" s="41"/>
      <c r="KZ72" s="41"/>
      <c r="LA72" s="41"/>
      <c r="LB72" s="41"/>
      <c r="LC72" s="41"/>
      <c r="LD72" s="41"/>
      <c r="LE72" s="41"/>
      <c r="LF72" s="41"/>
      <c r="LG72" s="41"/>
      <c r="LH72" s="41"/>
      <c r="LI72" s="41"/>
      <c r="LJ72" s="41"/>
      <c r="LK72" s="41"/>
      <c r="LL72" s="41"/>
      <c r="LM72" s="41"/>
      <c r="LN72" s="41"/>
      <c r="LO72" s="41"/>
      <c r="LP72" s="41"/>
      <c r="LQ72" s="41"/>
      <c r="LR72" s="41"/>
      <c r="LS72" s="41"/>
      <c r="LT72" s="41"/>
      <c r="LU72" s="41"/>
      <c r="LV72" s="41"/>
      <c r="LW72" s="41"/>
      <c r="LX72" s="41"/>
      <c r="LY72" s="41"/>
      <c r="LZ72" s="41"/>
      <c r="MA72" s="41"/>
      <c r="MB72" s="41"/>
      <c r="MC72" s="41"/>
      <c r="MD72" s="41"/>
      <c r="ME72" s="41"/>
      <c r="MF72" s="41"/>
      <c r="MG72" s="41"/>
      <c r="MH72" s="41"/>
      <c r="MI72" s="41"/>
      <c r="MJ72" s="41"/>
      <c r="MK72" s="41"/>
      <c r="ML72" s="41"/>
      <c r="MM72" s="41"/>
      <c r="MN72" s="41"/>
      <c r="MO72" s="41"/>
      <c r="MP72" s="41"/>
      <c r="MQ72" s="41"/>
      <c r="MR72" s="41"/>
      <c r="MS72" s="41"/>
      <c r="MT72" s="41"/>
      <c r="MU72" s="41"/>
      <c r="MV72" s="41"/>
      <c r="MW72" s="41"/>
      <c r="MX72" s="41"/>
      <c r="MY72" s="41"/>
      <c r="MZ72" s="41"/>
      <c r="NA72" s="41"/>
      <c r="NB72" s="41"/>
      <c r="NC72" s="41"/>
      <c r="ND72" s="41"/>
      <c r="NE72" s="41"/>
      <c r="NF72" s="41"/>
      <c r="NG72" s="41"/>
      <c r="NH72" s="41"/>
      <c r="NI72" s="41"/>
      <c r="NJ72" s="41"/>
      <c r="NK72" s="41"/>
      <c r="NL72" s="41"/>
      <c r="NM72" s="41"/>
      <c r="NN72" s="41"/>
      <c r="NO72" s="41"/>
      <c r="NP72" s="41"/>
      <c r="NQ72" s="41"/>
      <c r="NR72" s="41"/>
      <c r="NS72" s="41"/>
      <c r="NT72" s="41"/>
      <c r="NU72" s="41"/>
      <c r="NV72" s="41"/>
      <c r="NW72" s="41"/>
      <c r="NX72" s="41"/>
      <c r="NY72" s="41"/>
      <c r="NZ72" s="41"/>
      <c r="OA72" s="41"/>
      <c r="OB72" s="41"/>
      <c r="OC72" s="41"/>
      <c r="OD72" s="41"/>
      <c r="OE72" s="41"/>
      <c r="OF72" s="41"/>
      <c r="OG72" s="41"/>
      <c r="OH72" s="41"/>
      <c r="OI72" s="41"/>
      <c r="OJ72" s="41"/>
      <c r="OK72" s="41"/>
      <c r="OL72" s="41"/>
      <c r="OM72" s="41"/>
      <c r="ON72" s="41"/>
      <c r="OO72" s="41"/>
      <c r="OP72" s="41"/>
      <c r="OQ72" s="41"/>
      <c r="OR72" s="41"/>
      <c r="OS72" s="41"/>
      <c r="OT72" s="41"/>
      <c r="OU72" s="41"/>
      <c r="OV72" s="41"/>
      <c r="OW72" s="41"/>
      <c r="OX72" s="41"/>
      <c r="OY72" s="41"/>
      <c r="OZ72" s="41"/>
      <c r="PA72" s="41"/>
      <c r="PB72" s="41"/>
      <c r="PC72" s="41"/>
      <c r="PD72" s="41"/>
      <c r="PE72" s="41"/>
      <c r="PF72" s="41"/>
      <c r="PG72" s="41"/>
      <c r="PH72" s="41"/>
      <c r="PI72" s="41"/>
      <c r="PJ72" s="41"/>
      <c r="PK72" s="41"/>
      <c r="PL72" s="41"/>
      <c r="PM72" s="41"/>
      <c r="PN72" s="41"/>
      <c r="PO72" s="41"/>
      <c r="PP72" s="41"/>
      <c r="PQ72" s="41"/>
      <c r="PR72" s="41"/>
      <c r="PS72" s="41"/>
      <c r="PT72" s="41"/>
      <c r="PU72" s="41"/>
      <c r="PV72" s="41"/>
      <c r="PW72" s="41"/>
      <c r="PX72" s="41"/>
      <c r="PY72" s="41"/>
      <c r="PZ72" s="41"/>
      <c r="QA72" s="41"/>
      <c r="QB72" s="41"/>
      <c r="QC72" s="41"/>
      <c r="QD72" s="41"/>
      <c r="QE72" s="41"/>
      <c r="QF72" s="41"/>
      <c r="QG72" s="41"/>
      <c r="QH72" s="41"/>
      <c r="QI72" s="41"/>
      <c r="QJ72" s="41"/>
      <c r="QK72" s="41"/>
      <c r="QL72" s="41"/>
      <c r="QM72" s="41"/>
      <c r="QN72" s="41"/>
      <c r="QO72" s="41"/>
      <c r="QP72" s="41"/>
      <c r="QQ72" s="41"/>
      <c r="QR72" s="41"/>
      <c r="QS72" s="41"/>
      <c r="QT72" s="41"/>
      <c r="QU72" s="41"/>
      <c r="QV72" s="41"/>
      <c r="QW72" s="41"/>
      <c r="QX72" s="41"/>
      <c r="QY72" s="41"/>
      <c r="QZ72" s="41"/>
      <c r="RA72" s="41"/>
      <c r="RB72" s="41"/>
      <c r="RC72" s="41"/>
      <c r="RD72" s="41"/>
      <c r="RE72" s="41"/>
      <c r="RF72" s="41"/>
      <c r="RG72" s="41"/>
      <c r="RH72" s="41"/>
      <c r="RI72" s="41"/>
      <c r="RJ72" s="41"/>
      <c r="RK72" s="41"/>
      <c r="RL72" s="41"/>
      <c r="RM72" s="41"/>
      <c r="RN72" s="41"/>
      <c r="RO72" s="41"/>
      <c r="RP72" s="41"/>
      <c r="RQ72" s="41"/>
      <c r="RR72" s="41"/>
      <c r="RS72" s="41"/>
      <c r="RT72" s="41"/>
      <c r="RU72" s="41"/>
      <c r="RV72" s="41"/>
      <c r="RW72" s="41"/>
      <c r="RX72" s="41"/>
      <c r="RY72" s="41"/>
      <c r="RZ72" s="41"/>
      <c r="SA72" s="41"/>
      <c r="SB72" s="41"/>
      <c r="SC72" s="41"/>
      <c r="SD72" s="41"/>
      <c r="SE72" s="41"/>
      <c r="SF72" s="41"/>
      <c r="SG72" s="41"/>
      <c r="SH72" s="41"/>
      <c r="SI72" s="41"/>
      <c r="SJ72" s="41"/>
      <c r="SK72" s="41"/>
      <c r="SL72" s="41"/>
      <c r="SM72" s="41"/>
      <c r="SN72" s="41"/>
      <c r="SO72" s="41"/>
      <c r="SP72" s="41"/>
      <c r="SQ72" s="41"/>
      <c r="SR72" s="41"/>
      <c r="SS72" s="41"/>
      <c r="ST72" s="41"/>
      <c r="SU72" s="41"/>
      <c r="SV72" s="41"/>
      <c r="SW72" s="41"/>
      <c r="SX72" s="41"/>
      <c r="SY72" s="41"/>
      <c r="SZ72" s="41"/>
      <c r="TA72" s="41"/>
      <c r="TB72" s="41"/>
      <c r="TC72" s="41"/>
      <c r="TD72" s="41"/>
      <c r="TE72" s="41"/>
      <c r="TF72" s="41"/>
      <c r="TG72" s="41"/>
      <c r="TH72" s="41"/>
      <c r="TI72" s="41"/>
      <c r="TJ72" s="41"/>
      <c r="TK72" s="41"/>
      <c r="TL72" s="41"/>
      <c r="TM72" s="41"/>
      <c r="TN72" s="41"/>
      <c r="TO72" s="41"/>
      <c r="TP72" s="41"/>
      <c r="TQ72" s="41"/>
      <c r="TR72" s="41"/>
      <c r="TS72" s="41"/>
      <c r="TT72" s="41"/>
      <c r="TU72" s="41"/>
      <c r="TV72" s="41"/>
      <c r="TW72" s="41"/>
      <c r="TX72" s="41"/>
      <c r="TY72" s="41"/>
      <c r="TZ72" s="41"/>
      <c r="UA72" s="41"/>
      <c r="UB72" s="41"/>
      <c r="UC72" s="41"/>
      <c r="UD72" s="41"/>
      <c r="UE72" s="41"/>
      <c r="UF72" s="41"/>
      <c r="UG72" s="41"/>
      <c r="UH72" s="41"/>
      <c r="UI72" s="41"/>
      <c r="UJ72" s="41"/>
      <c r="UK72" s="41"/>
      <c r="UL72" s="41"/>
      <c r="UM72" s="41"/>
      <c r="UN72" s="41"/>
      <c r="UO72" s="41"/>
      <c r="UP72" s="41"/>
      <c r="UQ72" s="41"/>
      <c r="UR72" s="41"/>
      <c r="US72" s="41"/>
      <c r="UT72" s="41"/>
      <c r="UU72" s="41"/>
      <c r="UV72" s="41"/>
      <c r="UW72" s="41"/>
      <c r="UX72" s="41"/>
      <c r="UY72" s="41"/>
      <c r="UZ72" s="41"/>
      <c r="VA72" s="41"/>
      <c r="VB72" s="41"/>
      <c r="VC72" s="41"/>
      <c r="VD72" s="41"/>
      <c r="VE72" s="41"/>
      <c r="VF72" s="41"/>
      <c r="VG72" s="41"/>
      <c r="VH72" s="41"/>
      <c r="VI72" s="41"/>
      <c r="VJ72" s="41"/>
      <c r="VK72" s="41"/>
      <c r="VL72" s="41"/>
      <c r="VM72" s="41"/>
      <c r="VN72" s="41"/>
      <c r="VO72" s="41"/>
      <c r="VP72" s="41"/>
      <c r="VQ72" s="41"/>
      <c r="VR72" s="41"/>
      <c r="VS72" s="41"/>
      <c r="VT72" s="41"/>
      <c r="VU72" s="41"/>
      <c r="VV72" s="41"/>
      <c r="VW72" s="41"/>
      <c r="VX72" s="41"/>
      <c r="VY72" s="41"/>
      <c r="VZ72" s="41"/>
      <c r="WA72" s="41"/>
      <c r="WB72" s="41"/>
      <c r="WC72" s="41"/>
      <c r="WD72" s="41"/>
      <c r="WE72" s="41"/>
      <c r="WF72" s="41"/>
      <c r="WG72" s="41"/>
      <c r="WH72" s="41"/>
      <c r="WI72" s="41"/>
      <c r="WJ72" s="41"/>
      <c r="WK72" s="41"/>
      <c r="WL72" s="41"/>
      <c r="WM72" s="41"/>
      <c r="WN72" s="41"/>
      <c r="WO72" s="41"/>
      <c r="WP72" s="41"/>
      <c r="WQ72" s="41"/>
      <c r="WR72" s="41"/>
      <c r="WS72" s="41"/>
      <c r="WT72" s="41"/>
      <c r="WU72" s="41"/>
      <c r="WV72" s="41"/>
      <c r="WW72" s="41"/>
      <c r="WX72" s="41"/>
      <c r="WY72" s="41"/>
      <c r="WZ72" s="41"/>
      <c r="XA72" s="41"/>
      <c r="XB72" s="41"/>
      <c r="XC72" s="41"/>
      <c r="XD72" s="41"/>
      <c r="XE72" s="41"/>
      <c r="XF72" s="41"/>
      <c r="XG72" s="41"/>
      <c r="XH72" s="41"/>
      <c r="XI72" s="41"/>
      <c r="XJ72" s="41"/>
      <c r="XK72" s="41"/>
      <c r="XL72" s="41"/>
      <c r="XM72" s="41"/>
      <c r="XN72" s="41"/>
      <c r="XO72" s="41"/>
      <c r="XP72" s="41"/>
      <c r="XQ72" s="41"/>
      <c r="XR72" s="41"/>
      <c r="XS72" s="41"/>
      <c r="XT72" s="41"/>
      <c r="XU72" s="41"/>
      <c r="XV72" s="41"/>
      <c r="XW72" s="41"/>
      <c r="XX72" s="41"/>
      <c r="XY72" s="41"/>
      <c r="XZ72" s="41"/>
      <c r="YA72" s="41"/>
      <c r="YB72" s="41"/>
      <c r="YC72" s="41"/>
      <c r="YD72" s="41"/>
      <c r="YE72" s="41"/>
      <c r="YF72" s="41"/>
      <c r="YG72" s="41"/>
      <c r="YH72" s="41"/>
      <c r="YI72" s="41"/>
      <c r="YJ72" s="41"/>
      <c r="YK72" s="41"/>
      <c r="YL72" s="41"/>
      <c r="YM72" s="41"/>
      <c r="YN72" s="41"/>
      <c r="YO72" s="41"/>
      <c r="YP72" s="41"/>
      <c r="YQ72" s="41"/>
      <c r="YR72" s="41"/>
      <c r="YS72" s="41"/>
      <c r="YT72" s="41"/>
      <c r="YU72" s="41"/>
      <c r="YV72" s="41"/>
      <c r="YW72" s="41"/>
      <c r="YX72" s="41"/>
      <c r="YY72" s="41"/>
      <c r="YZ72" s="41"/>
      <c r="ZA72" s="41"/>
      <c r="ZB72" s="41"/>
      <c r="ZC72" s="41"/>
      <c r="ZD72" s="41"/>
      <c r="ZE72" s="41"/>
      <c r="ZF72" s="41"/>
      <c r="ZG72" s="41"/>
      <c r="ZH72" s="41"/>
      <c r="ZI72" s="41"/>
      <c r="ZJ72" s="41"/>
      <c r="ZK72" s="41"/>
      <c r="ZL72" s="41"/>
      <c r="ZM72" s="41"/>
      <c r="ZN72" s="41"/>
      <c r="ZO72" s="41"/>
      <c r="ZP72" s="41"/>
      <c r="ZQ72" s="41"/>
      <c r="ZR72" s="41"/>
      <c r="ZS72" s="41"/>
      <c r="ZT72" s="41"/>
      <c r="ZU72" s="41"/>
      <c r="ZV72" s="41"/>
      <c r="ZW72" s="41"/>
      <c r="ZX72" s="41"/>
      <c r="ZY72" s="41"/>
      <c r="ZZ72" s="41"/>
      <c r="AAA72" s="41"/>
      <c r="AAB72" s="41"/>
      <c r="AAC72" s="41"/>
    </row>
    <row r="73" spans="1:705" s="41" customFormat="1" ht="21" hidden="1" x14ac:dyDescent="0.3">
      <c r="A73" s="26">
        <v>69</v>
      </c>
      <c r="B73" s="137">
        <v>239666</v>
      </c>
      <c r="C73" s="138">
        <v>69</v>
      </c>
      <c r="D73" s="139">
        <v>45915</v>
      </c>
      <c r="E73" s="139">
        <f t="shared" si="13"/>
        <v>45914</v>
      </c>
      <c r="F73" s="139">
        <f t="shared" si="10"/>
        <v>45925</v>
      </c>
      <c r="G73" s="139">
        <v>45925</v>
      </c>
      <c r="H73" s="139">
        <v>45930</v>
      </c>
      <c r="I73" s="139" t="s">
        <v>75</v>
      </c>
      <c r="J73" s="140" t="s">
        <v>226</v>
      </c>
      <c r="K73" s="141">
        <f t="shared" si="14"/>
        <v>5</v>
      </c>
      <c r="L73" s="141">
        <v>1143607</v>
      </c>
      <c r="M73" s="140" t="s">
        <v>15</v>
      </c>
      <c r="N73" s="140">
        <v>803625</v>
      </c>
      <c r="O73" s="140" t="s">
        <v>246</v>
      </c>
      <c r="P73" s="143">
        <v>45923</v>
      </c>
      <c r="Q73" s="143">
        <v>45938</v>
      </c>
      <c r="R73" s="137" t="s">
        <v>211</v>
      </c>
      <c r="S73" s="144" t="s">
        <v>227</v>
      </c>
      <c r="T73" s="145">
        <v>1</v>
      </c>
      <c r="U73" s="137" t="s">
        <v>128</v>
      </c>
      <c r="V73" s="146">
        <v>7</v>
      </c>
      <c r="W73" s="146">
        <v>7</v>
      </c>
      <c r="X73" s="147">
        <v>0</v>
      </c>
      <c r="Y73" s="146">
        <v>0</v>
      </c>
      <c r="Z73" s="146">
        <v>0</v>
      </c>
      <c r="AA73" s="146">
        <v>0</v>
      </c>
      <c r="AB73" s="146">
        <v>0</v>
      </c>
      <c r="AC73" s="146">
        <v>0</v>
      </c>
      <c r="AD73" s="146">
        <v>0</v>
      </c>
      <c r="AE73" s="146">
        <v>0</v>
      </c>
      <c r="AF73" s="146">
        <v>0</v>
      </c>
      <c r="AG73" s="146">
        <v>0</v>
      </c>
      <c r="AH73" s="146">
        <v>1</v>
      </c>
      <c r="AI73" s="146">
        <v>1</v>
      </c>
      <c r="AJ73" s="146">
        <v>0</v>
      </c>
      <c r="AK73" s="146">
        <v>0</v>
      </c>
      <c r="AL73" s="146">
        <v>0</v>
      </c>
      <c r="AM73" s="146">
        <v>0</v>
      </c>
      <c r="AN73" s="146">
        <v>0</v>
      </c>
      <c r="AO73" s="146">
        <v>0</v>
      </c>
      <c r="AP73" s="146">
        <v>1</v>
      </c>
      <c r="AQ73" s="146">
        <v>1</v>
      </c>
      <c r="AR73" s="146">
        <v>0</v>
      </c>
      <c r="AS73" s="146">
        <v>0</v>
      </c>
      <c r="AT73" s="146">
        <v>1</v>
      </c>
      <c r="AU73" s="146">
        <v>1</v>
      </c>
      <c r="AV73" s="146">
        <v>0</v>
      </c>
      <c r="AW73" s="146">
        <v>0</v>
      </c>
      <c r="AX73" s="146">
        <f t="shared" si="11"/>
        <v>1570</v>
      </c>
      <c r="AY73" s="146">
        <f t="shared" si="12"/>
        <v>1570</v>
      </c>
      <c r="AZ73" s="140" t="s">
        <v>562</v>
      </c>
      <c r="BA73" s="140" t="s">
        <v>562</v>
      </c>
      <c r="BB73" s="137">
        <v>1</v>
      </c>
      <c r="BC73" s="148">
        <v>69</v>
      </c>
      <c r="BD73" s="149"/>
      <c r="BE73" s="145"/>
      <c r="BF73" s="150"/>
      <c r="BG73" s="152">
        <v>45901</v>
      </c>
      <c r="BH73" s="153" t="s">
        <v>535</v>
      </c>
      <c r="BI73" s="153" t="s">
        <v>562</v>
      </c>
    </row>
    <row r="74" spans="1:705" s="41" customFormat="1" ht="42" hidden="1" x14ac:dyDescent="0.3">
      <c r="A74" s="26">
        <v>70</v>
      </c>
      <c r="B74" s="137">
        <v>239653</v>
      </c>
      <c r="C74" s="138">
        <v>70</v>
      </c>
      <c r="D74" s="139">
        <v>45915</v>
      </c>
      <c r="E74" s="139">
        <f t="shared" si="13"/>
        <v>45914</v>
      </c>
      <c r="F74" s="139">
        <f t="shared" si="10"/>
        <v>45925</v>
      </c>
      <c r="G74" s="139">
        <v>46006</v>
      </c>
      <c r="H74" s="139">
        <v>45963</v>
      </c>
      <c r="I74" s="139" t="s">
        <v>321</v>
      </c>
      <c r="J74" s="140" t="s">
        <v>228</v>
      </c>
      <c r="K74" s="141">
        <f t="shared" si="14"/>
        <v>38</v>
      </c>
      <c r="L74" s="141">
        <v>1143564</v>
      </c>
      <c r="M74" s="140" t="s">
        <v>15</v>
      </c>
      <c r="N74" s="142">
        <v>803816</v>
      </c>
      <c r="O74" s="140" t="s">
        <v>246</v>
      </c>
      <c r="P74" s="143">
        <v>45938</v>
      </c>
      <c r="Q74" s="143">
        <v>46114</v>
      </c>
      <c r="R74" s="137" t="s">
        <v>211</v>
      </c>
      <c r="S74" s="144" t="s">
        <v>229</v>
      </c>
      <c r="T74" s="145">
        <v>1</v>
      </c>
      <c r="U74" s="137" t="s">
        <v>82</v>
      </c>
      <c r="V74" s="146">
        <v>286</v>
      </c>
      <c r="W74" s="146">
        <v>286</v>
      </c>
      <c r="X74" s="147">
        <v>0</v>
      </c>
      <c r="Y74" s="146"/>
      <c r="Z74" s="146">
        <v>0</v>
      </c>
      <c r="AA74" s="146">
        <v>0</v>
      </c>
      <c r="AB74" s="146">
        <v>32</v>
      </c>
      <c r="AC74" s="146">
        <v>32</v>
      </c>
      <c r="AD74" s="146">
        <v>0</v>
      </c>
      <c r="AE74" s="146">
        <v>0</v>
      </c>
      <c r="AF74" s="146">
        <v>0</v>
      </c>
      <c r="AG74" s="146">
        <v>0</v>
      </c>
      <c r="AH74" s="146">
        <v>0</v>
      </c>
      <c r="AI74" s="146">
        <v>0</v>
      </c>
      <c r="AJ74" s="146">
        <v>0</v>
      </c>
      <c r="AK74" s="146">
        <v>0</v>
      </c>
      <c r="AL74" s="146">
        <v>3</v>
      </c>
      <c r="AM74" s="146">
        <v>3</v>
      </c>
      <c r="AN74" s="146">
        <v>2</v>
      </c>
      <c r="AO74" s="146">
        <v>2</v>
      </c>
      <c r="AP74" s="146">
        <v>0</v>
      </c>
      <c r="AQ74" s="146"/>
      <c r="AR74" s="146">
        <v>0</v>
      </c>
      <c r="AS74" s="146">
        <v>0</v>
      </c>
      <c r="AT74" s="146">
        <v>0</v>
      </c>
      <c r="AU74" s="146"/>
      <c r="AV74" s="146">
        <v>0</v>
      </c>
      <c r="AW74" s="146">
        <v>0</v>
      </c>
      <c r="AX74" s="146">
        <f t="shared" si="11"/>
        <v>20874</v>
      </c>
      <c r="AY74" s="146">
        <f t="shared" si="12"/>
        <v>20874</v>
      </c>
      <c r="AZ74" s="140" t="s">
        <v>562</v>
      </c>
      <c r="BA74" s="140" t="s">
        <v>562</v>
      </c>
      <c r="BB74" s="137">
        <v>2</v>
      </c>
      <c r="BC74" s="148">
        <v>70</v>
      </c>
      <c r="BD74" s="149"/>
      <c r="BE74" s="145"/>
      <c r="BF74" s="150"/>
      <c r="BG74" s="151">
        <v>45931</v>
      </c>
      <c r="BH74" s="153" t="s">
        <v>535</v>
      </c>
      <c r="BI74" s="153" t="s">
        <v>562</v>
      </c>
    </row>
    <row r="75" spans="1:705" s="41" customFormat="1" ht="42" hidden="1" x14ac:dyDescent="0.3">
      <c r="A75" s="26">
        <v>71</v>
      </c>
      <c r="B75" s="137">
        <v>239674</v>
      </c>
      <c r="C75" s="138">
        <v>71</v>
      </c>
      <c r="D75" s="139">
        <v>45915</v>
      </c>
      <c r="E75" s="139">
        <f t="shared" si="13"/>
        <v>45914</v>
      </c>
      <c r="F75" s="139">
        <f t="shared" si="10"/>
        <v>45925</v>
      </c>
      <c r="G75" s="139">
        <v>46006</v>
      </c>
      <c r="H75" s="139">
        <v>45937</v>
      </c>
      <c r="I75" s="139" t="s">
        <v>321</v>
      </c>
      <c r="J75" s="140" t="s">
        <v>230</v>
      </c>
      <c r="K75" s="141">
        <f t="shared" si="14"/>
        <v>12</v>
      </c>
      <c r="L75" s="141">
        <v>1143616</v>
      </c>
      <c r="M75" s="140" t="s">
        <v>15</v>
      </c>
      <c r="N75" s="142">
        <v>803630</v>
      </c>
      <c r="O75" s="140" t="s">
        <v>246</v>
      </c>
      <c r="P75" s="143">
        <v>45925</v>
      </c>
      <c r="Q75" s="143">
        <v>45940</v>
      </c>
      <c r="R75" s="137" t="s">
        <v>211</v>
      </c>
      <c r="S75" s="144" t="s">
        <v>231</v>
      </c>
      <c r="T75" s="145">
        <v>1</v>
      </c>
      <c r="U75" s="137" t="s">
        <v>82</v>
      </c>
      <c r="V75" s="146">
        <v>60</v>
      </c>
      <c r="W75" s="146">
        <v>60</v>
      </c>
      <c r="X75" s="147"/>
      <c r="Y75" s="146"/>
      <c r="Z75" s="146">
        <v>0</v>
      </c>
      <c r="AA75" s="146">
        <v>0</v>
      </c>
      <c r="AB75" s="146">
        <v>0</v>
      </c>
      <c r="AC75" s="146"/>
      <c r="AD75" s="146">
        <v>0</v>
      </c>
      <c r="AE75" s="146">
        <v>0</v>
      </c>
      <c r="AF75" s="146">
        <v>0</v>
      </c>
      <c r="AG75" s="146">
        <v>0</v>
      </c>
      <c r="AH75" s="146">
        <v>1</v>
      </c>
      <c r="AI75" s="146">
        <v>1</v>
      </c>
      <c r="AJ75" s="146">
        <v>0</v>
      </c>
      <c r="AK75" s="146">
        <v>0</v>
      </c>
      <c r="AL75" s="146">
        <v>1</v>
      </c>
      <c r="AM75" s="146">
        <v>1</v>
      </c>
      <c r="AN75" s="146">
        <v>1</v>
      </c>
      <c r="AO75" s="146">
        <v>1</v>
      </c>
      <c r="AP75" s="146">
        <v>1</v>
      </c>
      <c r="AQ75" s="146">
        <v>1</v>
      </c>
      <c r="AR75" s="146">
        <v>0</v>
      </c>
      <c r="AS75" s="146">
        <v>0</v>
      </c>
      <c r="AT75" s="146">
        <v>1</v>
      </c>
      <c r="AU75" s="146">
        <v>1</v>
      </c>
      <c r="AV75" s="146">
        <v>0</v>
      </c>
      <c r="AW75" s="146">
        <v>0</v>
      </c>
      <c r="AX75" s="146">
        <f t="shared" si="11"/>
        <v>5400</v>
      </c>
      <c r="AY75" s="146">
        <f t="shared" si="12"/>
        <v>5400</v>
      </c>
      <c r="AZ75" s="140" t="s">
        <v>562</v>
      </c>
      <c r="BA75" s="140" t="s">
        <v>562</v>
      </c>
      <c r="BB75" s="137">
        <v>3</v>
      </c>
      <c r="BC75" s="148">
        <v>71</v>
      </c>
      <c r="BD75" s="149"/>
      <c r="BE75" s="145"/>
      <c r="BF75" s="150"/>
      <c r="BG75" s="151">
        <v>45931</v>
      </c>
      <c r="BH75" s="153" t="s">
        <v>535</v>
      </c>
      <c r="BI75" s="153" t="s">
        <v>562</v>
      </c>
    </row>
    <row r="76" spans="1:705" s="41" customFormat="1" ht="42" hidden="1" x14ac:dyDescent="0.3">
      <c r="A76" s="26">
        <v>72</v>
      </c>
      <c r="B76" s="137">
        <v>239683</v>
      </c>
      <c r="C76" s="138">
        <v>72</v>
      </c>
      <c r="D76" s="139">
        <v>45915</v>
      </c>
      <c r="E76" s="139">
        <f t="shared" si="13"/>
        <v>45914</v>
      </c>
      <c r="F76" s="139">
        <f t="shared" si="10"/>
        <v>45925</v>
      </c>
      <c r="G76" s="139">
        <v>46006</v>
      </c>
      <c r="H76" s="139">
        <v>45967</v>
      </c>
      <c r="I76" s="139" t="s">
        <v>123</v>
      </c>
      <c r="J76" s="140" t="s">
        <v>464</v>
      </c>
      <c r="K76" s="141">
        <f t="shared" si="14"/>
        <v>42</v>
      </c>
      <c r="L76" s="141">
        <v>1143621</v>
      </c>
      <c r="M76" s="140" t="s">
        <v>15</v>
      </c>
      <c r="N76" s="142">
        <v>803816</v>
      </c>
      <c r="O76" s="140" t="s">
        <v>246</v>
      </c>
      <c r="P76" s="143">
        <v>45938</v>
      </c>
      <c r="Q76" s="143">
        <v>46114</v>
      </c>
      <c r="R76" s="137" t="s">
        <v>211</v>
      </c>
      <c r="S76" s="144" t="s">
        <v>232</v>
      </c>
      <c r="T76" s="145">
        <v>1</v>
      </c>
      <c r="U76" s="137" t="s">
        <v>82</v>
      </c>
      <c r="V76" s="146">
        <v>42</v>
      </c>
      <c r="W76" s="146">
        <v>42</v>
      </c>
      <c r="X76" s="147">
        <v>0</v>
      </c>
      <c r="Y76" s="146"/>
      <c r="Z76" s="146">
        <v>0</v>
      </c>
      <c r="AA76" s="146">
        <v>0</v>
      </c>
      <c r="AB76" s="146">
        <v>16</v>
      </c>
      <c r="AC76" s="146">
        <v>16</v>
      </c>
      <c r="AD76" s="146">
        <v>0</v>
      </c>
      <c r="AE76" s="146">
        <v>0</v>
      </c>
      <c r="AF76" s="146">
        <v>0</v>
      </c>
      <c r="AG76" s="146">
        <v>0</v>
      </c>
      <c r="AH76" s="146">
        <v>1</v>
      </c>
      <c r="AI76" s="146">
        <v>1</v>
      </c>
      <c r="AJ76" s="146">
        <v>0</v>
      </c>
      <c r="AK76" s="146">
        <v>0</v>
      </c>
      <c r="AL76" s="146">
        <v>1</v>
      </c>
      <c r="AM76" s="146">
        <v>1</v>
      </c>
      <c r="AN76" s="146">
        <v>1</v>
      </c>
      <c r="AO76" s="146">
        <v>1</v>
      </c>
      <c r="AP76" s="146">
        <v>1</v>
      </c>
      <c r="AQ76" s="146">
        <v>1</v>
      </c>
      <c r="AR76" s="146">
        <v>0</v>
      </c>
      <c r="AS76" s="146">
        <v>0</v>
      </c>
      <c r="AT76" s="146">
        <v>1</v>
      </c>
      <c r="AU76" s="146">
        <v>1</v>
      </c>
      <c r="AV76" s="146">
        <v>0</v>
      </c>
      <c r="AW76" s="146">
        <v>0</v>
      </c>
      <c r="AX76" s="146">
        <f t="shared" si="11"/>
        <v>5232</v>
      </c>
      <c r="AY76" s="146">
        <f t="shared" si="12"/>
        <v>5232</v>
      </c>
      <c r="AZ76" s="140" t="s">
        <v>562</v>
      </c>
      <c r="BA76" s="140" t="s">
        <v>562</v>
      </c>
      <c r="BB76" s="137">
        <v>2</v>
      </c>
      <c r="BC76" s="148">
        <v>72</v>
      </c>
      <c r="BD76" s="149"/>
      <c r="BE76" s="145"/>
      <c r="BF76" s="150"/>
      <c r="BG76" s="151">
        <v>45931</v>
      </c>
      <c r="BH76" s="153" t="s">
        <v>535</v>
      </c>
      <c r="BI76" s="153" t="s">
        <v>562</v>
      </c>
    </row>
    <row r="77" spans="1:705" s="41" customFormat="1" ht="35.4" hidden="1" customHeight="1" x14ac:dyDescent="0.3">
      <c r="A77" s="26">
        <v>73</v>
      </c>
      <c r="B77" s="137">
        <v>239684</v>
      </c>
      <c r="C77" s="138">
        <v>73</v>
      </c>
      <c r="D77" s="139">
        <v>45915</v>
      </c>
      <c r="E77" s="139">
        <f t="shared" si="13"/>
        <v>45914</v>
      </c>
      <c r="F77" s="139">
        <f t="shared" si="10"/>
        <v>45925</v>
      </c>
      <c r="G77" s="139">
        <v>46006</v>
      </c>
      <c r="H77" s="139">
        <v>45964</v>
      </c>
      <c r="I77" s="139" t="s">
        <v>321</v>
      </c>
      <c r="J77" s="140" t="s">
        <v>233</v>
      </c>
      <c r="K77" s="141">
        <f t="shared" si="14"/>
        <v>39</v>
      </c>
      <c r="L77" s="141">
        <v>1143625</v>
      </c>
      <c r="M77" s="140" t="s">
        <v>15</v>
      </c>
      <c r="N77" s="142">
        <v>803816</v>
      </c>
      <c r="O77" s="140" t="s">
        <v>246</v>
      </c>
      <c r="P77" s="143">
        <v>45938</v>
      </c>
      <c r="Q77" s="143">
        <v>46114</v>
      </c>
      <c r="R77" s="137" t="s">
        <v>211</v>
      </c>
      <c r="S77" s="144" t="s">
        <v>234</v>
      </c>
      <c r="T77" s="145">
        <v>2</v>
      </c>
      <c r="U77" s="137" t="s">
        <v>82</v>
      </c>
      <c r="V77" s="146">
        <v>200</v>
      </c>
      <c r="W77" s="146">
        <v>200</v>
      </c>
      <c r="X77" s="147">
        <v>0</v>
      </c>
      <c r="Y77" s="146">
        <v>0</v>
      </c>
      <c r="Z77" s="146">
        <v>0</v>
      </c>
      <c r="AA77" s="146">
        <v>0</v>
      </c>
      <c r="AB77" s="146">
        <v>27</v>
      </c>
      <c r="AC77" s="146">
        <v>27</v>
      </c>
      <c r="AD77" s="146">
        <v>0</v>
      </c>
      <c r="AE77" s="146">
        <v>0</v>
      </c>
      <c r="AF77" s="146">
        <v>0</v>
      </c>
      <c r="AG77" s="146">
        <v>0</v>
      </c>
      <c r="AH77" s="146"/>
      <c r="AI77" s="146"/>
      <c r="AJ77" s="146">
        <v>1</v>
      </c>
      <c r="AK77" s="146">
        <v>1</v>
      </c>
      <c r="AL77" s="146">
        <v>0</v>
      </c>
      <c r="AM77" s="146"/>
      <c r="AN77" s="146">
        <v>1</v>
      </c>
      <c r="AO77" s="146">
        <v>1</v>
      </c>
      <c r="AP77" s="146"/>
      <c r="AQ77" s="146"/>
      <c r="AR77" s="146">
        <v>0</v>
      </c>
      <c r="AS77" s="146"/>
      <c r="AT77" s="146"/>
      <c r="AU77" s="146"/>
      <c r="AV77" s="146">
        <v>0</v>
      </c>
      <c r="AW77" s="146">
        <v>0</v>
      </c>
      <c r="AX77" s="146">
        <f t="shared" si="11"/>
        <v>13974</v>
      </c>
      <c r="AY77" s="146">
        <f t="shared" si="12"/>
        <v>13974</v>
      </c>
      <c r="AZ77" s="140" t="s">
        <v>562</v>
      </c>
      <c r="BA77" s="140" t="s">
        <v>562</v>
      </c>
      <c r="BB77" s="137">
        <v>2</v>
      </c>
      <c r="BC77" s="148">
        <v>73</v>
      </c>
      <c r="BD77" s="149"/>
      <c r="BE77" s="145"/>
      <c r="BF77" s="150"/>
      <c r="BG77" s="151">
        <v>45931</v>
      </c>
      <c r="BH77" s="153" t="s">
        <v>535</v>
      </c>
      <c r="BI77" s="153" t="s">
        <v>562</v>
      </c>
    </row>
    <row r="78" spans="1:705" s="42" customFormat="1" ht="51" hidden="1" customHeight="1" x14ac:dyDescent="0.3">
      <c r="A78" s="26">
        <v>74</v>
      </c>
      <c r="B78" s="137">
        <v>239685</v>
      </c>
      <c r="C78" s="138">
        <v>74</v>
      </c>
      <c r="D78" s="139">
        <v>45916</v>
      </c>
      <c r="E78" s="139">
        <f t="shared" si="13"/>
        <v>45915</v>
      </c>
      <c r="F78" s="139">
        <f t="shared" si="10"/>
        <v>45926</v>
      </c>
      <c r="G78" s="139">
        <v>45977</v>
      </c>
      <c r="H78" s="139">
        <f ca="1">TODAY()</f>
        <v>46277</v>
      </c>
      <c r="I78" s="139" t="s">
        <v>321</v>
      </c>
      <c r="J78" s="140" t="s">
        <v>235</v>
      </c>
      <c r="K78" s="141">
        <f t="shared" ca="1" si="14"/>
        <v>351</v>
      </c>
      <c r="L78" s="141">
        <v>1143713</v>
      </c>
      <c r="M78" s="140" t="s">
        <v>15</v>
      </c>
      <c r="N78" s="142">
        <v>810944</v>
      </c>
      <c r="O78" s="140" t="s">
        <v>246</v>
      </c>
      <c r="P78" s="143">
        <v>46014</v>
      </c>
      <c r="Q78" s="143">
        <v>46198</v>
      </c>
      <c r="R78" s="137" t="s">
        <v>1013</v>
      </c>
      <c r="S78" s="144" t="s">
        <v>236</v>
      </c>
      <c r="T78" s="145">
        <v>1</v>
      </c>
      <c r="U78" s="137" t="s">
        <v>106</v>
      </c>
      <c r="V78" s="146">
        <v>163</v>
      </c>
      <c r="W78" s="146">
        <v>163</v>
      </c>
      <c r="X78" s="147">
        <v>0</v>
      </c>
      <c r="Y78" s="146">
        <v>0</v>
      </c>
      <c r="Z78" s="146">
        <v>0</v>
      </c>
      <c r="AA78" s="146">
        <v>0</v>
      </c>
      <c r="AB78" s="146">
        <v>89</v>
      </c>
      <c r="AC78" s="146">
        <v>89</v>
      </c>
      <c r="AD78" s="146">
        <v>0</v>
      </c>
      <c r="AE78" s="146">
        <v>0</v>
      </c>
      <c r="AF78" s="146">
        <v>0</v>
      </c>
      <c r="AG78" s="146">
        <v>0</v>
      </c>
      <c r="AH78" s="146">
        <v>2</v>
      </c>
      <c r="AI78" s="146">
        <v>2</v>
      </c>
      <c r="AJ78" s="146"/>
      <c r="AK78" s="146"/>
      <c r="AL78" s="146">
        <v>2</v>
      </c>
      <c r="AM78" s="146">
        <v>2</v>
      </c>
      <c r="AN78" s="146">
        <v>4</v>
      </c>
      <c r="AO78" s="146">
        <v>4</v>
      </c>
      <c r="AP78" s="146">
        <v>2</v>
      </c>
      <c r="AQ78" s="146">
        <v>2</v>
      </c>
      <c r="AR78" s="146">
        <v>0</v>
      </c>
      <c r="AS78" s="146">
        <v>0</v>
      </c>
      <c r="AT78" s="146">
        <v>0</v>
      </c>
      <c r="AU78" s="146"/>
      <c r="AV78" s="146">
        <v>0</v>
      </c>
      <c r="AW78" s="146">
        <v>0</v>
      </c>
      <c r="AX78" s="146">
        <f t="shared" si="11"/>
        <v>17873</v>
      </c>
      <c r="AY78" s="146">
        <f t="shared" si="12"/>
        <v>17873</v>
      </c>
      <c r="AZ78" s="140" t="s">
        <v>562</v>
      </c>
      <c r="BA78" s="140" t="s">
        <v>562</v>
      </c>
      <c r="BB78" s="137">
        <v>6</v>
      </c>
      <c r="BC78" s="148">
        <v>74</v>
      </c>
      <c r="BD78" s="149"/>
      <c r="BE78" s="145"/>
      <c r="BF78" s="150"/>
      <c r="BG78" s="151">
        <v>46023</v>
      </c>
      <c r="BH78" s="153" t="s">
        <v>535</v>
      </c>
      <c r="BI78" s="153" t="s">
        <v>562</v>
      </c>
      <c r="CC78" s="41"/>
      <c r="CD78" s="41"/>
      <c r="CE78" s="41"/>
      <c r="CF78" s="41"/>
      <c r="CG78" s="41"/>
      <c r="CH78" s="41"/>
      <c r="CI78" s="41"/>
      <c r="CJ78" s="41"/>
      <c r="CK78" s="41"/>
      <c r="CL78" s="41"/>
      <c r="CM78" s="41"/>
      <c r="CN78" s="41"/>
      <c r="CO78" s="41"/>
      <c r="CP78" s="41"/>
      <c r="CQ78" s="41"/>
      <c r="CR78" s="41"/>
      <c r="CS78" s="41"/>
      <c r="CT78" s="41"/>
      <c r="CU78" s="41"/>
      <c r="CV78" s="41"/>
      <c r="CW78" s="41"/>
      <c r="CX78" s="41"/>
      <c r="CY78" s="41"/>
      <c r="CZ78" s="41"/>
      <c r="DA78" s="41"/>
      <c r="DB78" s="41"/>
      <c r="DC78" s="41"/>
      <c r="DD78" s="41"/>
      <c r="DE78" s="41"/>
      <c r="DF78" s="41"/>
      <c r="DG78" s="41"/>
      <c r="DH78" s="41"/>
      <c r="DI78" s="41"/>
      <c r="DJ78" s="41"/>
      <c r="DK78" s="41"/>
      <c r="DL78" s="41"/>
      <c r="DM78" s="41"/>
      <c r="DN78" s="41"/>
      <c r="DO78" s="41"/>
      <c r="DP78" s="41"/>
      <c r="DQ78" s="41"/>
      <c r="DR78" s="41"/>
      <c r="DS78" s="41"/>
      <c r="DT78" s="41"/>
      <c r="DU78" s="41"/>
      <c r="DV78" s="41"/>
      <c r="DW78" s="41"/>
      <c r="DX78" s="41"/>
      <c r="DY78" s="41"/>
      <c r="DZ78" s="41"/>
      <c r="EA78" s="41"/>
      <c r="EB78" s="41"/>
      <c r="EC78" s="41"/>
      <c r="ED78" s="41"/>
      <c r="EE78" s="41"/>
      <c r="EF78" s="41"/>
      <c r="EG78" s="41"/>
      <c r="EH78" s="41"/>
      <c r="EI78" s="41"/>
      <c r="EJ78" s="41"/>
      <c r="EK78" s="41"/>
      <c r="EL78" s="41"/>
      <c r="EM78" s="41"/>
      <c r="EN78" s="41"/>
      <c r="EO78" s="41"/>
      <c r="EP78" s="41"/>
      <c r="EQ78" s="41"/>
      <c r="ER78" s="41"/>
      <c r="ES78" s="41"/>
      <c r="ET78" s="41"/>
      <c r="EU78" s="41"/>
      <c r="EV78" s="41"/>
      <c r="EW78" s="41"/>
      <c r="EX78" s="41"/>
      <c r="EY78" s="41"/>
      <c r="EZ78" s="41"/>
      <c r="FA78" s="41"/>
      <c r="FB78" s="41"/>
      <c r="FC78" s="41"/>
      <c r="FD78" s="41"/>
      <c r="FE78" s="41"/>
      <c r="FF78" s="41"/>
      <c r="FG78" s="41"/>
      <c r="FH78" s="41"/>
      <c r="FI78" s="41"/>
      <c r="FJ78" s="41"/>
      <c r="FK78" s="41"/>
      <c r="FL78" s="41"/>
      <c r="FM78" s="41"/>
      <c r="FN78" s="41"/>
      <c r="FO78" s="41"/>
      <c r="FP78" s="41"/>
      <c r="FQ78" s="41"/>
      <c r="FR78" s="41"/>
      <c r="FS78" s="41"/>
      <c r="FT78" s="41"/>
      <c r="FU78" s="41"/>
      <c r="FV78" s="41"/>
      <c r="FW78" s="41"/>
      <c r="FX78" s="41"/>
      <c r="FY78" s="41"/>
      <c r="FZ78" s="41"/>
      <c r="GA78" s="41"/>
      <c r="GB78" s="41"/>
      <c r="GC78" s="41"/>
      <c r="GD78" s="41"/>
      <c r="GE78" s="41"/>
      <c r="GF78" s="41"/>
      <c r="GG78" s="41"/>
      <c r="GH78" s="41"/>
      <c r="GI78" s="41"/>
      <c r="GJ78" s="41"/>
      <c r="GK78" s="41"/>
      <c r="GL78" s="41"/>
      <c r="GM78" s="41"/>
      <c r="GN78" s="41"/>
      <c r="GO78" s="41"/>
      <c r="GP78" s="41"/>
      <c r="GQ78" s="41"/>
      <c r="GR78" s="41"/>
      <c r="GS78" s="41"/>
      <c r="GT78" s="41"/>
      <c r="GU78" s="41"/>
      <c r="GV78" s="41"/>
      <c r="GW78" s="41"/>
      <c r="GX78" s="41"/>
      <c r="GY78" s="41"/>
      <c r="GZ78" s="41"/>
      <c r="HA78" s="41"/>
      <c r="HB78" s="41"/>
      <c r="HC78" s="41"/>
      <c r="HD78" s="41"/>
      <c r="HE78" s="41"/>
      <c r="HF78" s="41"/>
      <c r="HG78" s="41"/>
      <c r="HH78" s="41"/>
      <c r="HI78" s="41"/>
      <c r="HJ78" s="41"/>
      <c r="HK78" s="41"/>
      <c r="HL78" s="41"/>
      <c r="HM78" s="41"/>
      <c r="HN78" s="41"/>
      <c r="HO78" s="41"/>
      <c r="HP78" s="41"/>
      <c r="HQ78" s="41"/>
      <c r="HR78" s="41"/>
      <c r="HS78" s="41"/>
      <c r="HT78" s="41"/>
      <c r="HU78" s="41"/>
      <c r="HV78" s="41"/>
      <c r="HW78" s="41"/>
      <c r="HX78" s="41"/>
      <c r="HY78" s="41"/>
      <c r="HZ78" s="41"/>
      <c r="IA78" s="41"/>
      <c r="IB78" s="41"/>
      <c r="IC78" s="41"/>
      <c r="ID78" s="41"/>
      <c r="IE78" s="41"/>
      <c r="IF78" s="41"/>
      <c r="IG78" s="41"/>
      <c r="IH78" s="41"/>
      <c r="II78" s="41"/>
      <c r="IJ78" s="41"/>
      <c r="IK78" s="41"/>
      <c r="IL78" s="41"/>
      <c r="IM78" s="41"/>
      <c r="IN78" s="41"/>
      <c r="IO78" s="41"/>
      <c r="IP78" s="41"/>
      <c r="IQ78" s="41"/>
      <c r="IR78" s="41"/>
      <c r="IS78" s="41"/>
      <c r="IT78" s="41"/>
      <c r="IU78" s="41"/>
      <c r="IV78" s="41"/>
      <c r="IW78" s="41"/>
      <c r="IX78" s="41"/>
      <c r="IY78" s="41"/>
      <c r="IZ78" s="41"/>
      <c r="JA78" s="41"/>
      <c r="JB78" s="41"/>
      <c r="JC78" s="41"/>
      <c r="JD78" s="41"/>
      <c r="JE78" s="41"/>
      <c r="JF78" s="41"/>
      <c r="JG78" s="41"/>
      <c r="JH78" s="41"/>
      <c r="JI78" s="41"/>
      <c r="JJ78" s="41"/>
      <c r="JK78" s="41"/>
      <c r="JL78" s="41"/>
      <c r="JM78" s="41"/>
      <c r="JN78" s="41"/>
      <c r="JO78" s="41"/>
      <c r="JP78" s="41"/>
      <c r="JQ78" s="41"/>
      <c r="JR78" s="41"/>
      <c r="JS78" s="41"/>
      <c r="JT78" s="41"/>
      <c r="JU78" s="41"/>
      <c r="JV78" s="41"/>
      <c r="JW78" s="41"/>
      <c r="JX78" s="41"/>
      <c r="JY78" s="41"/>
      <c r="JZ78" s="41"/>
      <c r="KA78" s="41"/>
      <c r="KB78" s="41"/>
      <c r="KC78" s="41"/>
      <c r="KD78" s="41"/>
      <c r="KE78" s="41"/>
      <c r="KF78" s="41"/>
      <c r="KG78" s="41"/>
      <c r="KH78" s="41"/>
      <c r="KI78" s="41"/>
      <c r="KJ78" s="41"/>
      <c r="KK78" s="41"/>
      <c r="KL78" s="41"/>
      <c r="KM78" s="41"/>
      <c r="KN78" s="41"/>
      <c r="KO78" s="41"/>
      <c r="KP78" s="41"/>
      <c r="KQ78" s="41"/>
      <c r="KR78" s="41"/>
      <c r="KS78" s="41"/>
      <c r="KT78" s="41"/>
      <c r="KU78" s="41"/>
      <c r="KV78" s="41"/>
      <c r="KW78" s="41"/>
      <c r="KX78" s="41"/>
      <c r="KY78" s="41"/>
      <c r="KZ78" s="41"/>
      <c r="LA78" s="41"/>
      <c r="LB78" s="41"/>
      <c r="LC78" s="41"/>
      <c r="LD78" s="41"/>
      <c r="LE78" s="41"/>
      <c r="LF78" s="41"/>
      <c r="LG78" s="41"/>
      <c r="LH78" s="41"/>
      <c r="LI78" s="41"/>
      <c r="LJ78" s="41"/>
      <c r="LK78" s="41"/>
      <c r="LL78" s="41"/>
      <c r="LM78" s="41"/>
      <c r="LN78" s="41"/>
      <c r="LO78" s="41"/>
      <c r="LP78" s="41"/>
      <c r="LQ78" s="41"/>
      <c r="LR78" s="41"/>
      <c r="LS78" s="41"/>
      <c r="LT78" s="41"/>
      <c r="LU78" s="41"/>
      <c r="LV78" s="41"/>
      <c r="LW78" s="41"/>
      <c r="LX78" s="41"/>
      <c r="LY78" s="41"/>
      <c r="LZ78" s="41"/>
      <c r="MA78" s="41"/>
      <c r="MB78" s="41"/>
      <c r="MC78" s="41"/>
      <c r="MD78" s="41"/>
      <c r="ME78" s="41"/>
      <c r="MF78" s="41"/>
      <c r="MG78" s="41"/>
      <c r="MH78" s="41"/>
      <c r="MI78" s="41"/>
      <c r="MJ78" s="41"/>
      <c r="MK78" s="41"/>
      <c r="ML78" s="41"/>
      <c r="MM78" s="41"/>
      <c r="MN78" s="41"/>
      <c r="MO78" s="41"/>
      <c r="MP78" s="41"/>
      <c r="MQ78" s="41"/>
      <c r="MR78" s="41"/>
      <c r="MS78" s="41"/>
      <c r="MT78" s="41"/>
      <c r="MU78" s="41"/>
      <c r="MV78" s="41"/>
      <c r="MW78" s="41"/>
      <c r="MX78" s="41"/>
      <c r="MY78" s="41"/>
      <c r="MZ78" s="41"/>
      <c r="NA78" s="41"/>
      <c r="NB78" s="41"/>
      <c r="NC78" s="41"/>
      <c r="ND78" s="41"/>
      <c r="NE78" s="41"/>
      <c r="NF78" s="41"/>
      <c r="NG78" s="41"/>
      <c r="NH78" s="41"/>
      <c r="NI78" s="41"/>
      <c r="NJ78" s="41"/>
      <c r="NK78" s="41"/>
      <c r="NL78" s="41"/>
      <c r="NM78" s="41"/>
      <c r="NN78" s="41"/>
      <c r="NO78" s="41"/>
      <c r="NP78" s="41"/>
      <c r="NQ78" s="41"/>
      <c r="NR78" s="41"/>
      <c r="NS78" s="41"/>
      <c r="NT78" s="41"/>
      <c r="NU78" s="41"/>
      <c r="NV78" s="41"/>
      <c r="NW78" s="41"/>
      <c r="NX78" s="41"/>
      <c r="NY78" s="41"/>
      <c r="NZ78" s="41"/>
      <c r="OA78" s="41"/>
      <c r="OB78" s="41"/>
      <c r="OC78" s="41"/>
      <c r="OD78" s="41"/>
      <c r="OE78" s="41"/>
      <c r="OF78" s="41"/>
      <c r="OG78" s="41"/>
      <c r="OH78" s="41"/>
      <c r="OI78" s="41"/>
      <c r="OJ78" s="41"/>
      <c r="OK78" s="41"/>
      <c r="OL78" s="41"/>
      <c r="OM78" s="41"/>
      <c r="ON78" s="41"/>
      <c r="OO78" s="41"/>
      <c r="OP78" s="41"/>
      <c r="OQ78" s="41"/>
      <c r="OR78" s="41"/>
      <c r="OS78" s="41"/>
      <c r="OT78" s="41"/>
      <c r="OU78" s="41"/>
      <c r="OV78" s="41"/>
      <c r="OW78" s="41"/>
      <c r="OX78" s="41"/>
      <c r="OY78" s="41"/>
      <c r="OZ78" s="41"/>
      <c r="PA78" s="41"/>
      <c r="PB78" s="41"/>
      <c r="PC78" s="41"/>
      <c r="PD78" s="41"/>
      <c r="PE78" s="41"/>
      <c r="PF78" s="41"/>
      <c r="PG78" s="41"/>
      <c r="PH78" s="41"/>
      <c r="PI78" s="41"/>
      <c r="PJ78" s="41"/>
      <c r="PK78" s="41"/>
      <c r="PL78" s="41"/>
      <c r="PM78" s="41"/>
      <c r="PN78" s="41"/>
      <c r="PO78" s="41"/>
      <c r="PP78" s="41"/>
      <c r="PQ78" s="41"/>
      <c r="PR78" s="41"/>
      <c r="PS78" s="41"/>
      <c r="PT78" s="41"/>
      <c r="PU78" s="41"/>
      <c r="PV78" s="41"/>
      <c r="PW78" s="41"/>
      <c r="PX78" s="41"/>
      <c r="PY78" s="41"/>
      <c r="PZ78" s="41"/>
      <c r="QA78" s="41"/>
      <c r="QB78" s="41"/>
      <c r="QC78" s="41"/>
      <c r="QD78" s="41"/>
      <c r="QE78" s="41"/>
      <c r="QF78" s="41"/>
      <c r="QG78" s="41"/>
      <c r="QH78" s="41"/>
      <c r="QI78" s="41"/>
      <c r="QJ78" s="41"/>
      <c r="QK78" s="41"/>
      <c r="QL78" s="41"/>
      <c r="QM78" s="41"/>
      <c r="QN78" s="41"/>
      <c r="QO78" s="41"/>
      <c r="QP78" s="41"/>
      <c r="QQ78" s="41"/>
      <c r="QR78" s="41"/>
      <c r="QS78" s="41"/>
      <c r="QT78" s="41"/>
      <c r="QU78" s="41"/>
      <c r="QV78" s="41"/>
      <c r="QW78" s="41"/>
      <c r="QX78" s="41"/>
      <c r="QY78" s="41"/>
      <c r="QZ78" s="41"/>
      <c r="RA78" s="41"/>
      <c r="RB78" s="41"/>
      <c r="RC78" s="41"/>
      <c r="RD78" s="41"/>
      <c r="RE78" s="41"/>
      <c r="RF78" s="41"/>
      <c r="RG78" s="41"/>
      <c r="RH78" s="41"/>
      <c r="RI78" s="41"/>
      <c r="RJ78" s="41"/>
      <c r="RK78" s="41"/>
      <c r="RL78" s="41"/>
      <c r="RM78" s="41"/>
      <c r="RN78" s="41"/>
      <c r="RO78" s="41"/>
      <c r="RP78" s="41"/>
      <c r="RQ78" s="41"/>
      <c r="RR78" s="41"/>
      <c r="RS78" s="41"/>
      <c r="RT78" s="41"/>
      <c r="RU78" s="41"/>
      <c r="RV78" s="41"/>
      <c r="RW78" s="41"/>
      <c r="RX78" s="41"/>
      <c r="RY78" s="41"/>
      <c r="RZ78" s="41"/>
      <c r="SA78" s="41"/>
      <c r="SB78" s="41"/>
      <c r="SC78" s="41"/>
      <c r="SD78" s="41"/>
      <c r="SE78" s="41"/>
      <c r="SF78" s="41"/>
      <c r="SG78" s="41"/>
      <c r="SH78" s="41"/>
      <c r="SI78" s="41"/>
      <c r="SJ78" s="41"/>
      <c r="SK78" s="41"/>
      <c r="SL78" s="41"/>
      <c r="SM78" s="41"/>
      <c r="SN78" s="41"/>
      <c r="SO78" s="41"/>
      <c r="SP78" s="41"/>
      <c r="SQ78" s="41"/>
      <c r="SR78" s="41"/>
      <c r="SS78" s="41"/>
      <c r="ST78" s="41"/>
      <c r="SU78" s="41"/>
      <c r="SV78" s="41"/>
      <c r="SW78" s="41"/>
      <c r="SX78" s="41"/>
      <c r="SY78" s="41"/>
      <c r="SZ78" s="41"/>
      <c r="TA78" s="41"/>
      <c r="TB78" s="41"/>
      <c r="TC78" s="41"/>
      <c r="TD78" s="41"/>
      <c r="TE78" s="41"/>
      <c r="TF78" s="41"/>
      <c r="TG78" s="41"/>
      <c r="TH78" s="41"/>
      <c r="TI78" s="41"/>
      <c r="TJ78" s="41"/>
      <c r="TK78" s="41"/>
      <c r="TL78" s="41"/>
      <c r="TM78" s="41"/>
      <c r="TN78" s="41"/>
      <c r="TO78" s="41"/>
      <c r="TP78" s="41"/>
      <c r="TQ78" s="41"/>
      <c r="TR78" s="41"/>
      <c r="TS78" s="41"/>
      <c r="TT78" s="41"/>
      <c r="TU78" s="41"/>
      <c r="TV78" s="41"/>
      <c r="TW78" s="41"/>
      <c r="TX78" s="41"/>
      <c r="TY78" s="41"/>
      <c r="TZ78" s="41"/>
      <c r="UA78" s="41"/>
      <c r="UB78" s="41"/>
      <c r="UC78" s="41"/>
      <c r="UD78" s="41"/>
      <c r="UE78" s="41"/>
      <c r="UF78" s="41"/>
      <c r="UG78" s="41"/>
      <c r="UH78" s="41"/>
      <c r="UI78" s="41"/>
      <c r="UJ78" s="41"/>
      <c r="UK78" s="41"/>
      <c r="UL78" s="41"/>
      <c r="UM78" s="41"/>
      <c r="UN78" s="41"/>
      <c r="UO78" s="41"/>
      <c r="UP78" s="41"/>
      <c r="UQ78" s="41"/>
      <c r="UR78" s="41"/>
      <c r="US78" s="41"/>
      <c r="UT78" s="41"/>
      <c r="UU78" s="41"/>
      <c r="UV78" s="41"/>
      <c r="UW78" s="41"/>
      <c r="UX78" s="41"/>
      <c r="UY78" s="41"/>
      <c r="UZ78" s="41"/>
      <c r="VA78" s="41"/>
      <c r="VB78" s="41"/>
      <c r="VC78" s="41"/>
      <c r="VD78" s="41"/>
      <c r="VE78" s="41"/>
      <c r="VF78" s="41"/>
      <c r="VG78" s="41"/>
      <c r="VH78" s="41"/>
      <c r="VI78" s="41"/>
      <c r="VJ78" s="41"/>
      <c r="VK78" s="41"/>
      <c r="VL78" s="41"/>
      <c r="VM78" s="41"/>
      <c r="VN78" s="41"/>
      <c r="VO78" s="41"/>
      <c r="VP78" s="41"/>
      <c r="VQ78" s="41"/>
      <c r="VR78" s="41"/>
      <c r="VS78" s="41"/>
      <c r="VT78" s="41"/>
      <c r="VU78" s="41"/>
      <c r="VV78" s="41"/>
      <c r="VW78" s="41"/>
      <c r="VX78" s="41"/>
      <c r="VY78" s="41"/>
      <c r="VZ78" s="41"/>
      <c r="WA78" s="41"/>
      <c r="WB78" s="41"/>
      <c r="WC78" s="41"/>
      <c r="WD78" s="41"/>
      <c r="WE78" s="41"/>
      <c r="WF78" s="41"/>
      <c r="WG78" s="41"/>
      <c r="WH78" s="41"/>
      <c r="WI78" s="41"/>
      <c r="WJ78" s="41"/>
      <c r="WK78" s="41"/>
      <c r="WL78" s="41"/>
      <c r="WM78" s="41"/>
      <c r="WN78" s="41"/>
      <c r="WO78" s="41"/>
      <c r="WP78" s="41"/>
      <c r="WQ78" s="41"/>
      <c r="WR78" s="41"/>
      <c r="WS78" s="41"/>
      <c r="WT78" s="41"/>
      <c r="WU78" s="41"/>
      <c r="WV78" s="41"/>
      <c r="WW78" s="41"/>
      <c r="WX78" s="41"/>
      <c r="WY78" s="41"/>
      <c r="WZ78" s="41"/>
      <c r="XA78" s="41"/>
      <c r="XB78" s="41"/>
      <c r="XC78" s="41"/>
      <c r="XD78" s="41"/>
      <c r="XE78" s="41"/>
      <c r="XF78" s="41"/>
      <c r="XG78" s="41"/>
      <c r="XH78" s="41"/>
      <c r="XI78" s="41"/>
      <c r="XJ78" s="41"/>
      <c r="XK78" s="41"/>
      <c r="XL78" s="41"/>
      <c r="XM78" s="41"/>
      <c r="XN78" s="41"/>
      <c r="XO78" s="41"/>
      <c r="XP78" s="41"/>
      <c r="XQ78" s="41"/>
      <c r="XR78" s="41"/>
      <c r="XS78" s="41"/>
      <c r="XT78" s="41"/>
      <c r="XU78" s="41"/>
      <c r="XV78" s="41"/>
      <c r="XW78" s="41"/>
      <c r="XX78" s="41"/>
      <c r="XY78" s="41"/>
      <c r="XZ78" s="41"/>
      <c r="YA78" s="41"/>
      <c r="YB78" s="41"/>
      <c r="YC78" s="41"/>
      <c r="YD78" s="41"/>
      <c r="YE78" s="41"/>
      <c r="YF78" s="41"/>
      <c r="YG78" s="41"/>
      <c r="YH78" s="41"/>
      <c r="YI78" s="41"/>
      <c r="YJ78" s="41"/>
      <c r="YK78" s="41"/>
      <c r="YL78" s="41"/>
      <c r="YM78" s="41"/>
      <c r="YN78" s="41"/>
      <c r="YO78" s="41"/>
      <c r="YP78" s="41"/>
      <c r="YQ78" s="41"/>
      <c r="YR78" s="41"/>
      <c r="YS78" s="41"/>
      <c r="YT78" s="41"/>
      <c r="YU78" s="41"/>
      <c r="YV78" s="41"/>
      <c r="YW78" s="41"/>
      <c r="YX78" s="41"/>
      <c r="YY78" s="41"/>
      <c r="YZ78" s="41"/>
      <c r="ZA78" s="41"/>
      <c r="ZB78" s="41"/>
      <c r="ZC78" s="41"/>
      <c r="ZD78" s="41"/>
      <c r="ZE78" s="41"/>
      <c r="ZF78" s="41"/>
      <c r="ZG78" s="41"/>
      <c r="ZH78" s="41"/>
      <c r="ZI78" s="41"/>
      <c r="ZJ78" s="41"/>
      <c r="ZK78" s="41"/>
      <c r="ZL78" s="41"/>
      <c r="ZM78" s="41"/>
      <c r="ZN78" s="41"/>
      <c r="ZO78" s="41"/>
      <c r="ZP78" s="41"/>
      <c r="ZQ78" s="41"/>
      <c r="ZR78" s="41"/>
      <c r="ZS78" s="41"/>
      <c r="ZT78" s="41"/>
      <c r="ZU78" s="41"/>
      <c r="ZV78" s="41"/>
      <c r="ZW78" s="41"/>
      <c r="ZX78" s="41"/>
      <c r="ZY78" s="41"/>
      <c r="ZZ78" s="41"/>
      <c r="AAA78" s="41"/>
      <c r="AAB78" s="41"/>
      <c r="AAC78" s="41"/>
    </row>
    <row r="79" spans="1:705" s="42" customFormat="1" ht="29.4" hidden="1" customHeight="1" x14ac:dyDescent="0.3">
      <c r="A79" s="26">
        <v>75</v>
      </c>
      <c r="B79" s="137">
        <v>239686</v>
      </c>
      <c r="C79" s="138">
        <v>75</v>
      </c>
      <c r="D79" s="139">
        <v>45916</v>
      </c>
      <c r="E79" s="139">
        <f t="shared" si="13"/>
        <v>45915</v>
      </c>
      <c r="F79" s="139">
        <f t="shared" si="10"/>
        <v>45926</v>
      </c>
      <c r="G79" s="139">
        <v>46007</v>
      </c>
      <c r="H79" s="139">
        <v>46039</v>
      </c>
      <c r="I79" s="139" t="s">
        <v>321</v>
      </c>
      <c r="J79" s="140" t="s">
        <v>237</v>
      </c>
      <c r="K79" s="141">
        <f t="shared" si="14"/>
        <v>113</v>
      </c>
      <c r="L79" s="141">
        <v>1143788</v>
      </c>
      <c r="M79" s="140" t="s">
        <v>15</v>
      </c>
      <c r="N79" s="142">
        <v>810944</v>
      </c>
      <c r="O79" s="140" t="s">
        <v>246</v>
      </c>
      <c r="P79" s="143">
        <v>46014</v>
      </c>
      <c r="Q79" s="143">
        <v>46198</v>
      </c>
      <c r="R79" s="137" t="s">
        <v>1013</v>
      </c>
      <c r="S79" s="144" t="s">
        <v>238</v>
      </c>
      <c r="T79" s="145">
        <v>1</v>
      </c>
      <c r="U79" s="137" t="s">
        <v>106</v>
      </c>
      <c r="V79" s="146">
        <v>134</v>
      </c>
      <c r="W79" s="146">
        <v>134</v>
      </c>
      <c r="X79" s="147">
        <v>0</v>
      </c>
      <c r="Y79" s="146">
        <v>0</v>
      </c>
      <c r="Z79" s="146">
        <v>0</v>
      </c>
      <c r="AA79" s="146">
        <v>0</v>
      </c>
      <c r="AB79" s="146">
        <v>0</v>
      </c>
      <c r="AC79" s="146"/>
      <c r="AD79" s="146">
        <v>0</v>
      </c>
      <c r="AE79" s="146">
        <v>0</v>
      </c>
      <c r="AF79" s="146">
        <v>0</v>
      </c>
      <c r="AG79" s="146">
        <v>0</v>
      </c>
      <c r="AH79" s="146"/>
      <c r="AI79" s="146"/>
      <c r="AJ79" s="146">
        <v>0</v>
      </c>
      <c r="AK79" s="146"/>
      <c r="AL79" s="146">
        <v>1</v>
      </c>
      <c r="AM79" s="146">
        <v>1</v>
      </c>
      <c r="AN79" s="146">
        <v>1</v>
      </c>
      <c r="AO79" s="146">
        <v>1</v>
      </c>
      <c r="AP79" s="146">
        <v>0</v>
      </c>
      <c r="AQ79" s="146"/>
      <c r="AR79" s="146">
        <v>0</v>
      </c>
      <c r="AS79" s="146"/>
      <c r="AT79" s="146"/>
      <c r="AU79" s="146"/>
      <c r="AV79" s="146">
        <v>0</v>
      </c>
      <c r="AW79" s="146">
        <v>0</v>
      </c>
      <c r="AX79" s="146">
        <f t="shared" si="11"/>
        <v>8690</v>
      </c>
      <c r="AY79" s="146">
        <f t="shared" si="12"/>
        <v>8690</v>
      </c>
      <c r="AZ79" s="140" t="s">
        <v>562</v>
      </c>
      <c r="BA79" s="140" t="s">
        <v>562</v>
      </c>
      <c r="BB79" s="137">
        <v>7</v>
      </c>
      <c r="BC79" s="148">
        <v>75</v>
      </c>
      <c r="BD79" s="149"/>
      <c r="BE79" s="145"/>
      <c r="BF79" s="150"/>
      <c r="BG79" s="151">
        <v>46023</v>
      </c>
      <c r="BH79" s="153" t="s">
        <v>535</v>
      </c>
      <c r="BI79" s="153" t="s">
        <v>562</v>
      </c>
      <c r="CC79" s="41"/>
      <c r="CD79" s="41"/>
      <c r="CE79" s="41"/>
      <c r="CF79" s="41"/>
      <c r="CG79" s="41"/>
      <c r="CH79" s="41"/>
      <c r="CI79" s="41"/>
      <c r="CJ79" s="41"/>
      <c r="CK79" s="41"/>
      <c r="CL79" s="41"/>
      <c r="CM79" s="41"/>
      <c r="CN79" s="41"/>
      <c r="CO79" s="41"/>
      <c r="CP79" s="41"/>
      <c r="CQ79" s="41"/>
      <c r="CR79" s="41"/>
      <c r="CS79" s="41"/>
      <c r="CT79" s="41"/>
      <c r="CU79" s="41"/>
      <c r="CV79" s="41"/>
      <c r="CW79" s="41"/>
      <c r="CX79" s="41"/>
      <c r="CY79" s="41"/>
      <c r="CZ79" s="41"/>
      <c r="DA79" s="41"/>
      <c r="DB79" s="41"/>
      <c r="DC79" s="41"/>
      <c r="DD79" s="41"/>
      <c r="DE79" s="41"/>
      <c r="DF79" s="41"/>
      <c r="DG79" s="41"/>
      <c r="DH79" s="41"/>
      <c r="DI79" s="41"/>
      <c r="DJ79" s="41"/>
      <c r="DK79" s="41"/>
      <c r="DL79" s="41"/>
      <c r="DM79" s="41"/>
      <c r="DN79" s="41"/>
      <c r="DO79" s="41"/>
      <c r="DP79" s="41"/>
      <c r="DQ79" s="41"/>
      <c r="DR79" s="41"/>
      <c r="DS79" s="41"/>
      <c r="DT79" s="41"/>
      <c r="DU79" s="41"/>
      <c r="DV79" s="41"/>
      <c r="DW79" s="41"/>
      <c r="DX79" s="41"/>
      <c r="DY79" s="41"/>
      <c r="DZ79" s="41"/>
      <c r="EA79" s="41"/>
      <c r="EB79" s="41"/>
      <c r="EC79" s="41"/>
      <c r="ED79" s="41"/>
      <c r="EE79" s="41"/>
      <c r="EF79" s="41"/>
      <c r="EG79" s="41"/>
      <c r="EH79" s="41"/>
      <c r="EI79" s="41"/>
      <c r="EJ79" s="41"/>
      <c r="EK79" s="41"/>
      <c r="EL79" s="41"/>
      <c r="EM79" s="41"/>
      <c r="EN79" s="41"/>
      <c r="EO79" s="41"/>
      <c r="EP79" s="41"/>
      <c r="EQ79" s="41"/>
      <c r="ER79" s="41"/>
      <c r="ES79" s="41"/>
      <c r="ET79" s="41"/>
      <c r="EU79" s="41"/>
      <c r="EV79" s="41"/>
      <c r="EW79" s="41"/>
      <c r="EX79" s="41"/>
      <c r="EY79" s="41"/>
      <c r="EZ79" s="41"/>
      <c r="FA79" s="41"/>
      <c r="FB79" s="41"/>
      <c r="FC79" s="41"/>
      <c r="FD79" s="41"/>
      <c r="FE79" s="41"/>
      <c r="FF79" s="41"/>
      <c r="FG79" s="41"/>
      <c r="FH79" s="41"/>
      <c r="FI79" s="41"/>
      <c r="FJ79" s="41"/>
      <c r="FK79" s="41"/>
      <c r="FL79" s="41"/>
      <c r="FM79" s="41"/>
      <c r="FN79" s="41"/>
      <c r="FO79" s="41"/>
      <c r="FP79" s="41"/>
      <c r="FQ79" s="41"/>
      <c r="FR79" s="41"/>
      <c r="FS79" s="41"/>
      <c r="FT79" s="41"/>
      <c r="FU79" s="41"/>
      <c r="FV79" s="41"/>
      <c r="FW79" s="41"/>
      <c r="FX79" s="41"/>
      <c r="FY79" s="41"/>
      <c r="FZ79" s="41"/>
      <c r="GA79" s="41"/>
      <c r="GB79" s="41"/>
      <c r="GC79" s="41"/>
      <c r="GD79" s="41"/>
      <c r="GE79" s="41"/>
      <c r="GF79" s="41"/>
      <c r="GG79" s="41"/>
      <c r="GH79" s="41"/>
      <c r="GI79" s="41"/>
      <c r="GJ79" s="41"/>
      <c r="GK79" s="41"/>
      <c r="GL79" s="41"/>
      <c r="GM79" s="41"/>
      <c r="GN79" s="41"/>
      <c r="GO79" s="41"/>
      <c r="GP79" s="41"/>
      <c r="GQ79" s="41"/>
      <c r="GR79" s="41"/>
      <c r="GS79" s="41"/>
      <c r="GT79" s="41"/>
      <c r="GU79" s="41"/>
      <c r="GV79" s="41"/>
      <c r="GW79" s="41"/>
      <c r="GX79" s="41"/>
      <c r="GY79" s="41"/>
      <c r="GZ79" s="41"/>
      <c r="HA79" s="41"/>
      <c r="HB79" s="41"/>
      <c r="HC79" s="41"/>
      <c r="HD79" s="41"/>
      <c r="HE79" s="41"/>
      <c r="HF79" s="41"/>
      <c r="HG79" s="41"/>
      <c r="HH79" s="41"/>
      <c r="HI79" s="41"/>
      <c r="HJ79" s="41"/>
      <c r="HK79" s="41"/>
      <c r="HL79" s="41"/>
      <c r="HM79" s="41"/>
      <c r="HN79" s="41"/>
      <c r="HO79" s="41"/>
      <c r="HP79" s="41"/>
      <c r="HQ79" s="41"/>
      <c r="HR79" s="41"/>
      <c r="HS79" s="41"/>
      <c r="HT79" s="41"/>
      <c r="HU79" s="41"/>
      <c r="HV79" s="41"/>
      <c r="HW79" s="41"/>
      <c r="HX79" s="41"/>
      <c r="HY79" s="41"/>
      <c r="HZ79" s="41"/>
      <c r="IA79" s="41"/>
      <c r="IB79" s="41"/>
      <c r="IC79" s="41"/>
      <c r="ID79" s="41"/>
      <c r="IE79" s="41"/>
      <c r="IF79" s="41"/>
      <c r="IG79" s="41"/>
      <c r="IH79" s="41"/>
      <c r="II79" s="41"/>
      <c r="IJ79" s="41"/>
      <c r="IK79" s="41"/>
      <c r="IL79" s="41"/>
      <c r="IM79" s="41"/>
      <c r="IN79" s="41"/>
      <c r="IO79" s="41"/>
      <c r="IP79" s="41"/>
      <c r="IQ79" s="41"/>
      <c r="IR79" s="41"/>
      <c r="IS79" s="41"/>
      <c r="IT79" s="41"/>
      <c r="IU79" s="41"/>
      <c r="IV79" s="41"/>
      <c r="IW79" s="41"/>
      <c r="IX79" s="41"/>
      <c r="IY79" s="41"/>
      <c r="IZ79" s="41"/>
      <c r="JA79" s="41"/>
      <c r="JB79" s="41"/>
      <c r="JC79" s="41"/>
      <c r="JD79" s="41"/>
      <c r="JE79" s="41"/>
      <c r="JF79" s="41"/>
      <c r="JG79" s="41"/>
      <c r="JH79" s="41"/>
      <c r="JI79" s="41"/>
      <c r="JJ79" s="41"/>
      <c r="JK79" s="41"/>
      <c r="JL79" s="41"/>
      <c r="JM79" s="41"/>
      <c r="JN79" s="41"/>
      <c r="JO79" s="41"/>
      <c r="JP79" s="41"/>
      <c r="JQ79" s="41"/>
      <c r="JR79" s="41"/>
      <c r="JS79" s="41"/>
      <c r="JT79" s="41"/>
      <c r="JU79" s="41"/>
      <c r="JV79" s="41"/>
      <c r="JW79" s="41"/>
      <c r="JX79" s="41"/>
      <c r="JY79" s="41"/>
      <c r="JZ79" s="41"/>
      <c r="KA79" s="41"/>
      <c r="KB79" s="41"/>
      <c r="KC79" s="41"/>
      <c r="KD79" s="41"/>
      <c r="KE79" s="41"/>
      <c r="KF79" s="41"/>
      <c r="KG79" s="41"/>
      <c r="KH79" s="41"/>
      <c r="KI79" s="41"/>
      <c r="KJ79" s="41"/>
      <c r="KK79" s="41"/>
      <c r="KL79" s="41"/>
      <c r="KM79" s="41"/>
      <c r="KN79" s="41"/>
      <c r="KO79" s="41"/>
      <c r="KP79" s="41"/>
      <c r="KQ79" s="41"/>
      <c r="KR79" s="41"/>
      <c r="KS79" s="41"/>
      <c r="KT79" s="41"/>
      <c r="KU79" s="41"/>
      <c r="KV79" s="41"/>
      <c r="KW79" s="41"/>
      <c r="KX79" s="41"/>
      <c r="KY79" s="41"/>
      <c r="KZ79" s="41"/>
      <c r="LA79" s="41"/>
      <c r="LB79" s="41"/>
      <c r="LC79" s="41"/>
      <c r="LD79" s="41"/>
      <c r="LE79" s="41"/>
      <c r="LF79" s="41"/>
      <c r="LG79" s="41"/>
      <c r="LH79" s="41"/>
      <c r="LI79" s="41"/>
      <c r="LJ79" s="41"/>
      <c r="LK79" s="41"/>
      <c r="LL79" s="41"/>
      <c r="LM79" s="41"/>
      <c r="LN79" s="41"/>
      <c r="LO79" s="41"/>
      <c r="LP79" s="41"/>
      <c r="LQ79" s="41"/>
      <c r="LR79" s="41"/>
      <c r="LS79" s="41"/>
      <c r="LT79" s="41"/>
      <c r="LU79" s="41"/>
      <c r="LV79" s="41"/>
      <c r="LW79" s="41"/>
      <c r="LX79" s="41"/>
      <c r="LY79" s="41"/>
      <c r="LZ79" s="41"/>
      <c r="MA79" s="41"/>
      <c r="MB79" s="41"/>
      <c r="MC79" s="41"/>
      <c r="MD79" s="41"/>
      <c r="ME79" s="41"/>
      <c r="MF79" s="41"/>
      <c r="MG79" s="41"/>
      <c r="MH79" s="41"/>
      <c r="MI79" s="41"/>
      <c r="MJ79" s="41"/>
      <c r="MK79" s="41"/>
      <c r="ML79" s="41"/>
      <c r="MM79" s="41"/>
      <c r="MN79" s="41"/>
      <c r="MO79" s="41"/>
      <c r="MP79" s="41"/>
      <c r="MQ79" s="41"/>
      <c r="MR79" s="41"/>
      <c r="MS79" s="41"/>
      <c r="MT79" s="41"/>
      <c r="MU79" s="41"/>
      <c r="MV79" s="41"/>
      <c r="MW79" s="41"/>
      <c r="MX79" s="41"/>
      <c r="MY79" s="41"/>
      <c r="MZ79" s="41"/>
      <c r="NA79" s="41"/>
      <c r="NB79" s="41"/>
      <c r="NC79" s="41"/>
      <c r="ND79" s="41"/>
      <c r="NE79" s="41"/>
      <c r="NF79" s="41"/>
      <c r="NG79" s="41"/>
      <c r="NH79" s="41"/>
      <c r="NI79" s="41"/>
      <c r="NJ79" s="41"/>
      <c r="NK79" s="41"/>
      <c r="NL79" s="41"/>
      <c r="NM79" s="41"/>
      <c r="NN79" s="41"/>
      <c r="NO79" s="41"/>
      <c r="NP79" s="41"/>
      <c r="NQ79" s="41"/>
      <c r="NR79" s="41"/>
      <c r="NS79" s="41"/>
      <c r="NT79" s="41"/>
      <c r="NU79" s="41"/>
      <c r="NV79" s="41"/>
      <c r="NW79" s="41"/>
      <c r="NX79" s="41"/>
      <c r="NY79" s="41"/>
      <c r="NZ79" s="41"/>
      <c r="OA79" s="41"/>
      <c r="OB79" s="41"/>
      <c r="OC79" s="41"/>
      <c r="OD79" s="41"/>
      <c r="OE79" s="41"/>
      <c r="OF79" s="41"/>
      <c r="OG79" s="41"/>
      <c r="OH79" s="41"/>
      <c r="OI79" s="41"/>
      <c r="OJ79" s="41"/>
      <c r="OK79" s="41"/>
      <c r="OL79" s="41"/>
      <c r="OM79" s="41"/>
      <c r="ON79" s="41"/>
      <c r="OO79" s="41"/>
      <c r="OP79" s="41"/>
      <c r="OQ79" s="41"/>
      <c r="OR79" s="41"/>
      <c r="OS79" s="41"/>
      <c r="OT79" s="41"/>
      <c r="OU79" s="41"/>
      <c r="OV79" s="41"/>
      <c r="OW79" s="41"/>
      <c r="OX79" s="41"/>
      <c r="OY79" s="41"/>
      <c r="OZ79" s="41"/>
      <c r="PA79" s="41"/>
      <c r="PB79" s="41"/>
      <c r="PC79" s="41"/>
      <c r="PD79" s="41"/>
      <c r="PE79" s="41"/>
      <c r="PF79" s="41"/>
      <c r="PG79" s="41"/>
      <c r="PH79" s="41"/>
      <c r="PI79" s="41"/>
      <c r="PJ79" s="41"/>
      <c r="PK79" s="41"/>
      <c r="PL79" s="41"/>
      <c r="PM79" s="41"/>
      <c r="PN79" s="41"/>
      <c r="PO79" s="41"/>
      <c r="PP79" s="41"/>
      <c r="PQ79" s="41"/>
      <c r="PR79" s="41"/>
      <c r="PS79" s="41"/>
      <c r="PT79" s="41"/>
      <c r="PU79" s="41"/>
      <c r="PV79" s="41"/>
      <c r="PW79" s="41"/>
      <c r="PX79" s="41"/>
      <c r="PY79" s="41"/>
      <c r="PZ79" s="41"/>
      <c r="QA79" s="41"/>
      <c r="QB79" s="41"/>
      <c r="QC79" s="41"/>
      <c r="QD79" s="41"/>
      <c r="QE79" s="41"/>
      <c r="QF79" s="41"/>
      <c r="QG79" s="41"/>
      <c r="QH79" s="41"/>
      <c r="QI79" s="41"/>
      <c r="QJ79" s="41"/>
      <c r="QK79" s="41"/>
      <c r="QL79" s="41"/>
      <c r="QM79" s="41"/>
      <c r="QN79" s="41"/>
      <c r="QO79" s="41"/>
      <c r="QP79" s="41"/>
      <c r="QQ79" s="41"/>
      <c r="QR79" s="41"/>
      <c r="QS79" s="41"/>
      <c r="QT79" s="41"/>
      <c r="QU79" s="41"/>
      <c r="QV79" s="41"/>
      <c r="QW79" s="41"/>
      <c r="QX79" s="41"/>
      <c r="QY79" s="41"/>
      <c r="QZ79" s="41"/>
      <c r="RA79" s="41"/>
      <c r="RB79" s="41"/>
      <c r="RC79" s="41"/>
      <c r="RD79" s="41"/>
      <c r="RE79" s="41"/>
      <c r="RF79" s="41"/>
      <c r="RG79" s="41"/>
      <c r="RH79" s="41"/>
      <c r="RI79" s="41"/>
      <c r="RJ79" s="41"/>
      <c r="RK79" s="41"/>
      <c r="RL79" s="41"/>
      <c r="RM79" s="41"/>
      <c r="RN79" s="41"/>
      <c r="RO79" s="41"/>
      <c r="RP79" s="41"/>
      <c r="RQ79" s="41"/>
      <c r="RR79" s="41"/>
      <c r="RS79" s="41"/>
      <c r="RT79" s="41"/>
      <c r="RU79" s="41"/>
      <c r="RV79" s="41"/>
      <c r="RW79" s="41"/>
      <c r="RX79" s="41"/>
      <c r="RY79" s="41"/>
      <c r="RZ79" s="41"/>
      <c r="SA79" s="41"/>
      <c r="SB79" s="41"/>
      <c r="SC79" s="41"/>
      <c r="SD79" s="41"/>
      <c r="SE79" s="41"/>
      <c r="SF79" s="41"/>
      <c r="SG79" s="41"/>
      <c r="SH79" s="41"/>
      <c r="SI79" s="41"/>
      <c r="SJ79" s="41"/>
      <c r="SK79" s="41"/>
      <c r="SL79" s="41"/>
      <c r="SM79" s="41"/>
      <c r="SN79" s="41"/>
      <c r="SO79" s="41"/>
      <c r="SP79" s="41"/>
      <c r="SQ79" s="41"/>
      <c r="SR79" s="41"/>
      <c r="SS79" s="41"/>
      <c r="ST79" s="41"/>
      <c r="SU79" s="41"/>
      <c r="SV79" s="41"/>
      <c r="SW79" s="41"/>
      <c r="SX79" s="41"/>
      <c r="SY79" s="41"/>
      <c r="SZ79" s="41"/>
      <c r="TA79" s="41"/>
      <c r="TB79" s="41"/>
      <c r="TC79" s="41"/>
      <c r="TD79" s="41"/>
      <c r="TE79" s="41"/>
      <c r="TF79" s="41"/>
      <c r="TG79" s="41"/>
      <c r="TH79" s="41"/>
      <c r="TI79" s="41"/>
      <c r="TJ79" s="41"/>
      <c r="TK79" s="41"/>
      <c r="TL79" s="41"/>
      <c r="TM79" s="41"/>
      <c r="TN79" s="41"/>
      <c r="TO79" s="41"/>
      <c r="TP79" s="41"/>
      <c r="TQ79" s="41"/>
      <c r="TR79" s="41"/>
      <c r="TS79" s="41"/>
      <c r="TT79" s="41"/>
      <c r="TU79" s="41"/>
      <c r="TV79" s="41"/>
      <c r="TW79" s="41"/>
      <c r="TX79" s="41"/>
      <c r="TY79" s="41"/>
      <c r="TZ79" s="41"/>
      <c r="UA79" s="41"/>
      <c r="UB79" s="41"/>
      <c r="UC79" s="41"/>
      <c r="UD79" s="41"/>
      <c r="UE79" s="41"/>
      <c r="UF79" s="41"/>
      <c r="UG79" s="41"/>
      <c r="UH79" s="41"/>
      <c r="UI79" s="41"/>
      <c r="UJ79" s="41"/>
      <c r="UK79" s="41"/>
      <c r="UL79" s="41"/>
      <c r="UM79" s="41"/>
      <c r="UN79" s="41"/>
      <c r="UO79" s="41"/>
      <c r="UP79" s="41"/>
      <c r="UQ79" s="41"/>
      <c r="UR79" s="41"/>
      <c r="US79" s="41"/>
      <c r="UT79" s="41"/>
      <c r="UU79" s="41"/>
      <c r="UV79" s="41"/>
      <c r="UW79" s="41"/>
      <c r="UX79" s="41"/>
      <c r="UY79" s="41"/>
      <c r="UZ79" s="41"/>
      <c r="VA79" s="41"/>
      <c r="VB79" s="41"/>
      <c r="VC79" s="41"/>
      <c r="VD79" s="41"/>
      <c r="VE79" s="41"/>
      <c r="VF79" s="41"/>
      <c r="VG79" s="41"/>
      <c r="VH79" s="41"/>
      <c r="VI79" s="41"/>
      <c r="VJ79" s="41"/>
      <c r="VK79" s="41"/>
      <c r="VL79" s="41"/>
      <c r="VM79" s="41"/>
      <c r="VN79" s="41"/>
      <c r="VO79" s="41"/>
      <c r="VP79" s="41"/>
      <c r="VQ79" s="41"/>
      <c r="VR79" s="41"/>
      <c r="VS79" s="41"/>
      <c r="VT79" s="41"/>
      <c r="VU79" s="41"/>
      <c r="VV79" s="41"/>
      <c r="VW79" s="41"/>
      <c r="VX79" s="41"/>
      <c r="VY79" s="41"/>
      <c r="VZ79" s="41"/>
      <c r="WA79" s="41"/>
      <c r="WB79" s="41"/>
      <c r="WC79" s="41"/>
      <c r="WD79" s="41"/>
      <c r="WE79" s="41"/>
      <c r="WF79" s="41"/>
      <c r="WG79" s="41"/>
      <c r="WH79" s="41"/>
      <c r="WI79" s="41"/>
      <c r="WJ79" s="41"/>
      <c r="WK79" s="41"/>
      <c r="WL79" s="41"/>
      <c r="WM79" s="41"/>
      <c r="WN79" s="41"/>
      <c r="WO79" s="41"/>
      <c r="WP79" s="41"/>
      <c r="WQ79" s="41"/>
      <c r="WR79" s="41"/>
      <c r="WS79" s="41"/>
      <c r="WT79" s="41"/>
      <c r="WU79" s="41"/>
      <c r="WV79" s="41"/>
      <c r="WW79" s="41"/>
      <c r="WX79" s="41"/>
      <c r="WY79" s="41"/>
      <c r="WZ79" s="41"/>
      <c r="XA79" s="41"/>
      <c r="XB79" s="41"/>
      <c r="XC79" s="41"/>
      <c r="XD79" s="41"/>
      <c r="XE79" s="41"/>
      <c r="XF79" s="41"/>
      <c r="XG79" s="41"/>
      <c r="XH79" s="41"/>
      <c r="XI79" s="41"/>
      <c r="XJ79" s="41"/>
      <c r="XK79" s="41"/>
      <c r="XL79" s="41"/>
      <c r="XM79" s="41"/>
      <c r="XN79" s="41"/>
      <c r="XO79" s="41"/>
      <c r="XP79" s="41"/>
      <c r="XQ79" s="41"/>
      <c r="XR79" s="41"/>
      <c r="XS79" s="41"/>
      <c r="XT79" s="41"/>
      <c r="XU79" s="41"/>
      <c r="XV79" s="41"/>
      <c r="XW79" s="41"/>
      <c r="XX79" s="41"/>
      <c r="XY79" s="41"/>
      <c r="XZ79" s="41"/>
      <c r="YA79" s="41"/>
      <c r="YB79" s="41"/>
      <c r="YC79" s="41"/>
      <c r="YD79" s="41"/>
      <c r="YE79" s="41"/>
      <c r="YF79" s="41"/>
      <c r="YG79" s="41"/>
      <c r="YH79" s="41"/>
      <c r="YI79" s="41"/>
      <c r="YJ79" s="41"/>
      <c r="YK79" s="41"/>
      <c r="YL79" s="41"/>
      <c r="YM79" s="41"/>
      <c r="YN79" s="41"/>
      <c r="YO79" s="41"/>
      <c r="YP79" s="41"/>
      <c r="YQ79" s="41"/>
      <c r="YR79" s="41"/>
      <c r="YS79" s="41"/>
      <c r="YT79" s="41"/>
      <c r="YU79" s="41"/>
      <c r="YV79" s="41"/>
      <c r="YW79" s="41"/>
      <c r="YX79" s="41"/>
      <c r="YY79" s="41"/>
      <c r="YZ79" s="41"/>
      <c r="ZA79" s="41"/>
      <c r="ZB79" s="41"/>
      <c r="ZC79" s="41"/>
      <c r="ZD79" s="41"/>
      <c r="ZE79" s="41"/>
      <c r="ZF79" s="41"/>
      <c r="ZG79" s="41"/>
      <c r="ZH79" s="41"/>
      <c r="ZI79" s="41"/>
      <c r="ZJ79" s="41"/>
      <c r="ZK79" s="41"/>
      <c r="ZL79" s="41"/>
      <c r="ZM79" s="41"/>
      <c r="ZN79" s="41"/>
      <c r="ZO79" s="41"/>
      <c r="ZP79" s="41"/>
      <c r="ZQ79" s="41"/>
      <c r="ZR79" s="41"/>
      <c r="ZS79" s="41"/>
      <c r="ZT79" s="41"/>
      <c r="ZU79" s="41"/>
      <c r="ZV79" s="41"/>
      <c r="ZW79" s="41"/>
      <c r="ZX79" s="41"/>
      <c r="ZY79" s="41"/>
      <c r="ZZ79" s="41"/>
      <c r="AAA79" s="41"/>
      <c r="AAB79" s="41"/>
      <c r="AAC79" s="41"/>
    </row>
    <row r="80" spans="1:705" s="42" customFormat="1" ht="39.6" hidden="1" customHeight="1" x14ac:dyDescent="0.3">
      <c r="A80" s="26">
        <v>76</v>
      </c>
      <c r="B80" s="137">
        <v>239701</v>
      </c>
      <c r="C80" s="138">
        <v>76</v>
      </c>
      <c r="D80" s="139">
        <v>45916</v>
      </c>
      <c r="E80" s="139">
        <f t="shared" si="13"/>
        <v>45915</v>
      </c>
      <c r="F80" s="139">
        <f t="shared" si="10"/>
        <v>45926</v>
      </c>
      <c r="G80" s="139">
        <v>46007</v>
      </c>
      <c r="H80" s="139">
        <v>46043</v>
      </c>
      <c r="I80" s="139" t="s">
        <v>321</v>
      </c>
      <c r="J80" s="140" t="s">
        <v>239</v>
      </c>
      <c r="K80" s="141">
        <f t="shared" si="14"/>
        <v>117</v>
      </c>
      <c r="L80" s="141">
        <v>1143910</v>
      </c>
      <c r="M80" s="140" t="s">
        <v>15</v>
      </c>
      <c r="N80" s="142">
        <v>810944</v>
      </c>
      <c r="O80" s="140" t="s">
        <v>246</v>
      </c>
      <c r="P80" s="143">
        <v>46014</v>
      </c>
      <c r="Q80" s="143">
        <v>46198</v>
      </c>
      <c r="R80" s="137" t="s">
        <v>1013</v>
      </c>
      <c r="S80" s="144" t="s">
        <v>240</v>
      </c>
      <c r="T80" s="145">
        <v>1</v>
      </c>
      <c r="U80" s="137" t="s">
        <v>106</v>
      </c>
      <c r="V80" s="146">
        <v>58</v>
      </c>
      <c r="W80" s="146">
        <v>58</v>
      </c>
      <c r="X80" s="147">
        <v>0</v>
      </c>
      <c r="Y80" s="146">
        <v>0</v>
      </c>
      <c r="Z80" s="146">
        <v>0</v>
      </c>
      <c r="AA80" s="146">
        <v>0</v>
      </c>
      <c r="AB80" s="146">
        <v>29</v>
      </c>
      <c r="AC80" s="146">
        <v>29</v>
      </c>
      <c r="AD80" s="146">
        <v>0</v>
      </c>
      <c r="AE80" s="146">
        <v>0</v>
      </c>
      <c r="AF80" s="146">
        <v>0</v>
      </c>
      <c r="AG80" s="146">
        <v>0</v>
      </c>
      <c r="AH80" s="146">
        <v>1</v>
      </c>
      <c r="AI80" s="146">
        <v>1</v>
      </c>
      <c r="AJ80" s="146">
        <v>0</v>
      </c>
      <c r="AK80" s="146">
        <v>0</v>
      </c>
      <c r="AL80" s="146">
        <v>1</v>
      </c>
      <c r="AM80" s="146">
        <v>1</v>
      </c>
      <c r="AN80" s="146">
        <v>2</v>
      </c>
      <c r="AO80" s="146">
        <v>2</v>
      </c>
      <c r="AP80" s="146">
        <v>1</v>
      </c>
      <c r="AQ80" s="146">
        <v>1</v>
      </c>
      <c r="AR80" s="146">
        <v>0</v>
      </c>
      <c r="AS80" s="146">
        <v>0</v>
      </c>
      <c r="AT80" s="146">
        <v>0</v>
      </c>
      <c r="AU80" s="146"/>
      <c r="AV80" s="146">
        <v>0</v>
      </c>
      <c r="AW80" s="146">
        <v>0</v>
      </c>
      <c r="AX80" s="146">
        <f t="shared" si="11"/>
        <v>6643</v>
      </c>
      <c r="AY80" s="146">
        <f t="shared" si="12"/>
        <v>6643</v>
      </c>
      <c r="AZ80" s="140" t="s">
        <v>562</v>
      </c>
      <c r="BA80" s="140" t="s">
        <v>562</v>
      </c>
      <c r="BB80" s="137">
        <v>7</v>
      </c>
      <c r="BC80" s="148">
        <v>76</v>
      </c>
      <c r="BD80" s="149"/>
      <c r="BE80" s="145"/>
      <c r="BF80" s="150"/>
      <c r="BG80" s="151">
        <v>46023</v>
      </c>
      <c r="BH80" s="153" t="s">
        <v>535</v>
      </c>
      <c r="BI80" s="153" t="s">
        <v>562</v>
      </c>
      <c r="CC80" s="41"/>
      <c r="CD80" s="41"/>
      <c r="CE80" s="41"/>
      <c r="CF80" s="41"/>
      <c r="CG80" s="41"/>
      <c r="CH80" s="41"/>
      <c r="CI80" s="41"/>
      <c r="CJ80" s="41"/>
      <c r="CK80" s="41"/>
      <c r="CL80" s="41"/>
      <c r="CM80" s="41"/>
      <c r="CN80" s="41"/>
      <c r="CO80" s="41"/>
      <c r="CP80" s="41"/>
      <c r="CQ80" s="41"/>
      <c r="CR80" s="41"/>
      <c r="CS80" s="41"/>
      <c r="CT80" s="41"/>
      <c r="CU80" s="41"/>
      <c r="CV80" s="41"/>
      <c r="CW80" s="41"/>
      <c r="CX80" s="41"/>
      <c r="CY80" s="41"/>
      <c r="CZ80" s="41"/>
      <c r="DA80" s="41"/>
      <c r="DB80" s="41"/>
      <c r="DC80" s="41"/>
      <c r="DD80" s="41"/>
      <c r="DE80" s="41"/>
      <c r="DF80" s="41"/>
      <c r="DG80" s="41"/>
      <c r="DH80" s="41"/>
      <c r="DI80" s="41"/>
      <c r="DJ80" s="41"/>
      <c r="DK80" s="41"/>
      <c r="DL80" s="41"/>
      <c r="DM80" s="41"/>
      <c r="DN80" s="41"/>
      <c r="DO80" s="41"/>
      <c r="DP80" s="41"/>
      <c r="DQ80" s="41"/>
      <c r="DR80" s="41"/>
      <c r="DS80" s="41"/>
      <c r="DT80" s="41"/>
      <c r="DU80" s="41"/>
      <c r="DV80" s="41"/>
      <c r="DW80" s="41"/>
      <c r="DX80" s="41"/>
      <c r="DY80" s="41"/>
      <c r="DZ80" s="41"/>
      <c r="EA80" s="41"/>
      <c r="EB80" s="41"/>
      <c r="EC80" s="41"/>
      <c r="ED80" s="41"/>
      <c r="EE80" s="41"/>
      <c r="EF80" s="41"/>
      <c r="EG80" s="41"/>
      <c r="EH80" s="41"/>
      <c r="EI80" s="41"/>
      <c r="EJ80" s="41"/>
      <c r="EK80" s="41"/>
      <c r="EL80" s="41"/>
      <c r="EM80" s="41"/>
      <c r="EN80" s="41"/>
      <c r="EO80" s="41"/>
      <c r="EP80" s="41"/>
      <c r="EQ80" s="41"/>
      <c r="ER80" s="41"/>
      <c r="ES80" s="41"/>
      <c r="ET80" s="41"/>
      <c r="EU80" s="41"/>
      <c r="EV80" s="41"/>
      <c r="EW80" s="41"/>
      <c r="EX80" s="41"/>
      <c r="EY80" s="41"/>
      <c r="EZ80" s="41"/>
      <c r="FA80" s="41"/>
      <c r="FB80" s="41"/>
      <c r="FC80" s="41"/>
      <c r="FD80" s="41"/>
      <c r="FE80" s="41"/>
      <c r="FF80" s="41"/>
      <c r="FG80" s="41"/>
      <c r="FH80" s="41"/>
      <c r="FI80" s="41"/>
      <c r="FJ80" s="41"/>
      <c r="FK80" s="41"/>
      <c r="FL80" s="41"/>
      <c r="FM80" s="41"/>
      <c r="FN80" s="41"/>
      <c r="FO80" s="41"/>
      <c r="FP80" s="41"/>
      <c r="FQ80" s="41"/>
      <c r="FR80" s="41"/>
      <c r="FS80" s="41"/>
      <c r="FT80" s="41"/>
      <c r="FU80" s="41"/>
      <c r="FV80" s="41"/>
      <c r="FW80" s="41"/>
      <c r="FX80" s="41"/>
      <c r="FY80" s="41"/>
      <c r="FZ80" s="41"/>
      <c r="GA80" s="41"/>
      <c r="GB80" s="41"/>
      <c r="GC80" s="41"/>
      <c r="GD80" s="41"/>
      <c r="GE80" s="41"/>
      <c r="GF80" s="41"/>
      <c r="GG80" s="41"/>
      <c r="GH80" s="41"/>
      <c r="GI80" s="41"/>
      <c r="GJ80" s="41"/>
      <c r="GK80" s="41"/>
      <c r="GL80" s="41"/>
      <c r="GM80" s="41"/>
      <c r="GN80" s="41"/>
      <c r="GO80" s="41"/>
      <c r="GP80" s="41"/>
      <c r="GQ80" s="41"/>
      <c r="GR80" s="41"/>
      <c r="GS80" s="41"/>
      <c r="GT80" s="41"/>
      <c r="GU80" s="41"/>
      <c r="GV80" s="41"/>
      <c r="GW80" s="41"/>
      <c r="GX80" s="41"/>
      <c r="GY80" s="41"/>
      <c r="GZ80" s="41"/>
      <c r="HA80" s="41"/>
      <c r="HB80" s="41"/>
      <c r="HC80" s="41"/>
      <c r="HD80" s="41"/>
      <c r="HE80" s="41"/>
      <c r="HF80" s="41"/>
      <c r="HG80" s="41"/>
      <c r="HH80" s="41"/>
      <c r="HI80" s="41"/>
      <c r="HJ80" s="41"/>
      <c r="HK80" s="41"/>
      <c r="HL80" s="41"/>
      <c r="HM80" s="41"/>
      <c r="HN80" s="41"/>
      <c r="HO80" s="41"/>
      <c r="HP80" s="41"/>
      <c r="HQ80" s="41"/>
      <c r="HR80" s="41"/>
      <c r="HS80" s="41"/>
      <c r="HT80" s="41"/>
      <c r="HU80" s="41"/>
      <c r="HV80" s="41"/>
      <c r="HW80" s="41"/>
      <c r="HX80" s="41"/>
      <c r="HY80" s="41"/>
      <c r="HZ80" s="41"/>
      <c r="IA80" s="41"/>
      <c r="IB80" s="41"/>
      <c r="IC80" s="41"/>
      <c r="ID80" s="41"/>
      <c r="IE80" s="41"/>
      <c r="IF80" s="41"/>
      <c r="IG80" s="41"/>
      <c r="IH80" s="41"/>
      <c r="II80" s="41"/>
      <c r="IJ80" s="41"/>
      <c r="IK80" s="41"/>
      <c r="IL80" s="41"/>
      <c r="IM80" s="41"/>
      <c r="IN80" s="41"/>
      <c r="IO80" s="41"/>
      <c r="IP80" s="41"/>
      <c r="IQ80" s="41"/>
      <c r="IR80" s="41"/>
      <c r="IS80" s="41"/>
      <c r="IT80" s="41"/>
      <c r="IU80" s="41"/>
      <c r="IV80" s="41"/>
      <c r="IW80" s="41"/>
      <c r="IX80" s="41"/>
      <c r="IY80" s="41"/>
      <c r="IZ80" s="41"/>
      <c r="JA80" s="41"/>
      <c r="JB80" s="41"/>
      <c r="JC80" s="41"/>
      <c r="JD80" s="41"/>
      <c r="JE80" s="41"/>
      <c r="JF80" s="41"/>
      <c r="JG80" s="41"/>
      <c r="JH80" s="41"/>
      <c r="JI80" s="41"/>
      <c r="JJ80" s="41"/>
      <c r="JK80" s="41"/>
      <c r="JL80" s="41"/>
      <c r="JM80" s="41"/>
      <c r="JN80" s="41"/>
      <c r="JO80" s="41"/>
      <c r="JP80" s="41"/>
      <c r="JQ80" s="41"/>
      <c r="JR80" s="41"/>
      <c r="JS80" s="41"/>
      <c r="JT80" s="41"/>
      <c r="JU80" s="41"/>
      <c r="JV80" s="41"/>
      <c r="JW80" s="41"/>
      <c r="JX80" s="41"/>
      <c r="JY80" s="41"/>
      <c r="JZ80" s="41"/>
      <c r="KA80" s="41"/>
      <c r="KB80" s="41"/>
      <c r="KC80" s="41"/>
      <c r="KD80" s="41"/>
      <c r="KE80" s="41"/>
      <c r="KF80" s="41"/>
      <c r="KG80" s="41"/>
      <c r="KH80" s="41"/>
      <c r="KI80" s="41"/>
      <c r="KJ80" s="41"/>
      <c r="KK80" s="41"/>
      <c r="KL80" s="41"/>
      <c r="KM80" s="41"/>
      <c r="KN80" s="41"/>
      <c r="KO80" s="41"/>
      <c r="KP80" s="41"/>
      <c r="KQ80" s="41"/>
      <c r="KR80" s="41"/>
      <c r="KS80" s="41"/>
      <c r="KT80" s="41"/>
      <c r="KU80" s="41"/>
      <c r="KV80" s="41"/>
      <c r="KW80" s="41"/>
      <c r="KX80" s="41"/>
      <c r="KY80" s="41"/>
      <c r="KZ80" s="41"/>
      <c r="LA80" s="41"/>
      <c r="LB80" s="41"/>
      <c r="LC80" s="41"/>
      <c r="LD80" s="41"/>
      <c r="LE80" s="41"/>
      <c r="LF80" s="41"/>
      <c r="LG80" s="41"/>
      <c r="LH80" s="41"/>
      <c r="LI80" s="41"/>
      <c r="LJ80" s="41"/>
      <c r="LK80" s="41"/>
      <c r="LL80" s="41"/>
      <c r="LM80" s="41"/>
      <c r="LN80" s="41"/>
      <c r="LO80" s="41"/>
      <c r="LP80" s="41"/>
      <c r="LQ80" s="41"/>
      <c r="LR80" s="41"/>
      <c r="LS80" s="41"/>
      <c r="LT80" s="41"/>
      <c r="LU80" s="41"/>
      <c r="LV80" s="41"/>
      <c r="LW80" s="41"/>
      <c r="LX80" s="41"/>
      <c r="LY80" s="41"/>
      <c r="LZ80" s="41"/>
      <c r="MA80" s="41"/>
      <c r="MB80" s="41"/>
      <c r="MC80" s="41"/>
      <c r="MD80" s="41"/>
      <c r="ME80" s="41"/>
      <c r="MF80" s="41"/>
      <c r="MG80" s="41"/>
      <c r="MH80" s="41"/>
      <c r="MI80" s="41"/>
      <c r="MJ80" s="41"/>
      <c r="MK80" s="41"/>
      <c r="ML80" s="41"/>
      <c r="MM80" s="41"/>
      <c r="MN80" s="41"/>
      <c r="MO80" s="41"/>
      <c r="MP80" s="41"/>
      <c r="MQ80" s="41"/>
      <c r="MR80" s="41"/>
      <c r="MS80" s="41"/>
      <c r="MT80" s="41"/>
      <c r="MU80" s="41"/>
      <c r="MV80" s="41"/>
      <c r="MW80" s="41"/>
      <c r="MX80" s="41"/>
      <c r="MY80" s="41"/>
      <c r="MZ80" s="41"/>
      <c r="NA80" s="41"/>
      <c r="NB80" s="41"/>
      <c r="NC80" s="41"/>
      <c r="ND80" s="41"/>
      <c r="NE80" s="41"/>
      <c r="NF80" s="41"/>
      <c r="NG80" s="41"/>
      <c r="NH80" s="41"/>
      <c r="NI80" s="41"/>
      <c r="NJ80" s="41"/>
      <c r="NK80" s="41"/>
      <c r="NL80" s="41"/>
      <c r="NM80" s="41"/>
      <c r="NN80" s="41"/>
      <c r="NO80" s="41"/>
      <c r="NP80" s="41"/>
      <c r="NQ80" s="41"/>
      <c r="NR80" s="41"/>
      <c r="NS80" s="41"/>
      <c r="NT80" s="41"/>
      <c r="NU80" s="41"/>
      <c r="NV80" s="41"/>
      <c r="NW80" s="41"/>
      <c r="NX80" s="41"/>
      <c r="NY80" s="41"/>
      <c r="NZ80" s="41"/>
      <c r="OA80" s="41"/>
      <c r="OB80" s="41"/>
      <c r="OC80" s="41"/>
      <c r="OD80" s="41"/>
      <c r="OE80" s="41"/>
      <c r="OF80" s="41"/>
      <c r="OG80" s="41"/>
      <c r="OH80" s="41"/>
      <c r="OI80" s="41"/>
      <c r="OJ80" s="41"/>
      <c r="OK80" s="41"/>
      <c r="OL80" s="41"/>
      <c r="OM80" s="41"/>
      <c r="ON80" s="41"/>
      <c r="OO80" s="41"/>
      <c r="OP80" s="41"/>
      <c r="OQ80" s="41"/>
      <c r="OR80" s="41"/>
      <c r="OS80" s="41"/>
      <c r="OT80" s="41"/>
      <c r="OU80" s="41"/>
      <c r="OV80" s="41"/>
      <c r="OW80" s="41"/>
      <c r="OX80" s="41"/>
      <c r="OY80" s="41"/>
      <c r="OZ80" s="41"/>
      <c r="PA80" s="41"/>
      <c r="PB80" s="41"/>
      <c r="PC80" s="41"/>
      <c r="PD80" s="41"/>
      <c r="PE80" s="41"/>
      <c r="PF80" s="41"/>
      <c r="PG80" s="41"/>
      <c r="PH80" s="41"/>
      <c r="PI80" s="41"/>
      <c r="PJ80" s="41"/>
      <c r="PK80" s="41"/>
      <c r="PL80" s="41"/>
      <c r="PM80" s="41"/>
      <c r="PN80" s="41"/>
      <c r="PO80" s="41"/>
      <c r="PP80" s="41"/>
      <c r="PQ80" s="41"/>
      <c r="PR80" s="41"/>
      <c r="PS80" s="41"/>
      <c r="PT80" s="41"/>
      <c r="PU80" s="41"/>
      <c r="PV80" s="41"/>
      <c r="PW80" s="41"/>
      <c r="PX80" s="41"/>
      <c r="PY80" s="41"/>
      <c r="PZ80" s="41"/>
      <c r="QA80" s="41"/>
      <c r="QB80" s="41"/>
      <c r="QC80" s="41"/>
      <c r="QD80" s="41"/>
      <c r="QE80" s="41"/>
      <c r="QF80" s="41"/>
      <c r="QG80" s="41"/>
      <c r="QH80" s="41"/>
      <c r="QI80" s="41"/>
      <c r="QJ80" s="41"/>
      <c r="QK80" s="41"/>
      <c r="QL80" s="41"/>
      <c r="QM80" s="41"/>
      <c r="QN80" s="41"/>
      <c r="QO80" s="41"/>
      <c r="QP80" s="41"/>
      <c r="QQ80" s="41"/>
      <c r="QR80" s="41"/>
      <c r="QS80" s="41"/>
      <c r="QT80" s="41"/>
      <c r="QU80" s="41"/>
      <c r="QV80" s="41"/>
      <c r="QW80" s="41"/>
      <c r="QX80" s="41"/>
      <c r="QY80" s="41"/>
      <c r="QZ80" s="41"/>
      <c r="RA80" s="41"/>
      <c r="RB80" s="41"/>
      <c r="RC80" s="41"/>
      <c r="RD80" s="41"/>
      <c r="RE80" s="41"/>
      <c r="RF80" s="41"/>
      <c r="RG80" s="41"/>
      <c r="RH80" s="41"/>
      <c r="RI80" s="41"/>
      <c r="RJ80" s="41"/>
      <c r="RK80" s="41"/>
      <c r="RL80" s="41"/>
      <c r="RM80" s="41"/>
      <c r="RN80" s="41"/>
      <c r="RO80" s="41"/>
      <c r="RP80" s="41"/>
      <c r="RQ80" s="41"/>
      <c r="RR80" s="41"/>
      <c r="RS80" s="41"/>
      <c r="RT80" s="41"/>
      <c r="RU80" s="41"/>
      <c r="RV80" s="41"/>
      <c r="RW80" s="41"/>
      <c r="RX80" s="41"/>
      <c r="RY80" s="41"/>
      <c r="RZ80" s="41"/>
      <c r="SA80" s="41"/>
      <c r="SB80" s="41"/>
      <c r="SC80" s="41"/>
      <c r="SD80" s="41"/>
      <c r="SE80" s="41"/>
      <c r="SF80" s="41"/>
      <c r="SG80" s="41"/>
      <c r="SH80" s="41"/>
      <c r="SI80" s="41"/>
      <c r="SJ80" s="41"/>
      <c r="SK80" s="41"/>
      <c r="SL80" s="41"/>
      <c r="SM80" s="41"/>
      <c r="SN80" s="41"/>
      <c r="SO80" s="41"/>
      <c r="SP80" s="41"/>
      <c r="SQ80" s="41"/>
      <c r="SR80" s="41"/>
      <c r="SS80" s="41"/>
      <c r="ST80" s="41"/>
      <c r="SU80" s="41"/>
      <c r="SV80" s="41"/>
      <c r="SW80" s="41"/>
      <c r="SX80" s="41"/>
      <c r="SY80" s="41"/>
      <c r="SZ80" s="41"/>
      <c r="TA80" s="41"/>
      <c r="TB80" s="41"/>
      <c r="TC80" s="41"/>
      <c r="TD80" s="41"/>
      <c r="TE80" s="41"/>
      <c r="TF80" s="41"/>
      <c r="TG80" s="41"/>
      <c r="TH80" s="41"/>
      <c r="TI80" s="41"/>
      <c r="TJ80" s="41"/>
      <c r="TK80" s="41"/>
      <c r="TL80" s="41"/>
      <c r="TM80" s="41"/>
      <c r="TN80" s="41"/>
      <c r="TO80" s="41"/>
      <c r="TP80" s="41"/>
      <c r="TQ80" s="41"/>
      <c r="TR80" s="41"/>
      <c r="TS80" s="41"/>
      <c r="TT80" s="41"/>
      <c r="TU80" s="41"/>
      <c r="TV80" s="41"/>
      <c r="TW80" s="41"/>
      <c r="TX80" s="41"/>
      <c r="TY80" s="41"/>
      <c r="TZ80" s="41"/>
      <c r="UA80" s="41"/>
      <c r="UB80" s="41"/>
      <c r="UC80" s="41"/>
      <c r="UD80" s="41"/>
      <c r="UE80" s="41"/>
      <c r="UF80" s="41"/>
      <c r="UG80" s="41"/>
      <c r="UH80" s="41"/>
      <c r="UI80" s="41"/>
      <c r="UJ80" s="41"/>
      <c r="UK80" s="41"/>
      <c r="UL80" s="41"/>
      <c r="UM80" s="41"/>
      <c r="UN80" s="41"/>
      <c r="UO80" s="41"/>
      <c r="UP80" s="41"/>
      <c r="UQ80" s="41"/>
      <c r="UR80" s="41"/>
      <c r="US80" s="41"/>
      <c r="UT80" s="41"/>
      <c r="UU80" s="41"/>
      <c r="UV80" s="41"/>
      <c r="UW80" s="41"/>
      <c r="UX80" s="41"/>
      <c r="UY80" s="41"/>
      <c r="UZ80" s="41"/>
      <c r="VA80" s="41"/>
      <c r="VB80" s="41"/>
      <c r="VC80" s="41"/>
      <c r="VD80" s="41"/>
      <c r="VE80" s="41"/>
      <c r="VF80" s="41"/>
      <c r="VG80" s="41"/>
      <c r="VH80" s="41"/>
      <c r="VI80" s="41"/>
      <c r="VJ80" s="41"/>
      <c r="VK80" s="41"/>
      <c r="VL80" s="41"/>
      <c r="VM80" s="41"/>
      <c r="VN80" s="41"/>
      <c r="VO80" s="41"/>
      <c r="VP80" s="41"/>
      <c r="VQ80" s="41"/>
      <c r="VR80" s="41"/>
      <c r="VS80" s="41"/>
      <c r="VT80" s="41"/>
      <c r="VU80" s="41"/>
      <c r="VV80" s="41"/>
      <c r="VW80" s="41"/>
      <c r="VX80" s="41"/>
      <c r="VY80" s="41"/>
      <c r="VZ80" s="41"/>
      <c r="WA80" s="41"/>
      <c r="WB80" s="41"/>
      <c r="WC80" s="41"/>
      <c r="WD80" s="41"/>
      <c r="WE80" s="41"/>
      <c r="WF80" s="41"/>
      <c r="WG80" s="41"/>
      <c r="WH80" s="41"/>
      <c r="WI80" s="41"/>
      <c r="WJ80" s="41"/>
      <c r="WK80" s="41"/>
      <c r="WL80" s="41"/>
      <c r="WM80" s="41"/>
      <c r="WN80" s="41"/>
      <c r="WO80" s="41"/>
      <c r="WP80" s="41"/>
      <c r="WQ80" s="41"/>
      <c r="WR80" s="41"/>
      <c r="WS80" s="41"/>
      <c r="WT80" s="41"/>
      <c r="WU80" s="41"/>
      <c r="WV80" s="41"/>
      <c r="WW80" s="41"/>
      <c r="WX80" s="41"/>
      <c r="WY80" s="41"/>
      <c r="WZ80" s="41"/>
      <c r="XA80" s="41"/>
      <c r="XB80" s="41"/>
      <c r="XC80" s="41"/>
      <c r="XD80" s="41"/>
      <c r="XE80" s="41"/>
      <c r="XF80" s="41"/>
      <c r="XG80" s="41"/>
      <c r="XH80" s="41"/>
      <c r="XI80" s="41"/>
      <c r="XJ80" s="41"/>
      <c r="XK80" s="41"/>
      <c r="XL80" s="41"/>
      <c r="XM80" s="41"/>
      <c r="XN80" s="41"/>
      <c r="XO80" s="41"/>
      <c r="XP80" s="41"/>
      <c r="XQ80" s="41"/>
      <c r="XR80" s="41"/>
      <c r="XS80" s="41"/>
      <c r="XT80" s="41"/>
      <c r="XU80" s="41"/>
      <c r="XV80" s="41"/>
      <c r="XW80" s="41"/>
      <c r="XX80" s="41"/>
      <c r="XY80" s="41"/>
      <c r="XZ80" s="41"/>
      <c r="YA80" s="41"/>
      <c r="YB80" s="41"/>
      <c r="YC80" s="41"/>
      <c r="YD80" s="41"/>
      <c r="YE80" s="41"/>
      <c r="YF80" s="41"/>
      <c r="YG80" s="41"/>
      <c r="YH80" s="41"/>
      <c r="YI80" s="41"/>
      <c r="YJ80" s="41"/>
      <c r="YK80" s="41"/>
      <c r="YL80" s="41"/>
      <c r="YM80" s="41"/>
      <c r="YN80" s="41"/>
      <c r="YO80" s="41"/>
      <c r="YP80" s="41"/>
      <c r="YQ80" s="41"/>
      <c r="YR80" s="41"/>
      <c r="YS80" s="41"/>
      <c r="YT80" s="41"/>
      <c r="YU80" s="41"/>
      <c r="YV80" s="41"/>
      <c r="YW80" s="41"/>
      <c r="YX80" s="41"/>
      <c r="YY80" s="41"/>
      <c r="YZ80" s="41"/>
      <c r="ZA80" s="41"/>
      <c r="ZB80" s="41"/>
      <c r="ZC80" s="41"/>
      <c r="ZD80" s="41"/>
      <c r="ZE80" s="41"/>
      <c r="ZF80" s="41"/>
      <c r="ZG80" s="41"/>
      <c r="ZH80" s="41"/>
      <c r="ZI80" s="41"/>
      <c r="ZJ80" s="41"/>
      <c r="ZK80" s="41"/>
      <c r="ZL80" s="41"/>
      <c r="ZM80" s="41"/>
      <c r="ZN80" s="41"/>
      <c r="ZO80" s="41"/>
      <c r="ZP80" s="41"/>
      <c r="ZQ80" s="41"/>
      <c r="ZR80" s="41"/>
      <c r="ZS80" s="41"/>
      <c r="ZT80" s="41"/>
      <c r="ZU80" s="41"/>
      <c r="ZV80" s="41"/>
      <c r="ZW80" s="41"/>
      <c r="ZX80" s="41"/>
      <c r="ZY80" s="41"/>
      <c r="ZZ80" s="41"/>
      <c r="AAA80" s="41"/>
      <c r="AAB80" s="41"/>
      <c r="AAC80" s="41"/>
    </row>
    <row r="81" spans="1:705" s="42" customFormat="1" ht="58.2" hidden="1" customHeight="1" x14ac:dyDescent="0.3">
      <c r="A81" s="26">
        <v>77</v>
      </c>
      <c r="B81" s="137">
        <v>239716</v>
      </c>
      <c r="C81" s="138">
        <v>77</v>
      </c>
      <c r="D81" s="139">
        <v>45916</v>
      </c>
      <c r="E81" s="139">
        <f t="shared" si="13"/>
        <v>45915</v>
      </c>
      <c r="F81" s="139">
        <f t="shared" si="10"/>
        <v>45926</v>
      </c>
      <c r="G81" s="139">
        <v>46007</v>
      </c>
      <c r="H81" s="139">
        <v>46049</v>
      </c>
      <c r="I81" s="139" t="s">
        <v>321</v>
      </c>
      <c r="J81" s="140" t="s">
        <v>254</v>
      </c>
      <c r="K81" s="141">
        <f t="shared" si="14"/>
        <v>123</v>
      </c>
      <c r="L81" s="141">
        <v>1143978</v>
      </c>
      <c r="M81" s="140" t="s">
        <v>15</v>
      </c>
      <c r="N81" s="142">
        <v>810943</v>
      </c>
      <c r="O81" s="140" t="s">
        <v>246</v>
      </c>
      <c r="P81" s="143">
        <v>46021</v>
      </c>
      <c r="Q81" s="143">
        <v>46198</v>
      </c>
      <c r="R81" s="137" t="s">
        <v>1013</v>
      </c>
      <c r="S81" s="144" t="s">
        <v>255</v>
      </c>
      <c r="T81" s="145">
        <v>1</v>
      </c>
      <c r="U81" s="137" t="s">
        <v>106</v>
      </c>
      <c r="V81" s="146">
        <v>65</v>
      </c>
      <c r="W81" s="146">
        <v>65</v>
      </c>
      <c r="X81" s="147">
        <v>0</v>
      </c>
      <c r="Y81" s="146"/>
      <c r="Z81" s="146">
        <v>0</v>
      </c>
      <c r="AA81" s="146">
        <v>0</v>
      </c>
      <c r="AB81" s="146">
        <v>65</v>
      </c>
      <c r="AC81" s="146">
        <v>65</v>
      </c>
      <c r="AD81" s="146">
        <v>0</v>
      </c>
      <c r="AE81" s="146">
        <v>0</v>
      </c>
      <c r="AF81" s="146">
        <v>0</v>
      </c>
      <c r="AG81" s="146">
        <v>0</v>
      </c>
      <c r="AH81" s="146">
        <v>0</v>
      </c>
      <c r="AI81" s="146">
        <v>0</v>
      </c>
      <c r="AJ81" s="146">
        <v>0</v>
      </c>
      <c r="AK81" s="146"/>
      <c r="AL81" s="146">
        <v>0</v>
      </c>
      <c r="AM81" s="146"/>
      <c r="AN81" s="146">
        <v>1</v>
      </c>
      <c r="AO81" s="146">
        <v>1</v>
      </c>
      <c r="AP81" s="146">
        <v>1</v>
      </c>
      <c r="AQ81" s="146">
        <v>1</v>
      </c>
      <c r="AR81" s="146">
        <v>0</v>
      </c>
      <c r="AS81" s="146">
        <v>0</v>
      </c>
      <c r="AT81" s="146">
        <v>0</v>
      </c>
      <c r="AU81" s="146">
        <v>0</v>
      </c>
      <c r="AV81" s="146">
        <v>0</v>
      </c>
      <c r="AW81" s="146">
        <v>0</v>
      </c>
      <c r="AX81" s="146">
        <f t="shared" si="11"/>
        <v>8295</v>
      </c>
      <c r="AY81" s="146">
        <f t="shared" si="12"/>
        <v>8295</v>
      </c>
      <c r="AZ81" s="140" t="s">
        <v>562</v>
      </c>
      <c r="BA81" s="140" t="s">
        <v>562</v>
      </c>
      <c r="BB81" s="137">
        <v>6</v>
      </c>
      <c r="BC81" s="148">
        <v>77</v>
      </c>
      <c r="BD81" s="149"/>
      <c r="BE81" s="145"/>
      <c r="BF81" s="150"/>
      <c r="BG81" s="151">
        <v>46023</v>
      </c>
      <c r="BH81" s="153" t="s">
        <v>77</v>
      </c>
      <c r="BI81" s="153" t="s">
        <v>562</v>
      </c>
      <c r="CC81" s="41"/>
      <c r="CD81" s="41"/>
      <c r="CE81" s="41"/>
      <c r="CF81" s="41"/>
      <c r="CG81" s="41"/>
      <c r="CH81" s="41"/>
      <c r="CI81" s="41"/>
      <c r="CJ81" s="41"/>
      <c r="CK81" s="41"/>
      <c r="CL81" s="41"/>
      <c r="CM81" s="41"/>
      <c r="CN81" s="41"/>
      <c r="CO81" s="41"/>
      <c r="CP81" s="41"/>
      <c r="CQ81" s="41"/>
      <c r="CR81" s="41"/>
      <c r="CS81" s="41"/>
      <c r="CT81" s="41"/>
      <c r="CU81" s="41"/>
      <c r="CV81" s="41"/>
      <c r="CW81" s="41"/>
      <c r="CX81" s="41"/>
      <c r="CY81" s="41"/>
      <c r="CZ81" s="41"/>
      <c r="DA81" s="41"/>
      <c r="DB81" s="41"/>
      <c r="DC81" s="41"/>
      <c r="DD81" s="41"/>
      <c r="DE81" s="41"/>
      <c r="DF81" s="41"/>
      <c r="DG81" s="41"/>
      <c r="DH81" s="41"/>
      <c r="DI81" s="41"/>
      <c r="DJ81" s="41"/>
      <c r="DK81" s="41"/>
      <c r="DL81" s="41"/>
      <c r="DM81" s="41"/>
      <c r="DN81" s="41"/>
      <c r="DO81" s="41"/>
      <c r="DP81" s="41"/>
      <c r="DQ81" s="41"/>
      <c r="DR81" s="41"/>
      <c r="DS81" s="41"/>
      <c r="DT81" s="41"/>
      <c r="DU81" s="41"/>
      <c r="DV81" s="41"/>
      <c r="DW81" s="41"/>
      <c r="DX81" s="41"/>
      <c r="DY81" s="41"/>
      <c r="DZ81" s="41"/>
      <c r="EA81" s="41"/>
      <c r="EB81" s="41"/>
      <c r="EC81" s="41"/>
      <c r="ED81" s="41"/>
      <c r="EE81" s="41"/>
      <c r="EF81" s="41"/>
      <c r="EG81" s="41"/>
      <c r="EH81" s="41"/>
      <c r="EI81" s="41"/>
      <c r="EJ81" s="41"/>
      <c r="EK81" s="41"/>
      <c r="EL81" s="41"/>
      <c r="EM81" s="41"/>
      <c r="EN81" s="41"/>
      <c r="EO81" s="41"/>
      <c r="EP81" s="41"/>
      <c r="EQ81" s="41"/>
      <c r="ER81" s="41"/>
      <c r="ES81" s="41"/>
      <c r="ET81" s="41"/>
      <c r="EU81" s="41"/>
      <c r="EV81" s="41"/>
      <c r="EW81" s="41"/>
      <c r="EX81" s="41"/>
      <c r="EY81" s="41"/>
      <c r="EZ81" s="41"/>
      <c r="FA81" s="41"/>
      <c r="FB81" s="41"/>
      <c r="FC81" s="41"/>
      <c r="FD81" s="41"/>
      <c r="FE81" s="41"/>
      <c r="FF81" s="41"/>
      <c r="FG81" s="41"/>
      <c r="FH81" s="41"/>
      <c r="FI81" s="41"/>
      <c r="FJ81" s="41"/>
      <c r="FK81" s="41"/>
      <c r="FL81" s="41"/>
      <c r="FM81" s="41"/>
      <c r="FN81" s="41"/>
      <c r="FO81" s="41"/>
      <c r="FP81" s="41"/>
      <c r="FQ81" s="41"/>
      <c r="FR81" s="41"/>
      <c r="FS81" s="41"/>
      <c r="FT81" s="41"/>
      <c r="FU81" s="41"/>
      <c r="FV81" s="41"/>
      <c r="FW81" s="41"/>
      <c r="FX81" s="41"/>
      <c r="FY81" s="41"/>
      <c r="FZ81" s="41"/>
      <c r="GA81" s="41"/>
      <c r="GB81" s="41"/>
      <c r="GC81" s="41"/>
      <c r="GD81" s="41"/>
      <c r="GE81" s="41"/>
      <c r="GF81" s="41"/>
      <c r="GG81" s="41"/>
      <c r="GH81" s="41"/>
      <c r="GI81" s="41"/>
      <c r="GJ81" s="41"/>
      <c r="GK81" s="41"/>
      <c r="GL81" s="41"/>
      <c r="GM81" s="41"/>
      <c r="GN81" s="41"/>
      <c r="GO81" s="41"/>
      <c r="GP81" s="41"/>
      <c r="GQ81" s="41"/>
      <c r="GR81" s="41"/>
      <c r="GS81" s="41"/>
      <c r="GT81" s="41"/>
      <c r="GU81" s="41"/>
      <c r="GV81" s="41"/>
      <c r="GW81" s="41"/>
      <c r="GX81" s="41"/>
      <c r="GY81" s="41"/>
      <c r="GZ81" s="41"/>
      <c r="HA81" s="41"/>
      <c r="HB81" s="41"/>
      <c r="HC81" s="41"/>
      <c r="HD81" s="41"/>
      <c r="HE81" s="41"/>
      <c r="HF81" s="41"/>
      <c r="HG81" s="41"/>
      <c r="HH81" s="41"/>
      <c r="HI81" s="41"/>
      <c r="HJ81" s="41"/>
      <c r="HK81" s="41"/>
      <c r="HL81" s="41"/>
      <c r="HM81" s="41"/>
      <c r="HN81" s="41"/>
      <c r="HO81" s="41"/>
      <c r="HP81" s="41"/>
      <c r="HQ81" s="41"/>
      <c r="HR81" s="41"/>
      <c r="HS81" s="41"/>
      <c r="HT81" s="41"/>
      <c r="HU81" s="41"/>
      <c r="HV81" s="41"/>
      <c r="HW81" s="41"/>
      <c r="HX81" s="41"/>
      <c r="HY81" s="41"/>
      <c r="HZ81" s="41"/>
      <c r="IA81" s="41"/>
      <c r="IB81" s="41"/>
      <c r="IC81" s="41"/>
      <c r="ID81" s="41"/>
      <c r="IE81" s="41"/>
      <c r="IF81" s="41"/>
      <c r="IG81" s="41"/>
      <c r="IH81" s="41"/>
      <c r="II81" s="41"/>
      <c r="IJ81" s="41"/>
      <c r="IK81" s="41"/>
      <c r="IL81" s="41"/>
      <c r="IM81" s="41"/>
      <c r="IN81" s="41"/>
      <c r="IO81" s="41"/>
      <c r="IP81" s="41"/>
      <c r="IQ81" s="41"/>
      <c r="IR81" s="41"/>
      <c r="IS81" s="41"/>
      <c r="IT81" s="41"/>
      <c r="IU81" s="41"/>
      <c r="IV81" s="41"/>
      <c r="IW81" s="41"/>
      <c r="IX81" s="41"/>
      <c r="IY81" s="41"/>
      <c r="IZ81" s="41"/>
      <c r="JA81" s="41"/>
      <c r="JB81" s="41"/>
      <c r="JC81" s="41"/>
      <c r="JD81" s="41"/>
      <c r="JE81" s="41"/>
      <c r="JF81" s="41"/>
      <c r="JG81" s="41"/>
      <c r="JH81" s="41"/>
      <c r="JI81" s="41"/>
      <c r="JJ81" s="41"/>
      <c r="JK81" s="41"/>
      <c r="JL81" s="41"/>
      <c r="JM81" s="41"/>
      <c r="JN81" s="41"/>
      <c r="JO81" s="41"/>
      <c r="JP81" s="41"/>
      <c r="JQ81" s="41"/>
      <c r="JR81" s="41"/>
      <c r="JS81" s="41"/>
      <c r="JT81" s="41"/>
      <c r="JU81" s="41"/>
      <c r="JV81" s="41"/>
      <c r="JW81" s="41"/>
      <c r="JX81" s="41"/>
      <c r="JY81" s="41"/>
      <c r="JZ81" s="41"/>
      <c r="KA81" s="41"/>
      <c r="KB81" s="41"/>
      <c r="KC81" s="41"/>
      <c r="KD81" s="41"/>
      <c r="KE81" s="41"/>
      <c r="KF81" s="41"/>
      <c r="KG81" s="41"/>
      <c r="KH81" s="41"/>
      <c r="KI81" s="41"/>
      <c r="KJ81" s="41"/>
      <c r="KK81" s="41"/>
      <c r="KL81" s="41"/>
      <c r="KM81" s="41"/>
      <c r="KN81" s="41"/>
      <c r="KO81" s="41"/>
      <c r="KP81" s="41"/>
      <c r="KQ81" s="41"/>
      <c r="KR81" s="41"/>
      <c r="KS81" s="41"/>
      <c r="KT81" s="41"/>
      <c r="KU81" s="41"/>
      <c r="KV81" s="41"/>
      <c r="KW81" s="41"/>
      <c r="KX81" s="41"/>
      <c r="KY81" s="41"/>
      <c r="KZ81" s="41"/>
      <c r="LA81" s="41"/>
      <c r="LB81" s="41"/>
      <c r="LC81" s="41"/>
      <c r="LD81" s="41"/>
      <c r="LE81" s="41"/>
      <c r="LF81" s="41"/>
      <c r="LG81" s="41"/>
      <c r="LH81" s="41"/>
      <c r="LI81" s="41"/>
      <c r="LJ81" s="41"/>
      <c r="LK81" s="41"/>
      <c r="LL81" s="41"/>
      <c r="LM81" s="41"/>
      <c r="LN81" s="41"/>
      <c r="LO81" s="41"/>
      <c r="LP81" s="41"/>
      <c r="LQ81" s="41"/>
      <c r="LR81" s="41"/>
      <c r="LS81" s="41"/>
      <c r="LT81" s="41"/>
      <c r="LU81" s="41"/>
      <c r="LV81" s="41"/>
      <c r="LW81" s="41"/>
      <c r="LX81" s="41"/>
      <c r="LY81" s="41"/>
      <c r="LZ81" s="41"/>
      <c r="MA81" s="41"/>
      <c r="MB81" s="41"/>
      <c r="MC81" s="41"/>
      <c r="MD81" s="41"/>
      <c r="ME81" s="41"/>
      <c r="MF81" s="41"/>
      <c r="MG81" s="41"/>
      <c r="MH81" s="41"/>
      <c r="MI81" s="41"/>
      <c r="MJ81" s="41"/>
      <c r="MK81" s="41"/>
      <c r="ML81" s="41"/>
      <c r="MM81" s="41"/>
      <c r="MN81" s="41"/>
      <c r="MO81" s="41"/>
      <c r="MP81" s="41"/>
      <c r="MQ81" s="41"/>
      <c r="MR81" s="41"/>
      <c r="MS81" s="41"/>
      <c r="MT81" s="41"/>
      <c r="MU81" s="41"/>
      <c r="MV81" s="41"/>
      <c r="MW81" s="41"/>
      <c r="MX81" s="41"/>
      <c r="MY81" s="41"/>
      <c r="MZ81" s="41"/>
      <c r="NA81" s="41"/>
      <c r="NB81" s="41"/>
      <c r="NC81" s="41"/>
      <c r="ND81" s="41"/>
      <c r="NE81" s="41"/>
      <c r="NF81" s="41"/>
      <c r="NG81" s="41"/>
      <c r="NH81" s="41"/>
      <c r="NI81" s="41"/>
      <c r="NJ81" s="41"/>
      <c r="NK81" s="41"/>
      <c r="NL81" s="41"/>
      <c r="NM81" s="41"/>
      <c r="NN81" s="41"/>
      <c r="NO81" s="41"/>
      <c r="NP81" s="41"/>
      <c r="NQ81" s="41"/>
      <c r="NR81" s="41"/>
      <c r="NS81" s="41"/>
      <c r="NT81" s="41"/>
      <c r="NU81" s="41"/>
      <c r="NV81" s="41"/>
      <c r="NW81" s="41"/>
      <c r="NX81" s="41"/>
      <c r="NY81" s="41"/>
      <c r="NZ81" s="41"/>
      <c r="OA81" s="41"/>
      <c r="OB81" s="41"/>
      <c r="OC81" s="41"/>
      <c r="OD81" s="41"/>
      <c r="OE81" s="41"/>
      <c r="OF81" s="41"/>
      <c r="OG81" s="41"/>
      <c r="OH81" s="41"/>
      <c r="OI81" s="41"/>
      <c r="OJ81" s="41"/>
      <c r="OK81" s="41"/>
      <c r="OL81" s="41"/>
      <c r="OM81" s="41"/>
      <c r="ON81" s="41"/>
      <c r="OO81" s="41"/>
      <c r="OP81" s="41"/>
      <c r="OQ81" s="41"/>
      <c r="OR81" s="41"/>
      <c r="OS81" s="41"/>
      <c r="OT81" s="41"/>
      <c r="OU81" s="41"/>
      <c r="OV81" s="41"/>
      <c r="OW81" s="41"/>
      <c r="OX81" s="41"/>
      <c r="OY81" s="41"/>
      <c r="OZ81" s="41"/>
      <c r="PA81" s="41"/>
      <c r="PB81" s="41"/>
      <c r="PC81" s="41"/>
      <c r="PD81" s="41"/>
      <c r="PE81" s="41"/>
      <c r="PF81" s="41"/>
      <c r="PG81" s="41"/>
      <c r="PH81" s="41"/>
      <c r="PI81" s="41"/>
      <c r="PJ81" s="41"/>
      <c r="PK81" s="41"/>
      <c r="PL81" s="41"/>
      <c r="PM81" s="41"/>
      <c r="PN81" s="41"/>
      <c r="PO81" s="41"/>
      <c r="PP81" s="41"/>
      <c r="PQ81" s="41"/>
      <c r="PR81" s="41"/>
      <c r="PS81" s="41"/>
      <c r="PT81" s="41"/>
      <c r="PU81" s="41"/>
      <c r="PV81" s="41"/>
      <c r="PW81" s="41"/>
      <c r="PX81" s="41"/>
      <c r="PY81" s="41"/>
      <c r="PZ81" s="41"/>
      <c r="QA81" s="41"/>
      <c r="QB81" s="41"/>
      <c r="QC81" s="41"/>
      <c r="QD81" s="41"/>
      <c r="QE81" s="41"/>
      <c r="QF81" s="41"/>
      <c r="QG81" s="41"/>
      <c r="QH81" s="41"/>
      <c r="QI81" s="41"/>
      <c r="QJ81" s="41"/>
      <c r="QK81" s="41"/>
      <c r="QL81" s="41"/>
      <c r="QM81" s="41"/>
      <c r="QN81" s="41"/>
      <c r="QO81" s="41"/>
      <c r="QP81" s="41"/>
      <c r="QQ81" s="41"/>
      <c r="QR81" s="41"/>
      <c r="QS81" s="41"/>
      <c r="QT81" s="41"/>
      <c r="QU81" s="41"/>
      <c r="QV81" s="41"/>
      <c r="QW81" s="41"/>
      <c r="QX81" s="41"/>
      <c r="QY81" s="41"/>
      <c r="QZ81" s="41"/>
      <c r="RA81" s="41"/>
      <c r="RB81" s="41"/>
      <c r="RC81" s="41"/>
      <c r="RD81" s="41"/>
      <c r="RE81" s="41"/>
      <c r="RF81" s="41"/>
      <c r="RG81" s="41"/>
      <c r="RH81" s="41"/>
      <c r="RI81" s="41"/>
      <c r="RJ81" s="41"/>
      <c r="RK81" s="41"/>
      <c r="RL81" s="41"/>
      <c r="RM81" s="41"/>
      <c r="RN81" s="41"/>
      <c r="RO81" s="41"/>
      <c r="RP81" s="41"/>
      <c r="RQ81" s="41"/>
      <c r="RR81" s="41"/>
      <c r="RS81" s="41"/>
      <c r="RT81" s="41"/>
      <c r="RU81" s="41"/>
      <c r="RV81" s="41"/>
      <c r="RW81" s="41"/>
      <c r="RX81" s="41"/>
      <c r="RY81" s="41"/>
      <c r="RZ81" s="41"/>
      <c r="SA81" s="41"/>
      <c r="SB81" s="41"/>
      <c r="SC81" s="41"/>
      <c r="SD81" s="41"/>
      <c r="SE81" s="41"/>
      <c r="SF81" s="41"/>
      <c r="SG81" s="41"/>
      <c r="SH81" s="41"/>
      <c r="SI81" s="41"/>
      <c r="SJ81" s="41"/>
      <c r="SK81" s="41"/>
      <c r="SL81" s="41"/>
      <c r="SM81" s="41"/>
      <c r="SN81" s="41"/>
      <c r="SO81" s="41"/>
      <c r="SP81" s="41"/>
      <c r="SQ81" s="41"/>
      <c r="SR81" s="41"/>
      <c r="SS81" s="41"/>
      <c r="ST81" s="41"/>
      <c r="SU81" s="41"/>
      <c r="SV81" s="41"/>
      <c r="SW81" s="41"/>
      <c r="SX81" s="41"/>
      <c r="SY81" s="41"/>
      <c r="SZ81" s="41"/>
      <c r="TA81" s="41"/>
      <c r="TB81" s="41"/>
      <c r="TC81" s="41"/>
      <c r="TD81" s="41"/>
      <c r="TE81" s="41"/>
      <c r="TF81" s="41"/>
      <c r="TG81" s="41"/>
      <c r="TH81" s="41"/>
      <c r="TI81" s="41"/>
      <c r="TJ81" s="41"/>
      <c r="TK81" s="41"/>
      <c r="TL81" s="41"/>
      <c r="TM81" s="41"/>
      <c r="TN81" s="41"/>
      <c r="TO81" s="41"/>
      <c r="TP81" s="41"/>
      <c r="TQ81" s="41"/>
      <c r="TR81" s="41"/>
      <c r="TS81" s="41"/>
      <c r="TT81" s="41"/>
      <c r="TU81" s="41"/>
      <c r="TV81" s="41"/>
      <c r="TW81" s="41"/>
      <c r="TX81" s="41"/>
      <c r="TY81" s="41"/>
      <c r="TZ81" s="41"/>
      <c r="UA81" s="41"/>
      <c r="UB81" s="41"/>
      <c r="UC81" s="41"/>
      <c r="UD81" s="41"/>
      <c r="UE81" s="41"/>
      <c r="UF81" s="41"/>
      <c r="UG81" s="41"/>
      <c r="UH81" s="41"/>
      <c r="UI81" s="41"/>
      <c r="UJ81" s="41"/>
      <c r="UK81" s="41"/>
      <c r="UL81" s="41"/>
      <c r="UM81" s="41"/>
      <c r="UN81" s="41"/>
      <c r="UO81" s="41"/>
      <c r="UP81" s="41"/>
      <c r="UQ81" s="41"/>
      <c r="UR81" s="41"/>
      <c r="US81" s="41"/>
      <c r="UT81" s="41"/>
      <c r="UU81" s="41"/>
      <c r="UV81" s="41"/>
      <c r="UW81" s="41"/>
      <c r="UX81" s="41"/>
      <c r="UY81" s="41"/>
      <c r="UZ81" s="41"/>
      <c r="VA81" s="41"/>
      <c r="VB81" s="41"/>
      <c r="VC81" s="41"/>
      <c r="VD81" s="41"/>
      <c r="VE81" s="41"/>
      <c r="VF81" s="41"/>
      <c r="VG81" s="41"/>
      <c r="VH81" s="41"/>
      <c r="VI81" s="41"/>
      <c r="VJ81" s="41"/>
      <c r="VK81" s="41"/>
      <c r="VL81" s="41"/>
      <c r="VM81" s="41"/>
      <c r="VN81" s="41"/>
      <c r="VO81" s="41"/>
      <c r="VP81" s="41"/>
      <c r="VQ81" s="41"/>
      <c r="VR81" s="41"/>
      <c r="VS81" s="41"/>
      <c r="VT81" s="41"/>
      <c r="VU81" s="41"/>
      <c r="VV81" s="41"/>
      <c r="VW81" s="41"/>
      <c r="VX81" s="41"/>
      <c r="VY81" s="41"/>
      <c r="VZ81" s="41"/>
      <c r="WA81" s="41"/>
      <c r="WB81" s="41"/>
      <c r="WC81" s="41"/>
      <c r="WD81" s="41"/>
      <c r="WE81" s="41"/>
      <c r="WF81" s="41"/>
      <c r="WG81" s="41"/>
      <c r="WH81" s="41"/>
      <c r="WI81" s="41"/>
      <c r="WJ81" s="41"/>
      <c r="WK81" s="41"/>
      <c r="WL81" s="41"/>
      <c r="WM81" s="41"/>
      <c r="WN81" s="41"/>
      <c r="WO81" s="41"/>
      <c r="WP81" s="41"/>
      <c r="WQ81" s="41"/>
      <c r="WR81" s="41"/>
      <c r="WS81" s="41"/>
      <c r="WT81" s="41"/>
      <c r="WU81" s="41"/>
      <c r="WV81" s="41"/>
      <c r="WW81" s="41"/>
      <c r="WX81" s="41"/>
      <c r="WY81" s="41"/>
      <c r="WZ81" s="41"/>
      <c r="XA81" s="41"/>
      <c r="XB81" s="41"/>
      <c r="XC81" s="41"/>
      <c r="XD81" s="41"/>
      <c r="XE81" s="41"/>
      <c r="XF81" s="41"/>
      <c r="XG81" s="41"/>
      <c r="XH81" s="41"/>
      <c r="XI81" s="41"/>
      <c r="XJ81" s="41"/>
      <c r="XK81" s="41"/>
      <c r="XL81" s="41"/>
      <c r="XM81" s="41"/>
      <c r="XN81" s="41"/>
      <c r="XO81" s="41"/>
      <c r="XP81" s="41"/>
      <c r="XQ81" s="41"/>
      <c r="XR81" s="41"/>
      <c r="XS81" s="41"/>
      <c r="XT81" s="41"/>
      <c r="XU81" s="41"/>
      <c r="XV81" s="41"/>
      <c r="XW81" s="41"/>
      <c r="XX81" s="41"/>
      <c r="XY81" s="41"/>
      <c r="XZ81" s="41"/>
      <c r="YA81" s="41"/>
      <c r="YB81" s="41"/>
      <c r="YC81" s="41"/>
      <c r="YD81" s="41"/>
      <c r="YE81" s="41"/>
      <c r="YF81" s="41"/>
      <c r="YG81" s="41"/>
      <c r="YH81" s="41"/>
      <c r="YI81" s="41"/>
      <c r="YJ81" s="41"/>
      <c r="YK81" s="41"/>
      <c r="YL81" s="41"/>
      <c r="YM81" s="41"/>
      <c r="YN81" s="41"/>
      <c r="YO81" s="41"/>
      <c r="YP81" s="41"/>
      <c r="YQ81" s="41"/>
      <c r="YR81" s="41"/>
      <c r="YS81" s="41"/>
      <c r="YT81" s="41"/>
      <c r="YU81" s="41"/>
      <c r="YV81" s="41"/>
      <c r="YW81" s="41"/>
      <c r="YX81" s="41"/>
      <c r="YY81" s="41"/>
      <c r="YZ81" s="41"/>
      <c r="ZA81" s="41"/>
      <c r="ZB81" s="41"/>
      <c r="ZC81" s="41"/>
      <c r="ZD81" s="41"/>
      <c r="ZE81" s="41"/>
      <c r="ZF81" s="41"/>
      <c r="ZG81" s="41"/>
      <c r="ZH81" s="41"/>
      <c r="ZI81" s="41"/>
      <c r="ZJ81" s="41"/>
      <c r="ZK81" s="41"/>
      <c r="ZL81" s="41"/>
      <c r="ZM81" s="41"/>
      <c r="ZN81" s="41"/>
      <c r="ZO81" s="41"/>
      <c r="ZP81" s="41"/>
      <c r="ZQ81" s="41"/>
      <c r="ZR81" s="41"/>
      <c r="ZS81" s="41"/>
      <c r="ZT81" s="41"/>
      <c r="ZU81" s="41"/>
      <c r="ZV81" s="41"/>
      <c r="ZW81" s="41"/>
      <c r="ZX81" s="41"/>
      <c r="ZY81" s="41"/>
      <c r="ZZ81" s="41"/>
      <c r="AAA81" s="41"/>
      <c r="AAB81" s="41"/>
      <c r="AAC81" s="41"/>
    </row>
    <row r="82" spans="1:705" s="42" customFormat="1" ht="42" hidden="1" x14ac:dyDescent="0.3">
      <c r="A82" s="26">
        <v>78</v>
      </c>
      <c r="B82" s="137">
        <v>239721</v>
      </c>
      <c r="C82" s="138">
        <v>78</v>
      </c>
      <c r="D82" s="139">
        <v>45916</v>
      </c>
      <c r="E82" s="139">
        <f t="shared" si="13"/>
        <v>45915</v>
      </c>
      <c r="F82" s="139">
        <f t="shared" si="10"/>
        <v>45926</v>
      </c>
      <c r="G82" s="139">
        <v>45926</v>
      </c>
      <c r="H82" s="139">
        <v>45931</v>
      </c>
      <c r="I82" s="139" t="s">
        <v>75</v>
      </c>
      <c r="J82" s="140" t="s">
        <v>243</v>
      </c>
      <c r="K82" s="141">
        <f t="shared" si="14"/>
        <v>5</v>
      </c>
      <c r="L82" s="141">
        <v>1143985</v>
      </c>
      <c r="M82" s="140" t="s">
        <v>15</v>
      </c>
      <c r="N82" s="142">
        <v>803630</v>
      </c>
      <c r="O82" s="140" t="s">
        <v>246</v>
      </c>
      <c r="P82" s="143">
        <v>45925</v>
      </c>
      <c r="Q82" s="143">
        <v>45940</v>
      </c>
      <c r="R82" s="137" t="s">
        <v>211</v>
      </c>
      <c r="S82" s="144" t="s">
        <v>244</v>
      </c>
      <c r="T82" s="145">
        <v>1</v>
      </c>
      <c r="U82" s="137" t="s">
        <v>82</v>
      </c>
      <c r="V82" s="146">
        <v>7</v>
      </c>
      <c r="W82" s="146">
        <v>7</v>
      </c>
      <c r="X82" s="147">
        <v>0</v>
      </c>
      <c r="Y82" s="146">
        <v>0</v>
      </c>
      <c r="Z82" s="146">
        <v>0</v>
      </c>
      <c r="AA82" s="146">
        <v>0</v>
      </c>
      <c r="AB82" s="146">
        <v>7</v>
      </c>
      <c r="AC82" s="146">
        <v>7</v>
      </c>
      <c r="AD82" s="146">
        <v>0</v>
      </c>
      <c r="AE82" s="146">
        <v>0</v>
      </c>
      <c r="AF82" s="146">
        <v>0</v>
      </c>
      <c r="AG82" s="146">
        <v>0</v>
      </c>
      <c r="AH82" s="146">
        <v>1</v>
      </c>
      <c r="AI82" s="146">
        <v>1</v>
      </c>
      <c r="AJ82" s="146">
        <v>0</v>
      </c>
      <c r="AK82" s="146">
        <v>0</v>
      </c>
      <c r="AL82" s="146">
        <v>0</v>
      </c>
      <c r="AM82" s="146">
        <v>0</v>
      </c>
      <c r="AN82" s="146">
        <v>0</v>
      </c>
      <c r="AO82" s="146">
        <v>0</v>
      </c>
      <c r="AP82" s="146">
        <v>1</v>
      </c>
      <c r="AQ82" s="146">
        <v>1</v>
      </c>
      <c r="AR82" s="146">
        <v>0</v>
      </c>
      <c r="AS82" s="146">
        <v>0</v>
      </c>
      <c r="AT82" s="146">
        <v>1</v>
      </c>
      <c r="AU82" s="146">
        <v>1</v>
      </c>
      <c r="AV82" s="146">
        <v>0</v>
      </c>
      <c r="AW82" s="146">
        <v>0</v>
      </c>
      <c r="AX82" s="146">
        <f t="shared" si="11"/>
        <v>1969</v>
      </c>
      <c r="AY82" s="146">
        <f t="shared" si="12"/>
        <v>1969</v>
      </c>
      <c r="AZ82" s="140" t="s">
        <v>562</v>
      </c>
      <c r="BA82" s="140" t="s">
        <v>562</v>
      </c>
      <c r="BB82" s="137">
        <v>3</v>
      </c>
      <c r="BC82" s="148">
        <v>78</v>
      </c>
      <c r="BD82" s="149"/>
      <c r="BE82" s="145"/>
      <c r="BF82" s="150"/>
      <c r="BG82" s="151">
        <v>45901</v>
      </c>
      <c r="BH82" s="153" t="s">
        <v>535</v>
      </c>
      <c r="BI82" s="153" t="s">
        <v>562</v>
      </c>
      <c r="BJ82" s="41"/>
      <c r="BK82" s="41"/>
      <c r="BL82" s="41"/>
      <c r="BM82" s="41"/>
      <c r="BN82" s="41"/>
      <c r="BO82" s="41"/>
      <c r="BP82" s="41"/>
      <c r="BQ82" s="41"/>
      <c r="BR82" s="41"/>
      <c r="BS82" s="41"/>
      <c r="BT82" s="41"/>
      <c r="BU82" s="41"/>
      <c r="BV82" s="41"/>
      <c r="BW82" s="41"/>
      <c r="BX82" s="41"/>
      <c r="BY82" s="41"/>
      <c r="BZ82" s="41"/>
      <c r="CA82" s="41"/>
      <c r="CB82" s="41"/>
      <c r="CC82" s="41"/>
      <c r="CD82" s="41"/>
      <c r="CE82" s="41"/>
      <c r="CF82" s="41"/>
      <c r="CG82" s="41"/>
      <c r="CH82" s="41"/>
      <c r="CI82" s="41"/>
      <c r="CJ82" s="41"/>
      <c r="CK82" s="41"/>
      <c r="CL82" s="41"/>
      <c r="CM82" s="41"/>
      <c r="CN82" s="41"/>
      <c r="CO82" s="41"/>
      <c r="CP82" s="41"/>
      <c r="CQ82" s="41"/>
      <c r="CR82" s="41"/>
      <c r="CS82" s="41"/>
      <c r="CT82" s="41"/>
      <c r="CU82" s="41"/>
      <c r="CV82" s="41"/>
      <c r="CW82" s="41"/>
      <c r="CX82" s="41"/>
      <c r="CY82" s="41"/>
      <c r="CZ82" s="41"/>
      <c r="DA82" s="41"/>
      <c r="DB82" s="41"/>
      <c r="DC82" s="41"/>
      <c r="DD82" s="41"/>
      <c r="DE82" s="41"/>
      <c r="DF82" s="41"/>
      <c r="DG82" s="41"/>
      <c r="DH82" s="41"/>
      <c r="DI82" s="41"/>
      <c r="DJ82" s="41"/>
      <c r="DK82" s="41"/>
      <c r="DL82" s="41"/>
      <c r="DM82" s="41"/>
      <c r="DN82" s="41"/>
      <c r="DO82" s="41"/>
      <c r="DP82" s="41"/>
      <c r="DQ82" s="41"/>
      <c r="DR82" s="41"/>
      <c r="DS82" s="41"/>
      <c r="DT82" s="41"/>
      <c r="DU82" s="41"/>
      <c r="DV82" s="41"/>
      <c r="DW82" s="41"/>
      <c r="DX82" s="41"/>
      <c r="DY82" s="41"/>
      <c r="DZ82" s="41"/>
      <c r="EA82" s="41"/>
      <c r="EB82" s="41"/>
      <c r="EC82" s="41"/>
      <c r="ED82" s="41"/>
      <c r="EE82" s="41"/>
      <c r="EF82" s="41"/>
      <c r="EG82" s="41"/>
      <c r="EH82" s="41"/>
      <c r="EI82" s="41"/>
      <c r="EJ82" s="41"/>
      <c r="EK82" s="41"/>
      <c r="EL82" s="41"/>
      <c r="EM82" s="41"/>
      <c r="EN82" s="41"/>
      <c r="EO82" s="41"/>
      <c r="EP82" s="41"/>
      <c r="EQ82" s="41"/>
      <c r="ER82" s="41"/>
      <c r="ES82" s="41"/>
      <c r="ET82" s="41"/>
      <c r="EU82" s="41"/>
      <c r="EV82" s="41"/>
      <c r="EW82" s="41"/>
      <c r="EX82" s="41"/>
      <c r="EY82" s="41"/>
      <c r="EZ82" s="41"/>
      <c r="FA82" s="41"/>
      <c r="FB82" s="41"/>
      <c r="FC82" s="41"/>
      <c r="FD82" s="41"/>
      <c r="FE82" s="41"/>
      <c r="FF82" s="41"/>
      <c r="FG82" s="41"/>
      <c r="FH82" s="41"/>
      <c r="FI82" s="41"/>
      <c r="FJ82" s="41"/>
      <c r="FK82" s="41"/>
      <c r="FL82" s="41"/>
      <c r="FM82" s="41"/>
      <c r="FN82" s="41"/>
      <c r="FO82" s="41"/>
      <c r="FP82" s="41"/>
      <c r="FQ82" s="41"/>
      <c r="FR82" s="41"/>
      <c r="FS82" s="41"/>
      <c r="FT82" s="41"/>
      <c r="FU82" s="41"/>
      <c r="FV82" s="41"/>
      <c r="FW82" s="41"/>
      <c r="FX82" s="41"/>
      <c r="FY82" s="41"/>
      <c r="FZ82" s="41"/>
      <c r="GA82" s="41"/>
      <c r="GB82" s="41"/>
      <c r="GC82" s="41"/>
      <c r="GD82" s="41"/>
      <c r="GE82" s="41"/>
      <c r="GF82" s="41"/>
      <c r="GG82" s="41"/>
      <c r="GH82" s="41"/>
      <c r="GI82" s="41"/>
      <c r="GJ82" s="41"/>
      <c r="GK82" s="41"/>
      <c r="GL82" s="41"/>
      <c r="GM82" s="41"/>
      <c r="GN82" s="41"/>
      <c r="GO82" s="41"/>
      <c r="GP82" s="41"/>
      <c r="GQ82" s="41"/>
      <c r="GR82" s="41"/>
      <c r="GS82" s="41"/>
      <c r="GT82" s="41"/>
      <c r="GU82" s="41"/>
      <c r="GV82" s="41"/>
      <c r="GW82" s="41"/>
      <c r="GX82" s="41"/>
      <c r="GY82" s="41"/>
      <c r="GZ82" s="41"/>
      <c r="HA82" s="41"/>
      <c r="HB82" s="41"/>
      <c r="HC82" s="41"/>
      <c r="HD82" s="41"/>
      <c r="HE82" s="41"/>
      <c r="HF82" s="41"/>
      <c r="HG82" s="41"/>
      <c r="HH82" s="41"/>
      <c r="HI82" s="41"/>
      <c r="HJ82" s="41"/>
      <c r="HK82" s="41"/>
      <c r="HL82" s="41"/>
      <c r="HM82" s="41"/>
      <c r="HN82" s="41"/>
      <c r="HO82" s="41"/>
      <c r="HP82" s="41"/>
      <c r="HQ82" s="41"/>
      <c r="HR82" s="41"/>
      <c r="HS82" s="41"/>
      <c r="HT82" s="41"/>
      <c r="HU82" s="41"/>
      <c r="HV82" s="41"/>
      <c r="HW82" s="41"/>
      <c r="HX82" s="41"/>
      <c r="HY82" s="41"/>
      <c r="HZ82" s="41"/>
      <c r="IA82" s="41"/>
      <c r="IB82" s="41"/>
      <c r="IC82" s="41"/>
      <c r="ID82" s="41"/>
      <c r="IE82" s="41"/>
      <c r="IF82" s="41"/>
      <c r="IG82" s="41"/>
      <c r="IH82" s="41"/>
      <c r="II82" s="41"/>
      <c r="IJ82" s="41"/>
      <c r="IK82" s="41"/>
      <c r="IL82" s="41"/>
      <c r="IM82" s="41"/>
      <c r="IN82" s="41"/>
      <c r="IO82" s="41"/>
      <c r="IP82" s="41"/>
      <c r="IQ82" s="41"/>
      <c r="IR82" s="41"/>
      <c r="IS82" s="41"/>
      <c r="IT82" s="41"/>
      <c r="IU82" s="41"/>
      <c r="IV82" s="41"/>
      <c r="IW82" s="41"/>
      <c r="IX82" s="41"/>
      <c r="IY82" s="41"/>
      <c r="IZ82" s="41"/>
      <c r="JA82" s="41"/>
      <c r="JB82" s="41"/>
      <c r="JC82" s="41"/>
      <c r="JD82" s="41"/>
      <c r="JE82" s="41"/>
      <c r="JF82" s="41"/>
      <c r="JG82" s="41"/>
      <c r="JH82" s="41"/>
      <c r="JI82" s="41"/>
      <c r="JJ82" s="41"/>
      <c r="JK82" s="41"/>
      <c r="JL82" s="41"/>
      <c r="JM82" s="41"/>
      <c r="JN82" s="41"/>
      <c r="JO82" s="41"/>
      <c r="JP82" s="41"/>
      <c r="JQ82" s="41"/>
      <c r="JR82" s="41"/>
      <c r="JS82" s="41"/>
      <c r="JT82" s="41"/>
      <c r="JU82" s="41"/>
      <c r="JV82" s="41"/>
      <c r="JW82" s="41"/>
      <c r="JX82" s="41"/>
      <c r="JY82" s="41"/>
      <c r="JZ82" s="41"/>
      <c r="KA82" s="41"/>
      <c r="KB82" s="41"/>
      <c r="KC82" s="41"/>
      <c r="KD82" s="41"/>
      <c r="KE82" s="41"/>
      <c r="KF82" s="41"/>
      <c r="KG82" s="41"/>
      <c r="KH82" s="41"/>
      <c r="KI82" s="41"/>
      <c r="KJ82" s="41"/>
      <c r="KK82" s="41"/>
      <c r="KL82" s="41"/>
      <c r="KM82" s="41"/>
      <c r="KN82" s="41"/>
      <c r="KO82" s="41"/>
      <c r="KP82" s="41"/>
      <c r="KQ82" s="41"/>
      <c r="KR82" s="41"/>
      <c r="KS82" s="41"/>
      <c r="KT82" s="41"/>
      <c r="KU82" s="41"/>
      <c r="KV82" s="41"/>
      <c r="KW82" s="41"/>
      <c r="KX82" s="41"/>
      <c r="KY82" s="41"/>
      <c r="KZ82" s="41"/>
      <c r="LA82" s="41"/>
      <c r="LB82" s="41"/>
      <c r="LC82" s="41"/>
      <c r="LD82" s="41"/>
      <c r="LE82" s="41"/>
      <c r="LF82" s="41"/>
      <c r="LG82" s="41"/>
      <c r="LH82" s="41"/>
      <c r="LI82" s="41"/>
      <c r="LJ82" s="41"/>
      <c r="LK82" s="41"/>
      <c r="LL82" s="41"/>
      <c r="LM82" s="41"/>
      <c r="LN82" s="41"/>
      <c r="LO82" s="41"/>
      <c r="LP82" s="41"/>
      <c r="LQ82" s="41"/>
      <c r="LR82" s="41"/>
      <c r="LS82" s="41"/>
      <c r="LT82" s="41"/>
      <c r="LU82" s="41"/>
      <c r="LV82" s="41"/>
      <c r="LW82" s="41"/>
      <c r="LX82" s="41"/>
      <c r="LY82" s="41"/>
      <c r="LZ82" s="41"/>
      <c r="MA82" s="41"/>
      <c r="MB82" s="41"/>
      <c r="MC82" s="41"/>
      <c r="MD82" s="41"/>
      <c r="ME82" s="41"/>
      <c r="MF82" s="41"/>
      <c r="MG82" s="41"/>
      <c r="MH82" s="41"/>
      <c r="MI82" s="41"/>
      <c r="MJ82" s="41"/>
      <c r="MK82" s="41"/>
      <c r="ML82" s="41"/>
      <c r="MM82" s="41"/>
      <c r="MN82" s="41"/>
      <c r="MO82" s="41"/>
      <c r="MP82" s="41"/>
      <c r="MQ82" s="41"/>
      <c r="MR82" s="41"/>
      <c r="MS82" s="41"/>
      <c r="MT82" s="41"/>
      <c r="MU82" s="41"/>
      <c r="MV82" s="41"/>
      <c r="MW82" s="41"/>
      <c r="MX82" s="41"/>
      <c r="MY82" s="41"/>
      <c r="MZ82" s="41"/>
      <c r="NA82" s="41"/>
      <c r="NB82" s="41"/>
      <c r="NC82" s="41"/>
      <c r="ND82" s="41"/>
      <c r="NE82" s="41"/>
      <c r="NF82" s="41"/>
      <c r="NG82" s="41"/>
      <c r="NH82" s="41"/>
      <c r="NI82" s="41"/>
      <c r="NJ82" s="41"/>
      <c r="NK82" s="41"/>
      <c r="NL82" s="41"/>
      <c r="NM82" s="41"/>
      <c r="NN82" s="41"/>
      <c r="NO82" s="41"/>
      <c r="NP82" s="41"/>
      <c r="NQ82" s="41"/>
      <c r="NR82" s="41"/>
      <c r="NS82" s="41"/>
      <c r="NT82" s="41"/>
      <c r="NU82" s="41"/>
      <c r="NV82" s="41"/>
      <c r="NW82" s="41"/>
      <c r="NX82" s="41"/>
      <c r="NY82" s="41"/>
      <c r="NZ82" s="41"/>
      <c r="OA82" s="41"/>
      <c r="OB82" s="41"/>
      <c r="OC82" s="41"/>
      <c r="OD82" s="41"/>
      <c r="OE82" s="41"/>
      <c r="OF82" s="41"/>
      <c r="OG82" s="41"/>
      <c r="OH82" s="41"/>
      <c r="OI82" s="41"/>
      <c r="OJ82" s="41"/>
      <c r="OK82" s="41"/>
      <c r="OL82" s="41"/>
      <c r="OM82" s="41"/>
      <c r="ON82" s="41"/>
      <c r="OO82" s="41"/>
      <c r="OP82" s="41"/>
      <c r="OQ82" s="41"/>
      <c r="OR82" s="41"/>
      <c r="OS82" s="41"/>
      <c r="OT82" s="41"/>
      <c r="OU82" s="41"/>
      <c r="OV82" s="41"/>
      <c r="OW82" s="41"/>
      <c r="OX82" s="41"/>
      <c r="OY82" s="41"/>
      <c r="OZ82" s="41"/>
      <c r="PA82" s="41"/>
      <c r="PB82" s="41"/>
      <c r="PC82" s="41"/>
      <c r="PD82" s="41"/>
      <c r="PE82" s="41"/>
      <c r="PF82" s="41"/>
      <c r="PG82" s="41"/>
      <c r="PH82" s="41"/>
      <c r="PI82" s="41"/>
      <c r="PJ82" s="41"/>
      <c r="PK82" s="41"/>
      <c r="PL82" s="41"/>
      <c r="PM82" s="41"/>
      <c r="PN82" s="41"/>
      <c r="PO82" s="41"/>
      <c r="PP82" s="41"/>
      <c r="PQ82" s="41"/>
      <c r="PR82" s="41"/>
      <c r="PS82" s="41"/>
      <c r="PT82" s="41"/>
      <c r="PU82" s="41"/>
      <c r="PV82" s="41"/>
      <c r="PW82" s="41"/>
      <c r="PX82" s="41"/>
      <c r="PY82" s="41"/>
      <c r="PZ82" s="41"/>
      <c r="QA82" s="41"/>
      <c r="QB82" s="41"/>
      <c r="QC82" s="41"/>
      <c r="QD82" s="41"/>
      <c r="QE82" s="41"/>
      <c r="QF82" s="41"/>
      <c r="QG82" s="41"/>
      <c r="QH82" s="41"/>
      <c r="QI82" s="41"/>
      <c r="QJ82" s="41"/>
      <c r="QK82" s="41"/>
      <c r="QL82" s="41"/>
      <c r="QM82" s="41"/>
      <c r="QN82" s="41"/>
      <c r="QO82" s="41"/>
      <c r="QP82" s="41"/>
      <c r="QQ82" s="41"/>
      <c r="QR82" s="41"/>
      <c r="QS82" s="41"/>
      <c r="QT82" s="41"/>
      <c r="QU82" s="41"/>
      <c r="QV82" s="41"/>
      <c r="QW82" s="41"/>
      <c r="QX82" s="41"/>
      <c r="QY82" s="41"/>
      <c r="QZ82" s="41"/>
      <c r="RA82" s="41"/>
      <c r="RB82" s="41"/>
      <c r="RC82" s="41"/>
      <c r="RD82" s="41"/>
      <c r="RE82" s="41"/>
      <c r="RF82" s="41"/>
      <c r="RG82" s="41"/>
      <c r="RH82" s="41"/>
      <c r="RI82" s="41"/>
      <c r="RJ82" s="41"/>
      <c r="RK82" s="41"/>
      <c r="RL82" s="41"/>
      <c r="RM82" s="41"/>
      <c r="RN82" s="41"/>
      <c r="RO82" s="41"/>
      <c r="RP82" s="41"/>
      <c r="RQ82" s="41"/>
      <c r="RR82" s="41"/>
      <c r="RS82" s="41"/>
      <c r="RT82" s="41"/>
      <c r="RU82" s="41"/>
      <c r="RV82" s="41"/>
      <c r="RW82" s="41"/>
      <c r="RX82" s="41"/>
      <c r="RY82" s="41"/>
      <c r="RZ82" s="41"/>
      <c r="SA82" s="41"/>
      <c r="SB82" s="41"/>
      <c r="SC82" s="41"/>
      <c r="SD82" s="41"/>
      <c r="SE82" s="41"/>
      <c r="SF82" s="41"/>
      <c r="SG82" s="41"/>
      <c r="SH82" s="41"/>
      <c r="SI82" s="41"/>
      <c r="SJ82" s="41"/>
      <c r="SK82" s="41"/>
      <c r="SL82" s="41"/>
      <c r="SM82" s="41"/>
      <c r="SN82" s="41"/>
      <c r="SO82" s="41"/>
      <c r="SP82" s="41"/>
      <c r="SQ82" s="41"/>
      <c r="SR82" s="41"/>
      <c r="SS82" s="41"/>
      <c r="ST82" s="41"/>
      <c r="SU82" s="41"/>
      <c r="SV82" s="41"/>
      <c r="SW82" s="41"/>
      <c r="SX82" s="41"/>
      <c r="SY82" s="41"/>
      <c r="SZ82" s="41"/>
      <c r="TA82" s="41"/>
      <c r="TB82" s="41"/>
      <c r="TC82" s="41"/>
      <c r="TD82" s="41"/>
      <c r="TE82" s="41"/>
      <c r="TF82" s="41"/>
      <c r="TG82" s="41"/>
      <c r="TH82" s="41"/>
      <c r="TI82" s="41"/>
      <c r="TJ82" s="41"/>
      <c r="TK82" s="41"/>
      <c r="TL82" s="41"/>
      <c r="TM82" s="41"/>
      <c r="TN82" s="41"/>
      <c r="TO82" s="41"/>
      <c r="TP82" s="41"/>
      <c r="TQ82" s="41"/>
      <c r="TR82" s="41"/>
      <c r="TS82" s="41"/>
      <c r="TT82" s="41"/>
      <c r="TU82" s="41"/>
      <c r="TV82" s="41"/>
      <c r="TW82" s="41"/>
      <c r="TX82" s="41"/>
      <c r="TY82" s="41"/>
      <c r="TZ82" s="41"/>
      <c r="UA82" s="41"/>
      <c r="UB82" s="41"/>
      <c r="UC82" s="41"/>
      <c r="UD82" s="41"/>
      <c r="UE82" s="41"/>
      <c r="UF82" s="41"/>
      <c r="UG82" s="41"/>
      <c r="UH82" s="41"/>
      <c r="UI82" s="41"/>
      <c r="UJ82" s="41"/>
      <c r="UK82" s="41"/>
      <c r="UL82" s="41"/>
      <c r="UM82" s="41"/>
      <c r="UN82" s="41"/>
      <c r="UO82" s="41"/>
      <c r="UP82" s="41"/>
      <c r="UQ82" s="41"/>
      <c r="UR82" s="41"/>
      <c r="US82" s="41"/>
      <c r="UT82" s="41"/>
      <c r="UU82" s="41"/>
      <c r="UV82" s="41"/>
      <c r="UW82" s="41"/>
      <c r="UX82" s="41"/>
      <c r="UY82" s="41"/>
      <c r="UZ82" s="41"/>
      <c r="VA82" s="41"/>
      <c r="VB82" s="41"/>
      <c r="VC82" s="41"/>
      <c r="VD82" s="41"/>
      <c r="VE82" s="41"/>
      <c r="VF82" s="41"/>
      <c r="VG82" s="41"/>
      <c r="VH82" s="41"/>
      <c r="VI82" s="41"/>
      <c r="VJ82" s="41"/>
      <c r="VK82" s="41"/>
      <c r="VL82" s="41"/>
      <c r="VM82" s="41"/>
      <c r="VN82" s="41"/>
      <c r="VO82" s="41"/>
      <c r="VP82" s="41"/>
      <c r="VQ82" s="41"/>
      <c r="VR82" s="41"/>
      <c r="VS82" s="41"/>
      <c r="VT82" s="41"/>
      <c r="VU82" s="41"/>
      <c r="VV82" s="41"/>
      <c r="VW82" s="41"/>
      <c r="VX82" s="41"/>
      <c r="VY82" s="41"/>
      <c r="VZ82" s="41"/>
      <c r="WA82" s="41"/>
      <c r="WB82" s="41"/>
      <c r="WC82" s="41"/>
      <c r="WD82" s="41"/>
      <c r="WE82" s="41"/>
      <c r="WF82" s="41"/>
      <c r="WG82" s="41"/>
      <c r="WH82" s="41"/>
      <c r="WI82" s="41"/>
      <c r="WJ82" s="41"/>
      <c r="WK82" s="41"/>
      <c r="WL82" s="41"/>
      <c r="WM82" s="41"/>
      <c r="WN82" s="41"/>
      <c r="WO82" s="41"/>
      <c r="WP82" s="41"/>
      <c r="WQ82" s="41"/>
      <c r="WR82" s="41"/>
      <c r="WS82" s="41"/>
      <c r="WT82" s="41"/>
      <c r="WU82" s="41"/>
      <c r="WV82" s="41"/>
      <c r="WW82" s="41"/>
      <c r="WX82" s="41"/>
      <c r="WY82" s="41"/>
      <c r="WZ82" s="41"/>
      <c r="XA82" s="41"/>
      <c r="XB82" s="41"/>
      <c r="XC82" s="41"/>
      <c r="XD82" s="41"/>
      <c r="XE82" s="41"/>
      <c r="XF82" s="41"/>
      <c r="XG82" s="41"/>
      <c r="XH82" s="41"/>
      <c r="XI82" s="41"/>
      <c r="XJ82" s="41"/>
      <c r="XK82" s="41"/>
      <c r="XL82" s="41"/>
      <c r="XM82" s="41"/>
      <c r="XN82" s="41"/>
      <c r="XO82" s="41"/>
      <c r="XP82" s="41"/>
      <c r="XQ82" s="41"/>
      <c r="XR82" s="41"/>
      <c r="XS82" s="41"/>
      <c r="XT82" s="41"/>
      <c r="XU82" s="41"/>
      <c r="XV82" s="41"/>
      <c r="XW82" s="41"/>
      <c r="XX82" s="41"/>
      <c r="XY82" s="41"/>
      <c r="XZ82" s="41"/>
      <c r="YA82" s="41"/>
      <c r="YB82" s="41"/>
      <c r="YC82" s="41"/>
      <c r="YD82" s="41"/>
      <c r="YE82" s="41"/>
      <c r="YF82" s="41"/>
      <c r="YG82" s="41"/>
      <c r="YH82" s="41"/>
      <c r="YI82" s="41"/>
      <c r="YJ82" s="41"/>
      <c r="YK82" s="41"/>
      <c r="YL82" s="41"/>
      <c r="YM82" s="41"/>
      <c r="YN82" s="41"/>
      <c r="YO82" s="41"/>
      <c r="YP82" s="41"/>
      <c r="YQ82" s="41"/>
      <c r="YR82" s="41"/>
      <c r="YS82" s="41"/>
      <c r="YT82" s="41"/>
      <c r="YU82" s="41"/>
      <c r="YV82" s="41"/>
      <c r="YW82" s="41"/>
      <c r="YX82" s="41"/>
      <c r="YY82" s="41"/>
      <c r="YZ82" s="41"/>
      <c r="ZA82" s="41"/>
      <c r="ZB82" s="41"/>
      <c r="ZC82" s="41"/>
      <c r="ZD82" s="41"/>
      <c r="ZE82" s="41"/>
      <c r="ZF82" s="41"/>
      <c r="ZG82" s="41"/>
      <c r="ZH82" s="41"/>
      <c r="ZI82" s="41"/>
      <c r="ZJ82" s="41"/>
      <c r="ZK82" s="41"/>
      <c r="ZL82" s="41"/>
      <c r="ZM82" s="41"/>
      <c r="ZN82" s="41"/>
      <c r="ZO82" s="41"/>
      <c r="ZP82" s="41"/>
      <c r="ZQ82" s="41"/>
      <c r="ZR82" s="41"/>
      <c r="ZS82" s="41"/>
      <c r="ZT82" s="41"/>
      <c r="ZU82" s="41"/>
      <c r="ZV82" s="41"/>
      <c r="ZW82" s="41"/>
      <c r="ZX82" s="41"/>
      <c r="ZY82" s="41"/>
      <c r="ZZ82" s="41"/>
      <c r="AAA82" s="41"/>
      <c r="AAB82" s="41"/>
      <c r="AAC82" s="41"/>
    </row>
    <row r="83" spans="1:705" s="42" customFormat="1" ht="42" hidden="1" x14ac:dyDescent="0.3">
      <c r="A83" s="26">
        <v>79</v>
      </c>
      <c r="B83" s="137">
        <v>239723</v>
      </c>
      <c r="C83" s="138">
        <v>79</v>
      </c>
      <c r="D83" s="139">
        <v>45916</v>
      </c>
      <c r="E83" s="139">
        <f t="shared" si="13"/>
        <v>45915</v>
      </c>
      <c r="F83" s="139">
        <f t="shared" si="10"/>
        <v>45926</v>
      </c>
      <c r="G83" s="139">
        <v>45977</v>
      </c>
      <c r="H83" s="139">
        <v>45991</v>
      </c>
      <c r="I83" s="140" t="s">
        <v>123</v>
      </c>
      <c r="J83" s="140" t="s">
        <v>241</v>
      </c>
      <c r="K83" s="141">
        <f t="shared" si="14"/>
        <v>65</v>
      </c>
      <c r="L83" s="142">
        <v>1143999</v>
      </c>
      <c r="M83" s="140" t="s">
        <v>15</v>
      </c>
      <c r="N83" s="142" t="s">
        <v>500</v>
      </c>
      <c r="O83" s="140" t="s">
        <v>246</v>
      </c>
      <c r="P83" s="143">
        <v>45930</v>
      </c>
      <c r="Q83" s="143">
        <v>46107</v>
      </c>
      <c r="R83" s="137" t="s">
        <v>211</v>
      </c>
      <c r="S83" s="144" t="s">
        <v>242</v>
      </c>
      <c r="T83" s="145">
        <v>1</v>
      </c>
      <c r="U83" s="137" t="s">
        <v>195</v>
      </c>
      <c r="V83" s="146">
        <v>182</v>
      </c>
      <c r="W83" s="146">
        <v>182</v>
      </c>
      <c r="X83" s="147">
        <v>40</v>
      </c>
      <c r="Y83" s="146">
        <v>40</v>
      </c>
      <c r="Z83" s="146">
        <v>0</v>
      </c>
      <c r="AA83" s="146">
        <v>0</v>
      </c>
      <c r="AB83" s="146">
        <v>83</v>
      </c>
      <c r="AC83" s="146">
        <v>83</v>
      </c>
      <c r="AD83" s="146">
        <v>0</v>
      </c>
      <c r="AE83" s="146">
        <v>0</v>
      </c>
      <c r="AF83" s="146">
        <v>50</v>
      </c>
      <c r="AG83" s="146">
        <v>50</v>
      </c>
      <c r="AH83" s="146">
        <v>1</v>
      </c>
      <c r="AI83" s="146">
        <v>1</v>
      </c>
      <c r="AJ83" s="146">
        <v>1</v>
      </c>
      <c r="AK83" s="146">
        <v>1</v>
      </c>
      <c r="AL83" s="146">
        <v>1</v>
      </c>
      <c r="AM83" s="146">
        <v>1</v>
      </c>
      <c r="AN83" s="146">
        <v>2</v>
      </c>
      <c r="AO83" s="146">
        <v>2</v>
      </c>
      <c r="AP83" s="146">
        <v>1</v>
      </c>
      <c r="AQ83" s="146">
        <v>1</v>
      </c>
      <c r="AR83" s="146">
        <v>0</v>
      </c>
      <c r="AS83" s="146">
        <v>0</v>
      </c>
      <c r="AT83" s="146">
        <v>0</v>
      </c>
      <c r="AU83" s="146"/>
      <c r="AV83" s="146">
        <v>1</v>
      </c>
      <c r="AW83" s="146">
        <v>1</v>
      </c>
      <c r="AX83" s="146">
        <f t="shared" si="11"/>
        <v>29436</v>
      </c>
      <c r="AY83" s="146">
        <f t="shared" si="12"/>
        <v>29436</v>
      </c>
      <c r="AZ83" s="140" t="s">
        <v>562</v>
      </c>
      <c r="BA83" s="140" t="s">
        <v>562</v>
      </c>
      <c r="BB83" s="137">
        <v>5</v>
      </c>
      <c r="BC83" s="148">
        <v>79</v>
      </c>
      <c r="BD83" s="149"/>
      <c r="BE83" s="145"/>
      <c r="BF83" s="150"/>
      <c r="BG83" s="151">
        <v>45962</v>
      </c>
      <c r="BH83" s="153" t="s">
        <v>15</v>
      </c>
      <c r="BI83" s="153" t="s">
        <v>562</v>
      </c>
      <c r="CC83" s="41"/>
      <c r="CD83" s="41"/>
      <c r="CE83" s="41"/>
      <c r="CF83" s="41"/>
      <c r="CG83" s="41"/>
      <c r="CH83" s="41"/>
      <c r="CI83" s="41"/>
      <c r="CJ83" s="41"/>
      <c r="CK83" s="41"/>
      <c r="CL83" s="41"/>
      <c r="CM83" s="41"/>
      <c r="CN83" s="41"/>
      <c r="CO83" s="41"/>
      <c r="CP83" s="41"/>
      <c r="CQ83" s="41"/>
      <c r="CR83" s="41"/>
      <c r="CS83" s="41"/>
      <c r="CT83" s="41"/>
      <c r="CU83" s="41"/>
      <c r="CV83" s="41"/>
      <c r="CW83" s="41"/>
      <c r="CX83" s="41"/>
      <c r="CY83" s="41"/>
      <c r="CZ83" s="41"/>
      <c r="DA83" s="41"/>
      <c r="DB83" s="41"/>
      <c r="DC83" s="41"/>
      <c r="DD83" s="41"/>
      <c r="DE83" s="41"/>
      <c r="DF83" s="41"/>
      <c r="DG83" s="41"/>
      <c r="DH83" s="41"/>
      <c r="DI83" s="41"/>
      <c r="DJ83" s="41"/>
      <c r="DK83" s="41"/>
      <c r="DL83" s="41"/>
      <c r="DM83" s="41"/>
      <c r="DN83" s="41"/>
      <c r="DO83" s="41"/>
      <c r="DP83" s="41"/>
      <c r="DQ83" s="41"/>
      <c r="DR83" s="41"/>
      <c r="DS83" s="41"/>
      <c r="DT83" s="41"/>
      <c r="DU83" s="41"/>
      <c r="DV83" s="41"/>
      <c r="DW83" s="41"/>
      <c r="DX83" s="41"/>
      <c r="DY83" s="41"/>
      <c r="DZ83" s="41"/>
      <c r="EA83" s="41"/>
      <c r="EB83" s="41"/>
      <c r="EC83" s="41"/>
      <c r="ED83" s="41"/>
      <c r="EE83" s="41"/>
      <c r="EF83" s="41"/>
      <c r="EG83" s="41"/>
      <c r="EH83" s="41"/>
      <c r="EI83" s="41"/>
      <c r="EJ83" s="41"/>
      <c r="EK83" s="41"/>
      <c r="EL83" s="41"/>
      <c r="EM83" s="41"/>
      <c r="EN83" s="41"/>
      <c r="EO83" s="41"/>
      <c r="EP83" s="41"/>
      <c r="EQ83" s="41"/>
      <c r="ER83" s="41"/>
      <c r="ES83" s="41"/>
      <c r="ET83" s="41"/>
      <c r="EU83" s="41"/>
      <c r="EV83" s="41"/>
      <c r="EW83" s="41"/>
      <c r="EX83" s="41"/>
      <c r="EY83" s="41"/>
      <c r="EZ83" s="41"/>
      <c r="FA83" s="41"/>
      <c r="FB83" s="41"/>
      <c r="FC83" s="41"/>
      <c r="FD83" s="41"/>
      <c r="FE83" s="41"/>
      <c r="FF83" s="41"/>
      <c r="FG83" s="41"/>
      <c r="FH83" s="41"/>
      <c r="FI83" s="41"/>
      <c r="FJ83" s="41"/>
      <c r="FK83" s="41"/>
      <c r="FL83" s="41"/>
      <c r="FM83" s="41"/>
      <c r="FN83" s="41"/>
      <c r="FO83" s="41"/>
      <c r="FP83" s="41"/>
      <c r="FQ83" s="41"/>
      <c r="FR83" s="41"/>
      <c r="FS83" s="41"/>
      <c r="FT83" s="41"/>
      <c r="FU83" s="41"/>
      <c r="FV83" s="41"/>
      <c r="FW83" s="41"/>
      <c r="FX83" s="41"/>
      <c r="FY83" s="41"/>
      <c r="FZ83" s="41"/>
      <c r="GA83" s="41"/>
      <c r="GB83" s="41"/>
      <c r="GC83" s="41"/>
      <c r="GD83" s="41"/>
      <c r="GE83" s="41"/>
      <c r="GF83" s="41"/>
      <c r="GG83" s="41"/>
      <c r="GH83" s="41"/>
      <c r="GI83" s="41"/>
      <c r="GJ83" s="41"/>
      <c r="GK83" s="41"/>
      <c r="GL83" s="41"/>
      <c r="GM83" s="41"/>
      <c r="GN83" s="41"/>
      <c r="GO83" s="41"/>
      <c r="GP83" s="41"/>
      <c r="GQ83" s="41"/>
      <c r="GR83" s="41"/>
      <c r="GS83" s="41"/>
      <c r="GT83" s="41"/>
      <c r="GU83" s="41"/>
      <c r="GV83" s="41"/>
      <c r="GW83" s="41"/>
      <c r="GX83" s="41"/>
      <c r="GY83" s="41"/>
      <c r="GZ83" s="41"/>
      <c r="HA83" s="41"/>
      <c r="HB83" s="41"/>
      <c r="HC83" s="41"/>
      <c r="HD83" s="41"/>
      <c r="HE83" s="41"/>
      <c r="HF83" s="41"/>
      <c r="HG83" s="41"/>
      <c r="HH83" s="41"/>
      <c r="HI83" s="41"/>
      <c r="HJ83" s="41"/>
      <c r="HK83" s="41"/>
      <c r="HL83" s="41"/>
      <c r="HM83" s="41"/>
      <c r="HN83" s="41"/>
      <c r="HO83" s="41"/>
      <c r="HP83" s="41"/>
      <c r="HQ83" s="41"/>
      <c r="HR83" s="41"/>
      <c r="HS83" s="41"/>
      <c r="HT83" s="41"/>
      <c r="HU83" s="41"/>
      <c r="HV83" s="41"/>
      <c r="HW83" s="41"/>
      <c r="HX83" s="41"/>
      <c r="HY83" s="41"/>
      <c r="HZ83" s="41"/>
      <c r="IA83" s="41"/>
      <c r="IB83" s="41"/>
      <c r="IC83" s="41"/>
      <c r="ID83" s="41"/>
      <c r="IE83" s="41"/>
      <c r="IF83" s="41"/>
      <c r="IG83" s="41"/>
      <c r="IH83" s="41"/>
      <c r="II83" s="41"/>
      <c r="IJ83" s="41"/>
      <c r="IK83" s="41"/>
      <c r="IL83" s="41"/>
      <c r="IM83" s="41"/>
      <c r="IN83" s="41"/>
      <c r="IO83" s="41"/>
      <c r="IP83" s="41"/>
      <c r="IQ83" s="41"/>
      <c r="IR83" s="41"/>
      <c r="IS83" s="41"/>
      <c r="IT83" s="41"/>
      <c r="IU83" s="41"/>
      <c r="IV83" s="41"/>
      <c r="IW83" s="41"/>
      <c r="IX83" s="41"/>
      <c r="IY83" s="41"/>
      <c r="IZ83" s="41"/>
      <c r="JA83" s="41"/>
      <c r="JB83" s="41"/>
      <c r="JC83" s="41"/>
      <c r="JD83" s="41"/>
      <c r="JE83" s="41"/>
      <c r="JF83" s="41"/>
      <c r="JG83" s="41"/>
      <c r="JH83" s="41"/>
      <c r="JI83" s="41"/>
      <c r="JJ83" s="41"/>
      <c r="JK83" s="41"/>
      <c r="JL83" s="41"/>
      <c r="JM83" s="41"/>
      <c r="JN83" s="41"/>
      <c r="JO83" s="41"/>
      <c r="JP83" s="41"/>
      <c r="JQ83" s="41"/>
      <c r="JR83" s="41"/>
      <c r="JS83" s="41"/>
      <c r="JT83" s="41"/>
      <c r="JU83" s="41"/>
      <c r="JV83" s="41"/>
      <c r="JW83" s="41"/>
      <c r="JX83" s="41"/>
      <c r="JY83" s="41"/>
      <c r="JZ83" s="41"/>
      <c r="KA83" s="41"/>
      <c r="KB83" s="41"/>
      <c r="KC83" s="41"/>
      <c r="KD83" s="41"/>
      <c r="KE83" s="41"/>
      <c r="KF83" s="41"/>
      <c r="KG83" s="41"/>
      <c r="KH83" s="41"/>
      <c r="KI83" s="41"/>
      <c r="KJ83" s="41"/>
      <c r="KK83" s="41"/>
      <c r="KL83" s="41"/>
      <c r="KM83" s="41"/>
      <c r="KN83" s="41"/>
      <c r="KO83" s="41"/>
      <c r="KP83" s="41"/>
      <c r="KQ83" s="41"/>
      <c r="KR83" s="41"/>
      <c r="KS83" s="41"/>
      <c r="KT83" s="41"/>
      <c r="KU83" s="41"/>
      <c r="KV83" s="41"/>
      <c r="KW83" s="41"/>
      <c r="KX83" s="41"/>
      <c r="KY83" s="41"/>
      <c r="KZ83" s="41"/>
      <c r="LA83" s="41"/>
      <c r="LB83" s="41"/>
      <c r="LC83" s="41"/>
      <c r="LD83" s="41"/>
      <c r="LE83" s="41"/>
      <c r="LF83" s="41"/>
      <c r="LG83" s="41"/>
      <c r="LH83" s="41"/>
      <c r="LI83" s="41"/>
      <c r="LJ83" s="41"/>
      <c r="LK83" s="41"/>
      <c r="LL83" s="41"/>
      <c r="LM83" s="41"/>
      <c r="LN83" s="41"/>
      <c r="LO83" s="41"/>
      <c r="LP83" s="41"/>
      <c r="LQ83" s="41"/>
      <c r="LR83" s="41"/>
      <c r="LS83" s="41"/>
      <c r="LT83" s="41"/>
      <c r="LU83" s="41"/>
      <c r="LV83" s="41"/>
      <c r="LW83" s="41"/>
      <c r="LX83" s="41"/>
      <c r="LY83" s="41"/>
      <c r="LZ83" s="41"/>
      <c r="MA83" s="41"/>
      <c r="MB83" s="41"/>
      <c r="MC83" s="41"/>
      <c r="MD83" s="41"/>
      <c r="ME83" s="41"/>
      <c r="MF83" s="41"/>
      <c r="MG83" s="41"/>
      <c r="MH83" s="41"/>
      <c r="MI83" s="41"/>
      <c r="MJ83" s="41"/>
      <c r="MK83" s="41"/>
      <c r="ML83" s="41"/>
      <c r="MM83" s="41"/>
      <c r="MN83" s="41"/>
      <c r="MO83" s="41"/>
      <c r="MP83" s="41"/>
      <c r="MQ83" s="41"/>
      <c r="MR83" s="41"/>
      <c r="MS83" s="41"/>
      <c r="MT83" s="41"/>
      <c r="MU83" s="41"/>
      <c r="MV83" s="41"/>
      <c r="MW83" s="41"/>
      <c r="MX83" s="41"/>
      <c r="MY83" s="41"/>
      <c r="MZ83" s="41"/>
      <c r="NA83" s="41"/>
      <c r="NB83" s="41"/>
      <c r="NC83" s="41"/>
      <c r="ND83" s="41"/>
      <c r="NE83" s="41"/>
      <c r="NF83" s="41"/>
      <c r="NG83" s="41"/>
      <c r="NH83" s="41"/>
      <c r="NI83" s="41"/>
      <c r="NJ83" s="41"/>
      <c r="NK83" s="41"/>
      <c r="NL83" s="41"/>
      <c r="NM83" s="41"/>
      <c r="NN83" s="41"/>
      <c r="NO83" s="41"/>
      <c r="NP83" s="41"/>
      <c r="NQ83" s="41"/>
      <c r="NR83" s="41"/>
      <c r="NS83" s="41"/>
      <c r="NT83" s="41"/>
      <c r="NU83" s="41"/>
      <c r="NV83" s="41"/>
      <c r="NW83" s="41"/>
      <c r="NX83" s="41"/>
      <c r="NY83" s="41"/>
      <c r="NZ83" s="41"/>
      <c r="OA83" s="41"/>
      <c r="OB83" s="41"/>
      <c r="OC83" s="41"/>
      <c r="OD83" s="41"/>
      <c r="OE83" s="41"/>
      <c r="OF83" s="41"/>
      <c r="OG83" s="41"/>
      <c r="OH83" s="41"/>
      <c r="OI83" s="41"/>
      <c r="OJ83" s="41"/>
      <c r="OK83" s="41"/>
      <c r="OL83" s="41"/>
      <c r="OM83" s="41"/>
      <c r="ON83" s="41"/>
      <c r="OO83" s="41"/>
      <c r="OP83" s="41"/>
      <c r="OQ83" s="41"/>
      <c r="OR83" s="41"/>
      <c r="OS83" s="41"/>
      <c r="OT83" s="41"/>
      <c r="OU83" s="41"/>
      <c r="OV83" s="41"/>
      <c r="OW83" s="41"/>
      <c r="OX83" s="41"/>
      <c r="OY83" s="41"/>
      <c r="OZ83" s="41"/>
      <c r="PA83" s="41"/>
      <c r="PB83" s="41"/>
      <c r="PC83" s="41"/>
      <c r="PD83" s="41"/>
      <c r="PE83" s="41"/>
      <c r="PF83" s="41"/>
      <c r="PG83" s="41"/>
      <c r="PH83" s="41"/>
      <c r="PI83" s="41"/>
      <c r="PJ83" s="41"/>
      <c r="PK83" s="41"/>
      <c r="PL83" s="41"/>
      <c r="PM83" s="41"/>
      <c r="PN83" s="41"/>
      <c r="PO83" s="41"/>
      <c r="PP83" s="41"/>
      <c r="PQ83" s="41"/>
      <c r="PR83" s="41"/>
      <c r="PS83" s="41"/>
      <c r="PT83" s="41"/>
      <c r="PU83" s="41"/>
      <c r="PV83" s="41"/>
      <c r="PW83" s="41"/>
      <c r="PX83" s="41"/>
      <c r="PY83" s="41"/>
      <c r="PZ83" s="41"/>
      <c r="QA83" s="41"/>
      <c r="QB83" s="41"/>
      <c r="QC83" s="41"/>
      <c r="QD83" s="41"/>
      <c r="QE83" s="41"/>
      <c r="QF83" s="41"/>
      <c r="QG83" s="41"/>
      <c r="QH83" s="41"/>
      <c r="QI83" s="41"/>
      <c r="QJ83" s="41"/>
      <c r="QK83" s="41"/>
      <c r="QL83" s="41"/>
      <c r="QM83" s="41"/>
      <c r="QN83" s="41"/>
      <c r="QO83" s="41"/>
      <c r="QP83" s="41"/>
      <c r="QQ83" s="41"/>
      <c r="QR83" s="41"/>
      <c r="QS83" s="41"/>
      <c r="QT83" s="41"/>
      <c r="QU83" s="41"/>
      <c r="QV83" s="41"/>
      <c r="QW83" s="41"/>
      <c r="QX83" s="41"/>
      <c r="QY83" s="41"/>
      <c r="QZ83" s="41"/>
      <c r="RA83" s="41"/>
      <c r="RB83" s="41"/>
      <c r="RC83" s="41"/>
      <c r="RD83" s="41"/>
      <c r="RE83" s="41"/>
      <c r="RF83" s="41"/>
      <c r="RG83" s="41"/>
      <c r="RH83" s="41"/>
      <c r="RI83" s="41"/>
      <c r="RJ83" s="41"/>
      <c r="RK83" s="41"/>
      <c r="RL83" s="41"/>
      <c r="RM83" s="41"/>
      <c r="RN83" s="41"/>
      <c r="RO83" s="41"/>
      <c r="RP83" s="41"/>
      <c r="RQ83" s="41"/>
      <c r="RR83" s="41"/>
      <c r="RS83" s="41"/>
      <c r="RT83" s="41"/>
      <c r="RU83" s="41"/>
      <c r="RV83" s="41"/>
      <c r="RW83" s="41"/>
      <c r="RX83" s="41"/>
      <c r="RY83" s="41"/>
      <c r="RZ83" s="41"/>
      <c r="SA83" s="41"/>
      <c r="SB83" s="41"/>
      <c r="SC83" s="41"/>
      <c r="SD83" s="41"/>
      <c r="SE83" s="41"/>
      <c r="SF83" s="41"/>
      <c r="SG83" s="41"/>
      <c r="SH83" s="41"/>
      <c r="SI83" s="41"/>
      <c r="SJ83" s="41"/>
      <c r="SK83" s="41"/>
      <c r="SL83" s="41"/>
      <c r="SM83" s="41"/>
      <c r="SN83" s="41"/>
      <c r="SO83" s="41"/>
      <c r="SP83" s="41"/>
      <c r="SQ83" s="41"/>
      <c r="SR83" s="41"/>
      <c r="SS83" s="41"/>
      <c r="ST83" s="41"/>
      <c r="SU83" s="41"/>
      <c r="SV83" s="41"/>
      <c r="SW83" s="41"/>
      <c r="SX83" s="41"/>
      <c r="SY83" s="41"/>
      <c r="SZ83" s="41"/>
      <c r="TA83" s="41"/>
      <c r="TB83" s="41"/>
      <c r="TC83" s="41"/>
      <c r="TD83" s="41"/>
      <c r="TE83" s="41"/>
      <c r="TF83" s="41"/>
      <c r="TG83" s="41"/>
      <c r="TH83" s="41"/>
      <c r="TI83" s="41"/>
      <c r="TJ83" s="41"/>
      <c r="TK83" s="41"/>
      <c r="TL83" s="41"/>
      <c r="TM83" s="41"/>
      <c r="TN83" s="41"/>
      <c r="TO83" s="41"/>
      <c r="TP83" s="41"/>
      <c r="TQ83" s="41"/>
      <c r="TR83" s="41"/>
      <c r="TS83" s="41"/>
      <c r="TT83" s="41"/>
      <c r="TU83" s="41"/>
      <c r="TV83" s="41"/>
      <c r="TW83" s="41"/>
      <c r="TX83" s="41"/>
      <c r="TY83" s="41"/>
      <c r="TZ83" s="41"/>
      <c r="UA83" s="41"/>
      <c r="UB83" s="41"/>
      <c r="UC83" s="41"/>
      <c r="UD83" s="41"/>
      <c r="UE83" s="41"/>
      <c r="UF83" s="41"/>
      <c r="UG83" s="41"/>
      <c r="UH83" s="41"/>
      <c r="UI83" s="41"/>
      <c r="UJ83" s="41"/>
      <c r="UK83" s="41"/>
      <c r="UL83" s="41"/>
      <c r="UM83" s="41"/>
      <c r="UN83" s="41"/>
      <c r="UO83" s="41"/>
      <c r="UP83" s="41"/>
      <c r="UQ83" s="41"/>
      <c r="UR83" s="41"/>
      <c r="US83" s="41"/>
      <c r="UT83" s="41"/>
      <c r="UU83" s="41"/>
      <c r="UV83" s="41"/>
      <c r="UW83" s="41"/>
      <c r="UX83" s="41"/>
      <c r="UY83" s="41"/>
      <c r="UZ83" s="41"/>
      <c r="VA83" s="41"/>
      <c r="VB83" s="41"/>
      <c r="VC83" s="41"/>
      <c r="VD83" s="41"/>
      <c r="VE83" s="41"/>
      <c r="VF83" s="41"/>
      <c r="VG83" s="41"/>
      <c r="VH83" s="41"/>
      <c r="VI83" s="41"/>
      <c r="VJ83" s="41"/>
      <c r="VK83" s="41"/>
      <c r="VL83" s="41"/>
      <c r="VM83" s="41"/>
      <c r="VN83" s="41"/>
      <c r="VO83" s="41"/>
      <c r="VP83" s="41"/>
      <c r="VQ83" s="41"/>
      <c r="VR83" s="41"/>
      <c r="VS83" s="41"/>
      <c r="VT83" s="41"/>
      <c r="VU83" s="41"/>
      <c r="VV83" s="41"/>
      <c r="VW83" s="41"/>
      <c r="VX83" s="41"/>
      <c r="VY83" s="41"/>
      <c r="VZ83" s="41"/>
      <c r="WA83" s="41"/>
      <c r="WB83" s="41"/>
      <c r="WC83" s="41"/>
      <c r="WD83" s="41"/>
      <c r="WE83" s="41"/>
      <c r="WF83" s="41"/>
      <c r="WG83" s="41"/>
      <c r="WH83" s="41"/>
      <c r="WI83" s="41"/>
      <c r="WJ83" s="41"/>
      <c r="WK83" s="41"/>
      <c r="WL83" s="41"/>
      <c r="WM83" s="41"/>
      <c r="WN83" s="41"/>
      <c r="WO83" s="41"/>
      <c r="WP83" s="41"/>
      <c r="WQ83" s="41"/>
      <c r="WR83" s="41"/>
      <c r="WS83" s="41"/>
      <c r="WT83" s="41"/>
      <c r="WU83" s="41"/>
      <c r="WV83" s="41"/>
      <c r="WW83" s="41"/>
      <c r="WX83" s="41"/>
      <c r="WY83" s="41"/>
      <c r="WZ83" s="41"/>
      <c r="XA83" s="41"/>
      <c r="XB83" s="41"/>
      <c r="XC83" s="41"/>
      <c r="XD83" s="41"/>
      <c r="XE83" s="41"/>
      <c r="XF83" s="41"/>
      <c r="XG83" s="41"/>
      <c r="XH83" s="41"/>
      <c r="XI83" s="41"/>
      <c r="XJ83" s="41"/>
      <c r="XK83" s="41"/>
      <c r="XL83" s="41"/>
      <c r="XM83" s="41"/>
      <c r="XN83" s="41"/>
      <c r="XO83" s="41"/>
      <c r="XP83" s="41"/>
      <c r="XQ83" s="41"/>
      <c r="XR83" s="41"/>
      <c r="XS83" s="41"/>
      <c r="XT83" s="41"/>
      <c r="XU83" s="41"/>
      <c r="XV83" s="41"/>
      <c r="XW83" s="41"/>
      <c r="XX83" s="41"/>
      <c r="XY83" s="41"/>
      <c r="XZ83" s="41"/>
      <c r="YA83" s="41"/>
      <c r="YB83" s="41"/>
      <c r="YC83" s="41"/>
      <c r="YD83" s="41"/>
      <c r="YE83" s="41"/>
      <c r="YF83" s="41"/>
      <c r="YG83" s="41"/>
      <c r="YH83" s="41"/>
      <c r="YI83" s="41"/>
      <c r="YJ83" s="41"/>
      <c r="YK83" s="41"/>
      <c r="YL83" s="41"/>
      <c r="YM83" s="41"/>
      <c r="YN83" s="41"/>
      <c r="YO83" s="41"/>
      <c r="YP83" s="41"/>
      <c r="YQ83" s="41"/>
      <c r="YR83" s="41"/>
      <c r="YS83" s="41"/>
      <c r="YT83" s="41"/>
      <c r="YU83" s="41"/>
      <c r="YV83" s="41"/>
      <c r="YW83" s="41"/>
      <c r="YX83" s="41"/>
      <c r="YY83" s="41"/>
      <c r="YZ83" s="41"/>
      <c r="ZA83" s="41"/>
      <c r="ZB83" s="41"/>
      <c r="ZC83" s="41"/>
      <c r="ZD83" s="41"/>
      <c r="ZE83" s="41"/>
      <c r="ZF83" s="41"/>
      <c r="ZG83" s="41"/>
      <c r="ZH83" s="41"/>
      <c r="ZI83" s="41"/>
      <c r="ZJ83" s="41"/>
      <c r="ZK83" s="41"/>
      <c r="ZL83" s="41"/>
      <c r="ZM83" s="41"/>
      <c r="ZN83" s="41"/>
      <c r="ZO83" s="41"/>
      <c r="ZP83" s="41"/>
      <c r="ZQ83" s="41"/>
      <c r="ZR83" s="41"/>
      <c r="ZS83" s="41"/>
      <c r="ZT83" s="41"/>
      <c r="ZU83" s="41"/>
      <c r="ZV83" s="41"/>
      <c r="ZW83" s="41"/>
      <c r="ZX83" s="41"/>
      <c r="ZY83" s="41"/>
      <c r="ZZ83" s="41"/>
      <c r="AAA83" s="41"/>
      <c r="AAB83" s="41"/>
      <c r="AAC83" s="41"/>
    </row>
    <row r="84" spans="1:705" s="42" customFormat="1" ht="42" hidden="1" x14ac:dyDescent="0.3">
      <c r="A84" s="26">
        <v>80</v>
      </c>
      <c r="B84" s="137">
        <v>239801</v>
      </c>
      <c r="C84" s="138">
        <v>80</v>
      </c>
      <c r="D84" s="139">
        <v>45918</v>
      </c>
      <c r="E84" s="139">
        <f t="shared" si="13"/>
        <v>45917</v>
      </c>
      <c r="F84" s="139">
        <f t="shared" si="10"/>
        <v>45928</v>
      </c>
      <c r="G84" s="139">
        <v>45928</v>
      </c>
      <c r="H84" s="139">
        <v>45935</v>
      </c>
      <c r="I84" s="139" t="s">
        <v>75</v>
      </c>
      <c r="J84" s="140" t="s">
        <v>247</v>
      </c>
      <c r="K84" s="141">
        <f t="shared" si="14"/>
        <v>7</v>
      </c>
      <c r="L84" s="141">
        <v>1144786</v>
      </c>
      <c r="M84" s="140" t="s">
        <v>15</v>
      </c>
      <c r="N84" s="140">
        <v>804177</v>
      </c>
      <c r="O84" s="137" t="s">
        <v>246</v>
      </c>
      <c r="P84" s="143">
        <v>45929</v>
      </c>
      <c r="Q84" s="143">
        <v>45943</v>
      </c>
      <c r="R84" s="157" t="s">
        <v>211</v>
      </c>
      <c r="S84" s="144" t="s">
        <v>248</v>
      </c>
      <c r="T84" s="145">
        <v>1</v>
      </c>
      <c r="U84" s="137" t="s">
        <v>169</v>
      </c>
      <c r="V84" s="146">
        <v>5</v>
      </c>
      <c r="W84" s="146">
        <v>5</v>
      </c>
      <c r="X84" s="147">
        <v>0</v>
      </c>
      <c r="Y84" s="146">
        <v>0</v>
      </c>
      <c r="Z84" s="146">
        <v>0</v>
      </c>
      <c r="AA84" s="146">
        <v>0</v>
      </c>
      <c r="AB84" s="146">
        <v>5</v>
      </c>
      <c r="AC84" s="146">
        <v>5</v>
      </c>
      <c r="AD84" s="146">
        <v>0</v>
      </c>
      <c r="AE84" s="146">
        <v>0</v>
      </c>
      <c r="AF84" s="146">
        <v>0</v>
      </c>
      <c r="AG84" s="146">
        <v>0</v>
      </c>
      <c r="AH84" s="146">
        <v>1</v>
      </c>
      <c r="AI84" s="146">
        <v>1</v>
      </c>
      <c r="AJ84" s="146">
        <v>0</v>
      </c>
      <c r="AK84" s="146">
        <v>0</v>
      </c>
      <c r="AL84" s="146">
        <v>0</v>
      </c>
      <c r="AM84" s="146">
        <v>0</v>
      </c>
      <c r="AN84" s="146">
        <v>0</v>
      </c>
      <c r="AO84" s="146">
        <v>0</v>
      </c>
      <c r="AP84" s="146">
        <v>1</v>
      </c>
      <c r="AQ84" s="146">
        <v>1</v>
      </c>
      <c r="AR84" s="146">
        <v>0</v>
      </c>
      <c r="AS84" s="146">
        <v>0</v>
      </c>
      <c r="AT84" s="146">
        <v>1</v>
      </c>
      <c r="AU84" s="146">
        <v>1</v>
      </c>
      <c r="AV84" s="146">
        <v>0</v>
      </c>
      <c r="AW84" s="146">
        <v>0</v>
      </c>
      <c r="AX84" s="146">
        <f t="shared" si="11"/>
        <v>1735</v>
      </c>
      <c r="AY84" s="146">
        <f t="shared" si="12"/>
        <v>1735</v>
      </c>
      <c r="AZ84" s="140" t="s">
        <v>562</v>
      </c>
      <c r="BA84" s="137" t="s">
        <v>562</v>
      </c>
      <c r="BB84" s="137">
        <v>1</v>
      </c>
      <c r="BC84" s="148">
        <v>80</v>
      </c>
      <c r="BD84" s="149"/>
      <c r="BE84" s="145"/>
      <c r="BF84" s="150"/>
      <c r="BG84" s="151">
        <v>45931</v>
      </c>
      <c r="BH84" s="153" t="s">
        <v>535</v>
      </c>
      <c r="BI84" s="153" t="s">
        <v>562</v>
      </c>
      <c r="CC84" s="41"/>
      <c r="CD84" s="41"/>
      <c r="CE84" s="41"/>
      <c r="CF84" s="41"/>
      <c r="CG84" s="41"/>
      <c r="CH84" s="41"/>
      <c r="CI84" s="41"/>
      <c r="CJ84" s="41"/>
      <c r="CK84" s="41"/>
      <c r="CL84" s="41"/>
      <c r="CM84" s="41"/>
      <c r="CN84" s="41"/>
      <c r="CO84" s="41"/>
      <c r="CP84" s="41"/>
      <c r="CQ84" s="41"/>
      <c r="CR84" s="41"/>
      <c r="CS84" s="41"/>
      <c r="CT84" s="41"/>
      <c r="CU84" s="41"/>
      <c r="CV84" s="41"/>
      <c r="CW84" s="41"/>
      <c r="CX84" s="41"/>
      <c r="CY84" s="41"/>
      <c r="CZ84" s="41"/>
      <c r="DA84" s="41"/>
      <c r="DB84" s="41"/>
      <c r="DC84" s="41"/>
      <c r="DD84" s="41"/>
      <c r="DE84" s="41"/>
      <c r="DF84" s="41"/>
      <c r="DG84" s="41"/>
      <c r="DH84" s="41"/>
      <c r="DI84" s="41"/>
      <c r="DJ84" s="41"/>
      <c r="DK84" s="41"/>
      <c r="DL84" s="41"/>
      <c r="DM84" s="41"/>
      <c r="DN84" s="41"/>
      <c r="DO84" s="41"/>
      <c r="DP84" s="41"/>
      <c r="DQ84" s="41"/>
      <c r="DR84" s="41"/>
      <c r="DS84" s="41"/>
      <c r="DT84" s="41"/>
      <c r="DU84" s="41"/>
      <c r="DV84" s="41"/>
      <c r="DW84" s="41"/>
      <c r="DX84" s="41"/>
      <c r="DY84" s="41"/>
      <c r="DZ84" s="41"/>
      <c r="EA84" s="41"/>
      <c r="EB84" s="41"/>
      <c r="EC84" s="41"/>
      <c r="ED84" s="41"/>
      <c r="EE84" s="41"/>
      <c r="EF84" s="41"/>
      <c r="EG84" s="41"/>
      <c r="EH84" s="41"/>
      <c r="EI84" s="41"/>
      <c r="EJ84" s="41"/>
      <c r="EK84" s="41"/>
      <c r="EL84" s="41"/>
      <c r="EM84" s="41"/>
      <c r="EN84" s="41"/>
      <c r="EO84" s="41"/>
      <c r="EP84" s="41"/>
      <c r="EQ84" s="41"/>
      <c r="ER84" s="41"/>
      <c r="ES84" s="41"/>
      <c r="ET84" s="41"/>
      <c r="EU84" s="41"/>
      <c r="EV84" s="41"/>
      <c r="EW84" s="41"/>
      <c r="EX84" s="41"/>
      <c r="EY84" s="41"/>
      <c r="EZ84" s="41"/>
      <c r="FA84" s="41"/>
      <c r="FB84" s="41"/>
      <c r="FC84" s="41"/>
      <c r="FD84" s="41"/>
      <c r="FE84" s="41"/>
      <c r="FF84" s="41"/>
      <c r="FG84" s="41"/>
      <c r="FH84" s="41"/>
      <c r="FI84" s="41"/>
      <c r="FJ84" s="41"/>
      <c r="FK84" s="41"/>
      <c r="FL84" s="41"/>
      <c r="FM84" s="41"/>
      <c r="FN84" s="41"/>
      <c r="FO84" s="41"/>
      <c r="FP84" s="41"/>
      <c r="FQ84" s="41"/>
      <c r="FR84" s="41"/>
      <c r="FS84" s="41"/>
      <c r="FT84" s="41"/>
      <c r="FU84" s="41"/>
      <c r="FV84" s="41"/>
      <c r="FW84" s="41"/>
      <c r="FX84" s="41"/>
      <c r="FY84" s="41"/>
      <c r="FZ84" s="41"/>
      <c r="GA84" s="41"/>
      <c r="GB84" s="41"/>
      <c r="GC84" s="41"/>
      <c r="GD84" s="41"/>
      <c r="GE84" s="41"/>
      <c r="GF84" s="41"/>
      <c r="GG84" s="41"/>
      <c r="GH84" s="41"/>
      <c r="GI84" s="41"/>
      <c r="GJ84" s="41"/>
      <c r="GK84" s="41"/>
      <c r="GL84" s="41"/>
      <c r="GM84" s="41"/>
      <c r="GN84" s="41"/>
      <c r="GO84" s="41"/>
      <c r="GP84" s="41"/>
      <c r="GQ84" s="41"/>
      <c r="GR84" s="41"/>
      <c r="GS84" s="41"/>
      <c r="GT84" s="41"/>
      <c r="GU84" s="41"/>
      <c r="GV84" s="41"/>
      <c r="GW84" s="41"/>
      <c r="GX84" s="41"/>
      <c r="GY84" s="41"/>
      <c r="GZ84" s="41"/>
      <c r="HA84" s="41"/>
      <c r="HB84" s="41"/>
      <c r="HC84" s="41"/>
      <c r="HD84" s="41"/>
      <c r="HE84" s="41"/>
      <c r="HF84" s="41"/>
      <c r="HG84" s="41"/>
      <c r="HH84" s="41"/>
      <c r="HI84" s="41"/>
      <c r="HJ84" s="41"/>
      <c r="HK84" s="41"/>
      <c r="HL84" s="41"/>
      <c r="HM84" s="41"/>
      <c r="HN84" s="41"/>
      <c r="HO84" s="41"/>
      <c r="HP84" s="41"/>
      <c r="HQ84" s="41"/>
      <c r="HR84" s="41"/>
      <c r="HS84" s="41"/>
      <c r="HT84" s="41"/>
      <c r="HU84" s="41"/>
      <c r="HV84" s="41"/>
      <c r="HW84" s="41"/>
      <c r="HX84" s="41"/>
      <c r="HY84" s="41"/>
      <c r="HZ84" s="41"/>
      <c r="IA84" s="41"/>
      <c r="IB84" s="41"/>
      <c r="IC84" s="41"/>
      <c r="ID84" s="41"/>
      <c r="IE84" s="41"/>
      <c r="IF84" s="41"/>
      <c r="IG84" s="41"/>
      <c r="IH84" s="41"/>
      <c r="II84" s="41"/>
      <c r="IJ84" s="41"/>
      <c r="IK84" s="41"/>
      <c r="IL84" s="41"/>
      <c r="IM84" s="41"/>
      <c r="IN84" s="41"/>
      <c r="IO84" s="41"/>
      <c r="IP84" s="41"/>
      <c r="IQ84" s="41"/>
      <c r="IR84" s="41"/>
      <c r="IS84" s="41"/>
      <c r="IT84" s="41"/>
      <c r="IU84" s="41"/>
      <c r="IV84" s="41"/>
      <c r="IW84" s="41"/>
      <c r="IX84" s="41"/>
      <c r="IY84" s="41"/>
      <c r="IZ84" s="41"/>
      <c r="JA84" s="41"/>
      <c r="JB84" s="41"/>
      <c r="JC84" s="41"/>
      <c r="JD84" s="41"/>
      <c r="JE84" s="41"/>
      <c r="JF84" s="41"/>
      <c r="JG84" s="41"/>
      <c r="JH84" s="41"/>
      <c r="JI84" s="41"/>
      <c r="JJ84" s="41"/>
      <c r="JK84" s="41"/>
      <c r="JL84" s="41"/>
      <c r="JM84" s="41"/>
      <c r="JN84" s="41"/>
      <c r="JO84" s="41"/>
      <c r="JP84" s="41"/>
      <c r="JQ84" s="41"/>
      <c r="JR84" s="41"/>
      <c r="JS84" s="41"/>
      <c r="JT84" s="41"/>
      <c r="JU84" s="41"/>
      <c r="JV84" s="41"/>
      <c r="JW84" s="41"/>
      <c r="JX84" s="41"/>
      <c r="JY84" s="41"/>
      <c r="JZ84" s="41"/>
      <c r="KA84" s="41"/>
      <c r="KB84" s="41"/>
      <c r="KC84" s="41"/>
      <c r="KD84" s="41"/>
      <c r="KE84" s="41"/>
      <c r="KF84" s="41"/>
      <c r="KG84" s="41"/>
      <c r="KH84" s="41"/>
      <c r="KI84" s="41"/>
      <c r="KJ84" s="41"/>
      <c r="KK84" s="41"/>
      <c r="KL84" s="41"/>
      <c r="KM84" s="41"/>
      <c r="KN84" s="41"/>
      <c r="KO84" s="41"/>
      <c r="KP84" s="41"/>
      <c r="KQ84" s="41"/>
      <c r="KR84" s="41"/>
      <c r="KS84" s="41"/>
      <c r="KT84" s="41"/>
      <c r="KU84" s="41"/>
      <c r="KV84" s="41"/>
      <c r="KW84" s="41"/>
      <c r="KX84" s="41"/>
      <c r="KY84" s="41"/>
      <c r="KZ84" s="41"/>
      <c r="LA84" s="41"/>
      <c r="LB84" s="41"/>
      <c r="LC84" s="41"/>
      <c r="LD84" s="41"/>
      <c r="LE84" s="41"/>
      <c r="LF84" s="41"/>
      <c r="LG84" s="41"/>
      <c r="LH84" s="41"/>
      <c r="LI84" s="41"/>
      <c r="LJ84" s="41"/>
      <c r="LK84" s="41"/>
      <c r="LL84" s="41"/>
      <c r="LM84" s="41"/>
      <c r="LN84" s="41"/>
      <c r="LO84" s="41"/>
      <c r="LP84" s="41"/>
      <c r="LQ84" s="41"/>
      <c r="LR84" s="41"/>
      <c r="LS84" s="41"/>
      <c r="LT84" s="41"/>
      <c r="LU84" s="41"/>
      <c r="LV84" s="41"/>
      <c r="LW84" s="41"/>
      <c r="LX84" s="41"/>
      <c r="LY84" s="41"/>
      <c r="LZ84" s="41"/>
      <c r="MA84" s="41"/>
      <c r="MB84" s="41"/>
      <c r="MC84" s="41"/>
      <c r="MD84" s="41"/>
      <c r="ME84" s="41"/>
      <c r="MF84" s="41"/>
      <c r="MG84" s="41"/>
      <c r="MH84" s="41"/>
      <c r="MI84" s="41"/>
      <c r="MJ84" s="41"/>
      <c r="MK84" s="41"/>
      <c r="ML84" s="41"/>
      <c r="MM84" s="41"/>
      <c r="MN84" s="41"/>
      <c r="MO84" s="41"/>
      <c r="MP84" s="41"/>
      <c r="MQ84" s="41"/>
      <c r="MR84" s="41"/>
      <c r="MS84" s="41"/>
      <c r="MT84" s="41"/>
      <c r="MU84" s="41"/>
      <c r="MV84" s="41"/>
      <c r="MW84" s="41"/>
      <c r="MX84" s="41"/>
      <c r="MY84" s="41"/>
      <c r="MZ84" s="41"/>
      <c r="NA84" s="41"/>
      <c r="NB84" s="41"/>
      <c r="NC84" s="41"/>
      <c r="ND84" s="41"/>
      <c r="NE84" s="41"/>
      <c r="NF84" s="41"/>
      <c r="NG84" s="41"/>
      <c r="NH84" s="41"/>
      <c r="NI84" s="41"/>
      <c r="NJ84" s="41"/>
      <c r="NK84" s="41"/>
      <c r="NL84" s="41"/>
      <c r="NM84" s="41"/>
      <c r="NN84" s="41"/>
      <c r="NO84" s="41"/>
      <c r="NP84" s="41"/>
      <c r="NQ84" s="41"/>
      <c r="NR84" s="41"/>
      <c r="NS84" s="41"/>
      <c r="NT84" s="41"/>
      <c r="NU84" s="41"/>
      <c r="NV84" s="41"/>
      <c r="NW84" s="41"/>
      <c r="NX84" s="41"/>
      <c r="NY84" s="41"/>
      <c r="NZ84" s="41"/>
      <c r="OA84" s="41"/>
      <c r="OB84" s="41"/>
      <c r="OC84" s="41"/>
      <c r="OD84" s="41"/>
      <c r="OE84" s="41"/>
      <c r="OF84" s="41"/>
      <c r="OG84" s="41"/>
      <c r="OH84" s="41"/>
      <c r="OI84" s="41"/>
      <c r="OJ84" s="41"/>
      <c r="OK84" s="41"/>
      <c r="OL84" s="41"/>
      <c r="OM84" s="41"/>
      <c r="ON84" s="41"/>
      <c r="OO84" s="41"/>
      <c r="OP84" s="41"/>
      <c r="OQ84" s="41"/>
      <c r="OR84" s="41"/>
      <c r="OS84" s="41"/>
      <c r="OT84" s="41"/>
      <c r="OU84" s="41"/>
      <c r="OV84" s="41"/>
      <c r="OW84" s="41"/>
      <c r="OX84" s="41"/>
      <c r="OY84" s="41"/>
      <c r="OZ84" s="41"/>
      <c r="PA84" s="41"/>
      <c r="PB84" s="41"/>
      <c r="PC84" s="41"/>
      <c r="PD84" s="41"/>
      <c r="PE84" s="41"/>
      <c r="PF84" s="41"/>
      <c r="PG84" s="41"/>
      <c r="PH84" s="41"/>
      <c r="PI84" s="41"/>
      <c r="PJ84" s="41"/>
      <c r="PK84" s="41"/>
      <c r="PL84" s="41"/>
      <c r="PM84" s="41"/>
      <c r="PN84" s="41"/>
      <c r="PO84" s="41"/>
      <c r="PP84" s="41"/>
      <c r="PQ84" s="41"/>
      <c r="PR84" s="41"/>
      <c r="PS84" s="41"/>
      <c r="PT84" s="41"/>
      <c r="PU84" s="41"/>
      <c r="PV84" s="41"/>
      <c r="PW84" s="41"/>
      <c r="PX84" s="41"/>
      <c r="PY84" s="41"/>
      <c r="PZ84" s="41"/>
      <c r="QA84" s="41"/>
      <c r="QB84" s="41"/>
      <c r="QC84" s="41"/>
      <c r="QD84" s="41"/>
      <c r="QE84" s="41"/>
      <c r="QF84" s="41"/>
      <c r="QG84" s="41"/>
      <c r="QH84" s="41"/>
      <c r="QI84" s="41"/>
      <c r="QJ84" s="41"/>
      <c r="QK84" s="41"/>
      <c r="QL84" s="41"/>
      <c r="QM84" s="41"/>
      <c r="QN84" s="41"/>
      <c r="QO84" s="41"/>
      <c r="QP84" s="41"/>
      <c r="QQ84" s="41"/>
      <c r="QR84" s="41"/>
      <c r="QS84" s="41"/>
      <c r="QT84" s="41"/>
      <c r="QU84" s="41"/>
      <c r="QV84" s="41"/>
      <c r="QW84" s="41"/>
      <c r="QX84" s="41"/>
      <c r="QY84" s="41"/>
      <c r="QZ84" s="41"/>
      <c r="RA84" s="41"/>
      <c r="RB84" s="41"/>
      <c r="RC84" s="41"/>
      <c r="RD84" s="41"/>
      <c r="RE84" s="41"/>
      <c r="RF84" s="41"/>
      <c r="RG84" s="41"/>
      <c r="RH84" s="41"/>
      <c r="RI84" s="41"/>
      <c r="RJ84" s="41"/>
      <c r="RK84" s="41"/>
      <c r="RL84" s="41"/>
      <c r="RM84" s="41"/>
      <c r="RN84" s="41"/>
      <c r="RO84" s="41"/>
      <c r="RP84" s="41"/>
      <c r="RQ84" s="41"/>
      <c r="RR84" s="41"/>
      <c r="RS84" s="41"/>
      <c r="RT84" s="41"/>
      <c r="RU84" s="41"/>
      <c r="RV84" s="41"/>
      <c r="RW84" s="41"/>
      <c r="RX84" s="41"/>
      <c r="RY84" s="41"/>
      <c r="RZ84" s="41"/>
      <c r="SA84" s="41"/>
      <c r="SB84" s="41"/>
      <c r="SC84" s="41"/>
      <c r="SD84" s="41"/>
      <c r="SE84" s="41"/>
      <c r="SF84" s="41"/>
      <c r="SG84" s="41"/>
      <c r="SH84" s="41"/>
      <c r="SI84" s="41"/>
      <c r="SJ84" s="41"/>
      <c r="SK84" s="41"/>
      <c r="SL84" s="41"/>
      <c r="SM84" s="41"/>
      <c r="SN84" s="41"/>
      <c r="SO84" s="41"/>
      <c r="SP84" s="41"/>
      <c r="SQ84" s="41"/>
      <c r="SR84" s="41"/>
      <c r="SS84" s="41"/>
      <c r="ST84" s="41"/>
      <c r="SU84" s="41"/>
      <c r="SV84" s="41"/>
      <c r="SW84" s="41"/>
      <c r="SX84" s="41"/>
      <c r="SY84" s="41"/>
      <c r="SZ84" s="41"/>
      <c r="TA84" s="41"/>
      <c r="TB84" s="41"/>
      <c r="TC84" s="41"/>
      <c r="TD84" s="41"/>
      <c r="TE84" s="41"/>
      <c r="TF84" s="41"/>
      <c r="TG84" s="41"/>
      <c r="TH84" s="41"/>
      <c r="TI84" s="41"/>
      <c r="TJ84" s="41"/>
      <c r="TK84" s="41"/>
      <c r="TL84" s="41"/>
      <c r="TM84" s="41"/>
      <c r="TN84" s="41"/>
      <c r="TO84" s="41"/>
      <c r="TP84" s="41"/>
      <c r="TQ84" s="41"/>
      <c r="TR84" s="41"/>
      <c r="TS84" s="41"/>
      <c r="TT84" s="41"/>
      <c r="TU84" s="41"/>
      <c r="TV84" s="41"/>
      <c r="TW84" s="41"/>
      <c r="TX84" s="41"/>
      <c r="TY84" s="41"/>
      <c r="TZ84" s="41"/>
      <c r="UA84" s="41"/>
      <c r="UB84" s="41"/>
      <c r="UC84" s="41"/>
      <c r="UD84" s="41"/>
      <c r="UE84" s="41"/>
      <c r="UF84" s="41"/>
      <c r="UG84" s="41"/>
      <c r="UH84" s="41"/>
      <c r="UI84" s="41"/>
      <c r="UJ84" s="41"/>
      <c r="UK84" s="41"/>
      <c r="UL84" s="41"/>
      <c r="UM84" s="41"/>
      <c r="UN84" s="41"/>
      <c r="UO84" s="41"/>
      <c r="UP84" s="41"/>
      <c r="UQ84" s="41"/>
      <c r="UR84" s="41"/>
      <c r="US84" s="41"/>
      <c r="UT84" s="41"/>
      <c r="UU84" s="41"/>
      <c r="UV84" s="41"/>
      <c r="UW84" s="41"/>
      <c r="UX84" s="41"/>
      <c r="UY84" s="41"/>
      <c r="UZ84" s="41"/>
      <c r="VA84" s="41"/>
      <c r="VB84" s="41"/>
      <c r="VC84" s="41"/>
      <c r="VD84" s="41"/>
      <c r="VE84" s="41"/>
      <c r="VF84" s="41"/>
      <c r="VG84" s="41"/>
      <c r="VH84" s="41"/>
      <c r="VI84" s="41"/>
      <c r="VJ84" s="41"/>
      <c r="VK84" s="41"/>
      <c r="VL84" s="41"/>
      <c r="VM84" s="41"/>
      <c r="VN84" s="41"/>
      <c r="VO84" s="41"/>
      <c r="VP84" s="41"/>
      <c r="VQ84" s="41"/>
      <c r="VR84" s="41"/>
      <c r="VS84" s="41"/>
      <c r="VT84" s="41"/>
      <c r="VU84" s="41"/>
      <c r="VV84" s="41"/>
      <c r="VW84" s="41"/>
      <c r="VX84" s="41"/>
      <c r="VY84" s="41"/>
      <c r="VZ84" s="41"/>
      <c r="WA84" s="41"/>
      <c r="WB84" s="41"/>
      <c r="WC84" s="41"/>
      <c r="WD84" s="41"/>
      <c r="WE84" s="41"/>
      <c r="WF84" s="41"/>
      <c r="WG84" s="41"/>
      <c r="WH84" s="41"/>
      <c r="WI84" s="41"/>
      <c r="WJ84" s="41"/>
      <c r="WK84" s="41"/>
      <c r="WL84" s="41"/>
      <c r="WM84" s="41"/>
      <c r="WN84" s="41"/>
      <c r="WO84" s="41"/>
      <c r="WP84" s="41"/>
      <c r="WQ84" s="41"/>
      <c r="WR84" s="41"/>
      <c r="WS84" s="41"/>
      <c r="WT84" s="41"/>
      <c r="WU84" s="41"/>
      <c r="WV84" s="41"/>
      <c r="WW84" s="41"/>
      <c r="WX84" s="41"/>
      <c r="WY84" s="41"/>
      <c r="WZ84" s="41"/>
      <c r="XA84" s="41"/>
      <c r="XB84" s="41"/>
      <c r="XC84" s="41"/>
      <c r="XD84" s="41"/>
      <c r="XE84" s="41"/>
      <c r="XF84" s="41"/>
      <c r="XG84" s="41"/>
      <c r="XH84" s="41"/>
      <c r="XI84" s="41"/>
      <c r="XJ84" s="41"/>
      <c r="XK84" s="41"/>
      <c r="XL84" s="41"/>
      <c r="XM84" s="41"/>
      <c r="XN84" s="41"/>
      <c r="XO84" s="41"/>
      <c r="XP84" s="41"/>
      <c r="XQ84" s="41"/>
      <c r="XR84" s="41"/>
      <c r="XS84" s="41"/>
      <c r="XT84" s="41"/>
      <c r="XU84" s="41"/>
      <c r="XV84" s="41"/>
      <c r="XW84" s="41"/>
      <c r="XX84" s="41"/>
      <c r="XY84" s="41"/>
      <c r="XZ84" s="41"/>
      <c r="YA84" s="41"/>
      <c r="YB84" s="41"/>
      <c r="YC84" s="41"/>
      <c r="YD84" s="41"/>
      <c r="YE84" s="41"/>
      <c r="YF84" s="41"/>
      <c r="YG84" s="41"/>
      <c r="YH84" s="41"/>
      <c r="YI84" s="41"/>
      <c r="YJ84" s="41"/>
      <c r="YK84" s="41"/>
      <c r="YL84" s="41"/>
      <c r="YM84" s="41"/>
      <c r="YN84" s="41"/>
      <c r="YO84" s="41"/>
      <c r="YP84" s="41"/>
      <c r="YQ84" s="41"/>
      <c r="YR84" s="41"/>
      <c r="YS84" s="41"/>
      <c r="YT84" s="41"/>
      <c r="YU84" s="41"/>
      <c r="YV84" s="41"/>
      <c r="YW84" s="41"/>
      <c r="YX84" s="41"/>
      <c r="YY84" s="41"/>
      <c r="YZ84" s="41"/>
      <c r="ZA84" s="41"/>
      <c r="ZB84" s="41"/>
      <c r="ZC84" s="41"/>
      <c r="ZD84" s="41"/>
      <c r="ZE84" s="41"/>
      <c r="ZF84" s="41"/>
      <c r="ZG84" s="41"/>
      <c r="ZH84" s="41"/>
      <c r="ZI84" s="41"/>
      <c r="ZJ84" s="41"/>
      <c r="ZK84" s="41"/>
      <c r="ZL84" s="41"/>
      <c r="ZM84" s="41"/>
      <c r="ZN84" s="41"/>
      <c r="ZO84" s="41"/>
      <c r="ZP84" s="41"/>
      <c r="ZQ84" s="41"/>
      <c r="ZR84" s="41"/>
      <c r="ZS84" s="41"/>
      <c r="ZT84" s="41"/>
      <c r="ZU84" s="41"/>
      <c r="ZV84" s="41"/>
      <c r="ZW84" s="41"/>
      <c r="ZX84" s="41"/>
      <c r="ZY84" s="41"/>
      <c r="ZZ84" s="41"/>
      <c r="AAA84" s="41"/>
      <c r="AAB84" s="41"/>
      <c r="AAC84" s="41"/>
    </row>
    <row r="85" spans="1:705" s="42" customFormat="1" ht="42" hidden="1" x14ac:dyDescent="0.3">
      <c r="A85" s="26">
        <v>81</v>
      </c>
      <c r="B85" s="137">
        <v>239802</v>
      </c>
      <c r="C85" s="138">
        <v>81</v>
      </c>
      <c r="D85" s="139">
        <v>45918</v>
      </c>
      <c r="E85" s="139">
        <f t="shared" si="13"/>
        <v>45917</v>
      </c>
      <c r="F85" s="139">
        <f t="shared" si="10"/>
        <v>45928</v>
      </c>
      <c r="G85" s="139">
        <v>45928</v>
      </c>
      <c r="H85" s="139">
        <v>45935</v>
      </c>
      <c r="I85" s="139" t="s">
        <v>75</v>
      </c>
      <c r="J85" s="140" t="s">
        <v>249</v>
      </c>
      <c r="K85" s="141">
        <f t="shared" si="14"/>
        <v>7</v>
      </c>
      <c r="L85" s="141">
        <v>1144787</v>
      </c>
      <c r="M85" s="140" t="s">
        <v>15</v>
      </c>
      <c r="N85" s="140">
        <v>804177</v>
      </c>
      <c r="O85" s="137" t="s">
        <v>246</v>
      </c>
      <c r="P85" s="143">
        <v>45929</v>
      </c>
      <c r="Q85" s="143">
        <v>45943</v>
      </c>
      <c r="R85" s="157" t="s">
        <v>211</v>
      </c>
      <c r="S85" s="144" t="s">
        <v>250</v>
      </c>
      <c r="T85" s="145">
        <v>2</v>
      </c>
      <c r="U85" s="137" t="s">
        <v>169</v>
      </c>
      <c r="V85" s="146">
        <v>16</v>
      </c>
      <c r="W85" s="146">
        <v>16</v>
      </c>
      <c r="X85" s="147">
        <v>0</v>
      </c>
      <c r="Y85" s="146">
        <v>0</v>
      </c>
      <c r="Z85" s="146">
        <v>0</v>
      </c>
      <c r="AA85" s="146">
        <v>0</v>
      </c>
      <c r="AB85" s="146">
        <v>0</v>
      </c>
      <c r="AC85" s="146">
        <v>0</v>
      </c>
      <c r="AD85" s="146">
        <v>0</v>
      </c>
      <c r="AE85" s="146">
        <v>0</v>
      </c>
      <c r="AF85" s="146">
        <v>0</v>
      </c>
      <c r="AG85" s="146">
        <v>0</v>
      </c>
      <c r="AH85" s="146">
        <v>2</v>
      </c>
      <c r="AI85" s="146">
        <v>2</v>
      </c>
      <c r="AJ85" s="146">
        <v>0</v>
      </c>
      <c r="AK85" s="146">
        <v>0</v>
      </c>
      <c r="AL85" s="146">
        <v>0</v>
      </c>
      <c r="AM85" s="146">
        <v>0</v>
      </c>
      <c r="AN85" s="146">
        <v>0</v>
      </c>
      <c r="AO85" s="146">
        <v>0</v>
      </c>
      <c r="AP85" s="146">
        <v>2</v>
      </c>
      <c r="AQ85" s="146">
        <v>2</v>
      </c>
      <c r="AR85" s="146">
        <v>0</v>
      </c>
      <c r="AS85" s="146">
        <v>0</v>
      </c>
      <c r="AT85" s="146">
        <v>2</v>
      </c>
      <c r="AU85" s="146">
        <v>2</v>
      </c>
      <c r="AV85" s="146">
        <v>0</v>
      </c>
      <c r="AW85" s="146">
        <v>0</v>
      </c>
      <c r="AX85" s="146">
        <f t="shared" si="11"/>
        <v>3260</v>
      </c>
      <c r="AY85" s="146">
        <f t="shared" si="12"/>
        <v>3260</v>
      </c>
      <c r="AZ85" s="140" t="s">
        <v>562</v>
      </c>
      <c r="BA85" s="137" t="s">
        <v>562</v>
      </c>
      <c r="BB85" s="137">
        <v>2</v>
      </c>
      <c r="BC85" s="148">
        <v>81</v>
      </c>
      <c r="BD85" s="149"/>
      <c r="BE85" s="145"/>
      <c r="BF85" s="150"/>
      <c r="BG85" s="151">
        <v>45931</v>
      </c>
      <c r="BH85" s="153" t="s">
        <v>535</v>
      </c>
      <c r="BI85" s="153" t="s">
        <v>562</v>
      </c>
      <c r="CC85" s="41"/>
      <c r="CD85" s="41"/>
      <c r="CE85" s="41"/>
      <c r="CF85" s="41"/>
      <c r="CG85" s="41"/>
      <c r="CH85" s="41"/>
      <c r="CI85" s="41"/>
      <c r="CJ85" s="41"/>
      <c r="CK85" s="41"/>
      <c r="CL85" s="41"/>
      <c r="CM85" s="41"/>
      <c r="CN85" s="41"/>
      <c r="CO85" s="41"/>
      <c r="CP85" s="41"/>
      <c r="CQ85" s="41"/>
      <c r="CR85" s="41"/>
      <c r="CS85" s="41"/>
      <c r="CT85" s="41"/>
      <c r="CU85" s="41"/>
      <c r="CV85" s="41"/>
      <c r="CW85" s="41"/>
      <c r="CX85" s="41"/>
      <c r="CY85" s="41"/>
      <c r="CZ85" s="41"/>
      <c r="DA85" s="41"/>
      <c r="DB85" s="41"/>
      <c r="DC85" s="41"/>
      <c r="DD85" s="41"/>
      <c r="DE85" s="41"/>
      <c r="DF85" s="41"/>
      <c r="DG85" s="41"/>
      <c r="DH85" s="41"/>
      <c r="DI85" s="41"/>
      <c r="DJ85" s="41"/>
      <c r="DK85" s="41"/>
      <c r="DL85" s="41"/>
      <c r="DM85" s="41"/>
      <c r="DN85" s="41"/>
      <c r="DO85" s="41"/>
      <c r="DP85" s="41"/>
      <c r="DQ85" s="41"/>
      <c r="DR85" s="41"/>
      <c r="DS85" s="41"/>
      <c r="DT85" s="41"/>
      <c r="DU85" s="41"/>
      <c r="DV85" s="41"/>
      <c r="DW85" s="41"/>
      <c r="DX85" s="41"/>
      <c r="DY85" s="41"/>
      <c r="DZ85" s="41"/>
      <c r="EA85" s="41"/>
      <c r="EB85" s="41"/>
      <c r="EC85" s="41"/>
      <c r="ED85" s="41"/>
      <c r="EE85" s="41"/>
      <c r="EF85" s="41"/>
      <c r="EG85" s="41"/>
      <c r="EH85" s="41"/>
      <c r="EI85" s="41"/>
      <c r="EJ85" s="41"/>
      <c r="EK85" s="41"/>
      <c r="EL85" s="41"/>
      <c r="EM85" s="41"/>
      <c r="EN85" s="41"/>
      <c r="EO85" s="41"/>
      <c r="EP85" s="41"/>
      <c r="EQ85" s="41"/>
      <c r="ER85" s="41"/>
      <c r="ES85" s="41"/>
      <c r="ET85" s="41"/>
      <c r="EU85" s="41"/>
      <c r="EV85" s="41"/>
      <c r="EW85" s="41"/>
      <c r="EX85" s="41"/>
      <c r="EY85" s="41"/>
      <c r="EZ85" s="41"/>
      <c r="FA85" s="41"/>
      <c r="FB85" s="41"/>
      <c r="FC85" s="41"/>
      <c r="FD85" s="41"/>
      <c r="FE85" s="41"/>
      <c r="FF85" s="41"/>
      <c r="FG85" s="41"/>
      <c r="FH85" s="41"/>
      <c r="FI85" s="41"/>
      <c r="FJ85" s="41"/>
      <c r="FK85" s="41"/>
      <c r="FL85" s="41"/>
      <c r="FM85" s="41"/>
      <c r="FN85" s="41"/>
      <c r="FO85" s="41"/>
      <c r="FP85" s="41"/>
      <c r="FQ85" s="41"/>
      <c r="FR85" s="41"/>
      <c r="FS85" s="41"/>
      <c r="FT85" s="41"/>
      <c r="FU85" s="41"/>
      <c r="FV85" s="41"/>
      <c r="FW85" s="41"/>
      <c r="FX85" s="41"/>
      <c r="FY85" s="41"/>
      <c r="FZ85" s="41"/>
      <c r="GA85" s="41"/>
      <c r="GB85" s="41"/>
      <c r="GC85" s="41"/>
      <c r="GD85" s="41"/>
      <c r="GE85" s="41"/>
      <c r="GF85" s="41"/>
      <c r="GG85" s="41"/>
      <c r="GH85" s="41"/>
      <c r="GI85" s="41"/>
      <c r="GJ85" s="41"/>
      <c r="GK85" s="41"/>
      <c r="GL85" s="41"/>
      <c r="GM85" s="41"/>
      <c r="GN85" s="41"/>
      <c r="GO85" s="41"/>
      <c r="GP85" s="41"/>
      <c r="GQ85" s="41"/>
      <c r="GR85" s="41"/>
      <c r="GS85" s="41"/>
      <c r="GT85" s="41"/>
      <c r="GU85" s="41"/>
      <c r="GV85" s="41"/>
      <c r="GW85" s="41"/>
      <c r="GX85" s="41"/>
      <c r="GY85" s="41"/>
      <c r="GZ85" s="41"/>
      <c r="HA85" s="41"/>
      <c r="HB85" s="41"/>
      <c r="HC85" s="41"/>
      <c r="HD85" s="41"/>
      <c r="HE85" s="41"/>
      <c r="HF85" s="41"/>
      <c r="HG85" s="41"/>
      <c r="HH85" s="41"/>
      <c r="HI85" s="41"/>
      <c r="HJ85" s="41"/>
      <c r="HK85" s="41"/>
      <c r="HL85" s="41"/>
      <c r="HM85" s="41"/>
      <c r="HN85" s="41"/>
      <c r="HO85" s="41"/>
      <c r="HP85" s="41"/>
      <c r="HQ85" s="41"/>
      <c r="HR85" s="41"/>
      <c r="HS85" s="41"/>
      <c r="HT85" s="41"/>
      <c r="HU85" s="41"/>
      <c r="HV85" s="41"/>
      <c r="HW85" s="41"/>
      <c r="HX85" s="41"/>
      <c r="HY85" s="41"/>
      <c r="HZ85" s="41"/>
      <c r="IA85" s="41"/>
      <c r="IB85" s="41"/>
      <c r="IC85" s="41"/>
      <c r="ID85" s="41"/>
      <c r="IE85" s="41"/>
      <c r="IF85" s="41"/>
      <c r="IG85" s="41"/>
      <c r="IH85" s="41"/>
      <c r="II85" s="41"/>
      <c r="IJ85" s="41"/>
      <c r="IK85" s="41"/>
      <c r="IL85" s="41"/>
      <c r="IM85" s="41"/>
      <c r="IN85" s="41"/>
      <c r="IO85" s="41"/>
      <c r="IP85" s="41"/>
      <c r="IQ85" s="41"/>
      <c r="IR85" s="41"/>
      <c r="IS85" s="41"/>
      <c r="IT85" s="41"/>
      <c r="IU85" s="41"/>
      <c r="IV85" s="41"/>
      <c r="IW85" s="41"/>
      <c r="IX85" s="41"/>
      <c r="IY85" s="41"/>
      <c r="IZ85" s="41"/>
      <c r="JA85" s="41"/>
      <c r="JB85" s="41"/>
      <c r="JC85" s="41"/>
      <c r="JD85" s="41"/>
      <c r="JE85" s="41"/>
      <c r="JF85" s="41"/>
      <c r="JG85" s="41"/>
      <c r="JH85" s="41"/>
      <c r="JI85" s="41"/>
      <c r="JJ85" s="41"/>
      <c r="JK85" s="41"/>
      <c r="JL85" s="41"/>
      <c r="JM85" s="41"/>
      <c r="JN85" s="41"/>
      <c r="JO85" s="41"/>
      <c r="JP85" s="41"/>
      <c r="JQ85" s="41"/>
      <c r="JR85" s="41"/>
      <c r="JS85" s="41"/>
      <c r="JT85" s="41"/>
      <c r="JU85" s="41"/>
      <c r="JV85" s="41"/>
      <c r="JW85" s="41"/>
      <c r="JX85" s="41"/>
      <c r="JY85" s="41"/>
      <c r="JZ85" s="41"/>
      <c r="KA85" s="41"/>
      <c r="KB85" s="41"/>
      <c r="KC85" s="41"/>
      <c r="KD85" s="41"/>
      <c r="KE85" s="41"/>
      <c r="KF85" s="41"/>
      <c r="KG85" s="41"/>
      <c r="KH85" s="41"/>
      <c r="KI85" s="41"/>
      <c r="KJ85" s="41"/>
      <c r="KK85" s="41"/>
      <c r="KL85" s="41"/>
      <c r="KM85" s="41"/>
      <c r="KN85" s="41"/>
      <c r="KO85" s="41"/>
      <c r="KP85" s="41"/>
      <c r="KQ85" s="41"/>
      <c r="KR85" s="41"/>
      <c r="KS85" s="41"/>
      <c r="KT85" s="41"/>
      <c r="KU85" s="41"/>
      <c r="KV85" s="41"/>
      <c r="KW85" s="41"/>
      <c r="KX85" s="41"/>
      <c r="KY85" s="41"/>
      <c r="KZ85" s="41"/>
      <c r="LA85" s="41"/>
      <c r="LB85" s="41"/>
      <c r="LC85" s="41"/>
      <c r="LD85" s="41"/>
      <c r="LE85" s="41"/>
      <c r="LF85" s="41"/>
      <c r="LG85" s="41"/>
      <c r="LH85" s="41"/>
      <c r="LI85" s="41"/>
      <c r="LJ85" s="41"/>
      <c r="LK85" s="41"/>
      <c r="LL85" s="41"/>
      <c r="LM85" s="41"/>
      <c r="LN85" s="41"/>
      <c r="LO85" s="41"/>
      <c r="LP85" s="41"/>
      <c r="LQ85" s="41"/>
      <c r="LR85" s="41"/>
      <c r="LS85" s="41"/>
      <c r="LT85" s="41"/>
      <c r="LU85" s="41"/>
      <c r="LV85" s="41"/>
      <c r="LW85" s="41"/>
      <c r="LX85" s="41"/>
      <c r="LY85" s="41"/>
      <c r="LZ85" s="41"/>
      <c r="MA85" s="41"/>
      <c r="MB85" s="41"/>
      <c r="MC85" s="41"/>
      <c r="MD85" s="41"/>
      <c r="ME85" s="41"/>
      <c r="MF85" s="41"/>
      <c r="MG85" s="41"/>
      <c r="MH85" s="41"/>
      <c r="MI85" s="41"/>
      <c r="MJ85" s="41"/>
      <c r="MK85" s="41"/>
      <c r="ML85" s="41"/>
      <c r="MM85" s="41"/>
      <c r="MN85" s="41"/>
      <c r="MO85" s="41"/>
      <c r="MP85" s="41"/>
      <c r="MQ85" s="41"/>
      <c r="MR85" s="41"/>
      <c r="MS85" s="41"/>
      <c r="MT85" s="41"/>
      <c r="MU85" s="41"/>
      <c r="MV85" s="41"/>
      <c r="MW85" s="41"/>
      <c r="MX85" s="41"/>
      <c r="MY85" s="41"/>
      <c r="MZ85" s="41"/>
      <c r="NA85" s="41"/>
      <c r="NB85" s="41"/>
      <c r="NC85" s="41"/>
      <c r="ND85" s="41"/>
      <c r="NE85" s="41"/>
      <c r="NF85" s="41"/>
      <c r="NG85" s="41"/>
      <c r="NH85" s="41"/>
      <c r="NI85" s="41"/>
      <c r="NJ85" s="41"/>
      <c r="NK85" s="41"/>
      <c r="NL85" s="41"/>
      <c r="NM85" s="41"/>
      <c r="NN85" s="41"/>
      <c r="NO85" s="41"/>
      <c r="NP85" s="41"/>
      <c r="NQ85" s="41"/>
      <c r="NR85" s="41"/>
      <c r="NS85" s="41"/>
      <c r="NT85" s="41"/>
      <c r="NU85" s="41"/>
      <c r="NV85" s="41"/>
      <c r="NW85" s="41"/>
      <c r="NX85" s="41"/>
      <c r="NY85" s="41"/>
      <c r="NZ85" s="41"/>
      <c r="OA85" s="41"/>
      <c r="OB85" s="41"/>
      <c r="OC85" s="41"/>
      <c r="OD85" s="41"/>
      <c r="OE85" s="41"/>
      <c r="OF85" s="41"/>
      <c r="OG85" s="41"/>
      <c r="OH85" s="41"/>
      <c r="OI85" s="41"/>
      <c r="OJ85" s="41"/>
      <c r="OK85" s="41"/>
      <c r="OL85" s="41"/>
      <c r="OM85" s="41"/>
      <c r="ON85" s="41"/>
      <c r="OO85" s="41"/>
      <c r="OP85" s="41"/>
      <c r="OQ85" s="41"/>
      <c r="OR85" s="41"/>
      <c r="OS85" s="41"/>
      <c r="OT85" s="41"/>
      <c r="OU85" s="41"/>
      <c r="OV85" s="41"/>
      <c r="OW85" s="41"/>
      <c r="OX85" s="41"/>
      <c r="OY85" s="41"/>
      <c r="OZ85" s="41"/>
      <c r="PA85" s="41"/>
      <c r="PB85" s="41"/>
      <c r="PC85" s="41"/>
      <c r="PD85" s="41"/>
      <c r="PE85" s="41"/>
      <c r="PF85" s="41"/>
      <c r="PG85" s="41"/>
      <c r="PH85" s="41"/>
      <c r="PI85" s="41"/>
      <c r="PJ85" s="41"/>
      <c r="PK85" s="41"/>
      <c r="PL85" s="41"/>
      <c r="PM85" s="41"/>
      <c r="PN85" s="41"/>
      <c r="PO85" s="41"/>
      <c r="PP85" s="41"/>
      <c r="PQ85" s="41"/>
      <c r="PR85" s="41"/>
      <c r="PS85" s="41"/>
      <c r="PT85" s="41"/>
      <c r="PU85" s="41"/>
      <c r="PV85" s="41"/>
      <c r="PW85" s="41"/>
      <c r="PX85" s="41"/>
      <c r="PY85" s="41"/>
      <c r="PZ85" s="41"/>
      <c r="QA85" s="41"/>
      <c r="QB85" s="41"/>
      <c r="QC85" s="41"/>
      <c r="QD85" s="41"/>
      <c r="QE85" s="41"/>
      <c r="QF85" s="41"/>
      <c r="QG85" s="41"/>
      <c r="QH85" s="41"/>
      <c r="QI85" s="41"/>
      <c r="QJ85" s="41"/>
      <c r="QK85" s="41"/>
      <c r="QL85" s="41"/>
      <c r="QM85" s="41"/>
      <c r="QN85" s="41"/>
      <c r="QO85" s="41"/>
      <c r="QP85" s="41"/>
      <c r="QQ85" s="41"/>
      <c r="QR85" s="41"/>
      <c r="QS85" s="41"/>
      <c r="QT85" s="41"/>
      <c r="QU85" s="41"/>
      <c r="QV85" s="41"/>
      <c r="QW85" s="41"/>
      <c r="QX85" s="41"/>
      <c r="QY85" s="41"/>
      <c r="QZ85" s="41"/>
      <c r="RA85" s="41"/>
      <c r="RB85" s="41"/>
      <c r="RC85" s="41"/>
      <c r="RD85" s="41"/>
      <c r="RE85" s="41"/>
      <c r="RF85" s="41"/>
      <c r="RG85" s="41"/>
      <c r="RH85" s="41"/>
      <c r="RI85" s="41"/>
      <c r="RJ85" s="41"/>
      <c r="RK85" s="41"/>
      <c r="RL85" s="41"/>
      <c r="RM85" s="41"/>
      <c r="RN85" s="41"/>
      <c r="RO85" s="41"/>
      <c r="RP85" s="41"/>
      <c r="RQ85" s="41"/>
      <c r="RR85" s="41"/>
      <c r="RS85" s="41"/>
      <c r="RT85" s="41"/>
      <c r="RU85" s="41"/>
      <c r="RV85" s="41"/>
      <c r="RW85" s="41"/>
      <c r="RX85" s="41"/>
      <c r="RY85" s="41"/>
      <c r="RZ85" s="41"/>
      <c r="SA85" s="41"/>
      <c r="SB85" s="41"/>
      <c r="SC85" s="41"/>
      <c r="SD85" s="41"/>
      <c r="SE85" s="41"/>
      <c r="SF85" s="41"/>
      <c r="SG85" s="41"/>
      <c r="SH85" s="41"/>
      <c r="SI85" s="41"/>
      <c r="SJ85" s="41"/>
      <c r="SK85" s="41"/>
      <c r="SL85" s="41"/>
      <c r="SM85" s="41"/>
      <c r="SN85" s="41"/>
      <c r="SO85" s="41"/>
      <c r="SP85" s="41"/>
      <c r="SQ85" s="41"/>
      <c r="SR85" s="41"/>
      <c r="SS85" s="41"/>
      <c r="ST85" s="41"/>
      <c r="SU85" s="41"/>
      <c r="SV85" s="41"/>
      <c r="SW85" s="41"/>
      <c r="SX85" s="41"/>
      <c r="SY85" s="41"/>
      <c r="SZ85" s="41"/>
      <c r="TA85" s="41"/>
      <c r="TB85" s="41"/>
      <c r="TC85" s="41"/>
      <c r="TD85" s="41"/>
      <c r="TE85" s="41"/>
      <c r="TF85" s="41"/>
      <c r="TG85" s="41"/>
      <c r="TH85" s="41"/>
      <c r="TI85" s="41"/>
      <c r="TJ85" s="41"/>
      <c r="TK85" s="41"/>
      <c r="TL85" s="41"/>
      <c r="TM85" s="41"/>
      <c r="TN85" s="41"/>
      <c r="TO85" s="41"/>
      <c r="TP85" s="41"/>
      <c r="TQ85" s="41"/>
      <c r="TR85" s="41"/>
      <c r="TS85" s="41"/>
      <c r="TT85" s="41"/>
      <c r="TU85" s="41"/>
      <c r="TV85" s="41"/>
      <c r="TW85" s="41"/>
      <c r="TX85" s="41"/>
      <c r="TY85" s="41"/>
      <c r="TZ85" s="41"/>
      <c r="UA85" s="41"/>
      <c r="UB85" s="41"/>
      <c r="UC85" s="41"/>
      <c r="UD85" s="41"/>
      <c r="UE85" s="41"/>
      <c r="UF85" s="41"/>
      <c r="UG85" s="41"/>
      <c r="UH85" s="41"/>
      <c r="UI85" s="41"/>
      <c r="UJ85" s="41"/>
      <c r="UK85" s="41"/>
      <c r="UL85" s="41"/>
      <c r="UM85" s="41"/>
      <c r="UN85" s="41"/>
      <c r="UO85" s="41"/>
      <c r="UP85" s="41"/>
      <c r="UQ85" s="41"/>
      <c r="UR85" s="41"/>
      <c r="US85" s="41"/>
      <c r="UT85" s="41"/>
      <c r="UU85" s="41"/>
      <c r="UV85" s="41"/>
      <c r="UW85" s="41"/>
      <c r="UX85" s="41"/>
      <c r="UY85" s="41"/>
      <c r="UZ85" s="41"/>
      <c r="VA85" s="41"/>
      <c r="VB85" s="41"/>
      <c r="VC85" s="41"/>
      <c r="VD85" s="41"/>
      <c r="VE85" s="41"/>
      <c r="VF85" s="41"/>
      <c r="VG85" s="41"/>
      <c r="VH85" s="41"/>
      <c r="VI85" s="41"/>
      <c r="VJ85" s="41"/>
      <c r="VK85" s="41"/>
      <c r="VL85" s="41"/>
      <c r="VM85" s="41"/>
      <c r="VN85" s="41"/>
      <c r="VO85" s="41"/>
      <c r="VP85" s="41"/>
      <c r="VQ85" s="41"/>
      <c r="VR85" s="41"/>
      <c r="VS85" s="41"/>
      <c r="VT85" s="41"/>
      <c r="VU85" s="41"/>
      <c r="VV85" s="41"/>
      <c r="VW85" s="41"/>
      <c r="VX85" s="41"/>
      <c r="VY85" s="41"/>
      <c r="VZ85" s="41"/>
      <c r="WA85" s="41"/>
      <c r="WB85" s="41"/>
      <c r="WC85" s="41"/>
      <c r="WD85" s="41"/>
      <c r="WE85" s="41"/>
      <c r="WF85" s="41"/>
      <c r="WG85" s="41"/>
      <c r="WH85" s="41"/>
      <c r="WI85" s="41"/>
      <c r="WJ85" s="41"/>
      <c r="WK85" s="41"/>
      <c r="WL85" s="41"/>
      <c r="WM85" s="41"/>
      <c r="WN85" s="41"/>
      <c r="WO85" s="41"/>
      <c r="WP85" s="41"/>
      <c r="WQ85" s="41"/>
      <c r="WR85" s="41"/>
      <c r="WS85" s="41"/>
      <c r="WT85" s="41"/>
      <c r="WU85" s="41"/>
      <c r="WV85" s="41"/>
      <c r="WW85" s="41"/>
      <c r="WX85" s="41"/>
      <c r="WY85" s="41"/>
      <c r="WZ85" s="41"/>
      <c r="XA85" s="41"/>
      <c r="XB85" s="41"/>
      <c r="XC85" s="41"/>
      <c r="XD85" s="41"/>
      <c r="XE85" s="41"/>
      <c r="XF85" s="41"/>
      <c r="XG85" s="41"/>
      <c r="XH85" s="41"/>
      <c r="XI85" s="41"/>
      <c r="XJ85" s="41"/>
      <c r="XK85" s="41"/>
      <c r="XL85" s="41"/>
      <c r="XM85" s="41"/>
      <c r="XN85" s="41"/>
      <c r="XO85" s="41"/>
      <c r="XP85" s="41"/>
      <c r="XQ85" s="41"/>
      <c r="XR85" s="41"/>
      <c r="XS85" s="41"/>
      <c r="XT85" s="41"/>
      <c r="XU85" s="41"/>
      <c r="XV85" s="41"/>
      <c r="XW85" s="41"/>
      <c r="XX85" s="41"/>
      <c r="XY85" s="41"/>
      <c r="XZ85" s="41"/>
      <c r="YA85" s="41"/>
      <c r="YB85" s="41"/>
      <c r="YC85" s="41"/>
      <c r="YD85" s="41"/>
      <c r="YE85" s="41"/>
      <c r="YF85" s="41"/>
      <c r="YG85" s="41"/>
      <c r="YH85" s="41"/>
      <c r="YI85" s="41"/>
      <c r="YJ85" s="41"/>
      <c r="YK85" s="41"/>
      <c r="YL85" s="41"/>
      <c r="YM85" s="41"/>
      <c r="YN85" s="41"/>
      <c r="YO85" s="41"/>
      <c r="YP85" s="41"/>
      <c r="YQ85" s="41"/>
      <c r="YR85" s="41"/>
      <c r="YS85" s="41"/>
      <c r="YT85" s="41"/>
      <c r="YU85" s="41"/>
      <c r="YV85" s="41"/>
      <c r="YW85" s="41"/>
      <c r="YX85" s="41"/>
      <c r="YY85" s="41"/>
      <c r="YZ85" s="41"/>
      <c r="ZA85" s="41"/>
      <c r="ZB85" s="41"/>
      <c r="ZC85" s="41"/>
      <c r="ZD85" s="41"/>
      <c r="ZE85" s="41"/>
      <c r="ZF85" s="41"/>
      <c r="ZG85" s="41"/>
      <c r="ZH85" s="41"/>
      <c r="ZI85" s="41"/>
      <c r="ZJ85" s="41"/>
      <c r="ZK85" s="41"/>
      <c r="ZL85" s="41"/>
      <c r="ZM85" s="41"/>
      <c r="ZN85" s="41"/>
      <c r="ZO85" s="41"/>
      <c r="ZP85" s="41"/>
      <c r="ZQ85" s="41"/>
      <c r="ZR85" s="41"/>
      <c r="ZS85" s="41"/>
      <c r="ZT85" s="41"/>
      <c r="ZU85" s="41"/>
      <c r="ZV85" s="41"/>
      <c r="ZW85" s="41"/>
      <c r="ZX85" s="41"/>
      <c r="ZY85" s="41"/>
      <c r="ZZ85" s="41"/>
      <c r="AAA85" s="41"/>
      <c r="AAB85" s="41"/>
      <c r="AAC85" s="41"/>
    </row>
    <row r="86" spans="1:705" s="42" customFormat="1" ht="42" hidden="1" x14ac:dyDescent="0.3">
      <c r="A86" s="26">
        <v>82</v>
      </c>
      <c r="B86" s="137">
        <v>239816</v>
      </c>
      <c r="C86" s="138">
        <v>82</v>
      </c>
      <c r="D86" s="139">
        <v>45921</v>
      </c>
      <c r="E86" s="139">
        <f t="shared" si="13"/>
        <v>45920</v>
      </c>
      <c r="F86" s="139">
        <f t="shared" si="10"/>
        <v>45931</v>
      </c>
      <c r="G86" s="139">
        <v>45931</v>
      </c>
      <c r="H86" s="139">
        <v>45931</v>
      </c>
      <c r="I86" s="139" t="s">
        <v>75</v>
      </c>
      <c r="J86" s="140" t="s">
        <v>252</v>
      </c>
      <c r="K86" s="141">
        <f t="shared" si="14"/>
        <v>0</v>
      </c>
      <c r="L86" s="141">
        <v>1145574</v>
      </c>
      <c r="M86" s="140" t="s">
        <v>15</v>
      </c>
      <c r="N86" s="140">
        <v>803629</v>
      </c>
      <c r="O86" s="137" t="s">
        <v>246</v>
      </c>
      <c r="P86" s="143">
        <v>45922</v>
      </c>
      <c r="Q86" s="143">
        <v>45937</v>
      </c>
      <c r="R86" s="157" t="s">
        <v>211</v>
      </c>
      <c r="S86" s="144" t="s">
        <v>253</v>
      </c>
      <c r="T86" s="145">
        <v>1</v>
      </c>
      <c r="U86" s="137" t="s">
        <v>98</v>
      </c>
      <c r="V86" s="146">
        <v>5</v>
      </c>
      <c r="W86" s="146">
        <v>5</v>
      </c>
      <c r="X86" s="147">
        <v>0</v>
      </c>
      <c r="Y86" s="146">
        <v>0</v>
      </c>
      <c r="Z86" s="146">
        <v>0</v>
      </c>
      <c r="AA86" s="146">
        <v>0</v>
      </c>
      <c r="AB86" s="146">
        <v>5</v>
      </c>
      <c r="AC86" s="146">
        <v>5</v>
      </c>
      <c r="AD86" s="146">
        <v>0</v>
      </c>
      <c r="AE86" s="146">
        <v>0</v>
      </c>
      <c r="AF86" s="146">
        <v>0</v>
      </c>
      <c r="AG86" s="146">
        <v>0</v>
      </c>
      <c r="AH86" s="146">
        <v>1</v>
      </c>
      <c r="AI86" s="146">
        <v>1</v>
      </c>
      <c r="AJ86" s="146">
        <v>0</v>
      </c>
      <c r="AK86" s="146">
        <v>0</v>
      </c>
      <c r="AL86" s="146">
        <v>0</v>
      </c>
      <c r="AM86" s="146">
        <v>0</v>
      </c>
      <c r="AN86" s="146">
        <v>0</v>
      </c>
      <c r="AO86" s="146">
        <v>0</v>
      </c>
      <c r="AP86" s="146">
        <v>1</v>
      </c>
      <c r="AQ86" s="146">
        <v>1</v>
      </c>
      <c r="AR86" s="146">
        <v>0</v>
      </c>
      <c r="AS86" s="146">
        <v>0</v>
      </c>
      <c r="AT86" s="146">
        <v>1</v>
      </c>
      <c r="AU86" s="146">
        <v>1</v>
      </c>
      <c r="AV86" s="146">
        <v>0</v>
      </c>
      <c r="AW86" s="146">
        <v>0</v>
      </c>
      <c r="AX86" s="146">
        <f t="shared" si="11"/>
        <v>1735</v>
      </c>
      <c r="AY86" s="146">
        <f t="shared" si="12"/>
        <v>1735</v>
      </c>
      <c r="AZ86" s="140" t="s">
        <v>562</v>
      </c>
      <c r="BA86" s="137" t="s">
        <v>562</v>
      </c>
      <c r="BB86" s="137">
        <v>2</v>
      </c>
      <c r="BC86" s="148">
        <v>82</v>
      </c>
      <c r="BD86" s="149"/>
      <c r="BE86" s="145"/>
      <c r="BF86" s="150"/>
      <c r="BG86" s="152">
        <v>45901</v>
      </c>
      <c r="BH86" s="153" t="s">
        <v>535</v>
      </c>
      <c r="BI86" s="153" t="s">
        <v>562</v>
      </c>
      <c r="CC86" s="41"/>
      <c r="CD86" s="41"/>
      <c r="CE86" s="41"/>
      <c r="CF86" s="41"/>
      <c r="CG86" s="41"/>
      <c r="CH86" s="41"/>
      <c r="CI86" s="41"/>
      <c r="CJ86" s="41"/>
      <c r="CK86" s="41"/>
      <c r="CL86" s="41"/>
      <c r="CM86" s="41"/>
      <c r="CN86" s="41"/>
      <c r="CO86" s="41"/>
      <c r="CP86" s="41"/>
      <c r="CQ86" s="41"/>
      <c r="CR86" s="41"/>
      <c r="CS86" s="41"/>
      <c r="CT86" s="41"/>
      <c r="CU86" s="41"/>
      <c r="CV86" s="41"/>
      <c r="CW86" s="41"/>
      <c r="CX86" s="41"/>
      <c r="CY86" s="41"/>
      <c r="CZ86" s="41"/>
      <c r="DA86" s="41"/>
      <c r="DB86" s="41"/>
      <c r="DC86" s="41"/>
      <c r="DD86" s="41"/>
      <c r="DE86" s="41"/>
      <c r="DF86" s="41"/>
      <c r="DG86" s="41"/>
      <c r="DH86" s="41"/>
      <c r="DI86" s="41"/>
      <c r="DJ86" s="41"/>
      <c r="DK86" s="41"/>
      <c r="DL86" s="41"/>
      <c r="DM86" s="41"/>
      <c r="DN86" s="41"/>
      <c r="DO86" s="41"/>
      <c r="DP86" s="41"/>
      <c r="DQ86" s="41"/>
      <c r="DR86" s="41"/>
      <c r="DS86" s="41"/>
      <c r="DT86" s="41"/>
      <c r="DU86" s="41"/>
      <c r="DV86" s="41"/>
      <c r="DW86" s="41"/>
      <c r="DX86" s="41"/>
      <c r="DY86" s="41"/>
      <c r="DZ86" s="41"/>
      <c r="EA86" s="41"/>
      <c r="EB86" s="41"/>
      <c r="EC86" s="41"/>
      <c r="ED86" s="41"/>
      <c r="EE86" s="41"/>
      <c r="EF86" s="41"/>
      <c r="EG86" s="41"/>
      <c r="EH86" s="41"/>
      <c r="EI86" s="41"/>
      <c r="EJ86" s="41"/>
      <c r="EK86" s="41"/>
      <c r="EL86" s="41"/>
      <c r="EM86" s="41"/>
      <c r="EN86" s="41"/>
      <c r="EO86" s="41"/>
      <c r="EP86" s="41"/>
      <c r="EQ86" s="41"/>
      <c r="ER86" s="41"/>
      <c r="ES86" s="41"/>
      <c r="ET86" s="41"/>
      <c r="EU86" s="41"/>
      <c r="EV86" s="41"/>
      <c r="EW86" s="41"/>
      <c r="EX86" s="41"/>
      <c r="EY86" s="41"/>
      <c r="EZ86" s="41"/>
      <c r="FA86" s="41"/>
      <c r="FB86" s="41"/>
      <c r="FC86" s="41"/>
      <c r="FD86" s="41"/>
      <c r="FE86" s="41"/>
      <c r="FF86" s="41"/>
      <c r="FG86" s="41"/>
      <c r="FH86" s="41"/>
      <c r="FI86" s="41"/>
      <c r="FJ86" s="41"/>
      <c r="FK86" s="41"/>
      <c r="FL86" s="41"/>
      <c r="FM86" s="41"/>
      <c r="FN86" s="41"/>
      <c r="FO86" s="41"/>
      <c r="FP86" s="41"/>
      <c r="FQ86" s="41"/>
      <c r="FR86" s="41"/>
      <c r="FS86" s="41"/>
      <c r="FT86" s="41"/>
      <c r="FU86" s="41"/>
      <c r="FV86" s="41"/>
      <c r="FW86" s="41"/>
      <c r="FX86" s="41"/>
      <c r="FY86" s="41"/>
      <c r="FZ86" s="41"/>
      <c r="GA86" s="41"/>
      <c r="GB86" s="41"/>
      <c r="GC86" s="41"/>
      <c r="GD86" s="41"/>
      <c r="GE86" s="41"/>
      <c r="GF86" s="41"/>
      <c r="GG86" s="41"/>
      <c r="GH86" s="41"/>
      <c r="GI86" s="41"/>
      <c r="GJ86" s="41"/>
      <c r="GK86" s="41"/>
      <c r="GL86" s="41"/>
      <c r="GM86" s="41"/>
      <c r="GN86" s="41"/>
      <c r="GO86" s="41"/>
      <c r="GP86" s="41"/>
      <c r="GQ86" s="41"/>
      <c r="GR86" s="41"/>
      <c r="GS86" s="41"/>
      <c r="GT86" s="41"/>
      <c r="GU86" s="41"/>
      <c r="GV86" s="41"/>
      <c r="GW86" s="41"/>
      <c r="GX86" s="41"/>
      <c r="GY86" s="41"/>
      <c r="GZ86" s="41"/>
      <c r="HA86" s="41"/>
      <c r="HB86" s="41"/>
      <c r="HC86" s="41"/>
      <c r="HD86" s="41"/>
      <c r="HE86" s="41"/>
      <c r="HF86" s="41"/>
      <c r="HG86" s="41"/>
      <c r="HH86" s="41"/>
      <c r="HI86" s="41"/>
      <c r="HJ86" s="41"/>
      <c r="HK86" s="41"/>
      <c r="HL86" s="41"/>
      <c r="HM86" s="41"/>
      <c r="HN86" s="41"/>
      <c r="HO86" s="41"/>
      <c r="HP86" s="41"/>
      <c r="HQ86" s="41"/>
      <c r="HR86" s="41"/>
      <c r="HS86" s="41"/>
      <c r="HT86" s="41"/>
      <c r="HU86" s="41"/>
      <c r="HV86" s="41"/>
      <c r="HW86" s="41"/>
      <c r="HX86" s="41"/>
      <c r="HY86" s="41"/>
      <c r="HZ86" s="41"/>
      <c r="IA86" s="41"/>
      <c r="IB86" s="41"/>
      <c r="IC86" s="41"/>
      <c r="ID86" s="41"/>
      <c r="IE86" s="41"/>
      <c r="IF86" s="41"/>
      <c r="IG86" s="41"/>
      <c r="IH86" s="41"/>
      <c r="II86" s="41"/>
      <c r="IJ86" s="41"/>
      <c r="IK86" s="41"/>
      <c r="IL86" s="41"/>
      <c r="IM86" s="41"/>
      <c r="IN86" s="41"/>
      <c r="IO86" s="41"/>
      <c r="IP86" s="41"/>
      <c r="IQ86" s="41"/>
      <c r="IR86" s="41"/>
      <c r="IS86" s="41"/>
      <c r="IT86" s="41"/>
      <c r="IU86" s="41"/>
      <c r="IV86" s="41"/>
      <c r="IW86" s="41"/>
      <c r="IX86" s="41"/>
      <c r="IY86" s="41"/>
      <c r="IZ86" s="41"/>
      <c r="JA86" s="41"/>
      <c r="JB86" s="41"/>
      <c r="JC86" s="41"/>
      <c r="JD86" s="41"/>
      <c r="JE86" s="41"/>
      <c r="JF86" s="41"/>
      <c r="JG86" s="41"/>
      <c r="JH86" s="41"/>
      <c r="JI86" s="41"/>
      <c r="JJ86" s="41"/>
      <c r="JK86" s="41"/>
      <c r="JL86" s="41"/>
      <c r="JM86" s="41"/>
      <c r="JN86" s="41"/>
      <c r="JO86" s="41"/>
      <c r="JP86" s="41"/>
      <c r="JQ86" s="41"/>
      <c r="JR86" s="41"/>
      <c r="JS86" s="41"/>
      <c r="JT86" s="41"/>
      <c r="JU86" s="41"/>
      <c r="JV86" s="41"/>
      <c r="JW86" s="41"/>
      <c r="JX86" s="41"/>
      <c r="JY86" s="41"/>
      <c r="JZ86" s="41"/>
      <c r="KA86" s="41"/>
      <c r="KB86" s="41"/>
      <c r="KC86" s="41"/>
      <c r="KD86" s="41"/>
      <c r="KE86" s="41"/>
      <c r="KF86" s="41"/>
      <c r="KG86" s="41"/>
      <c r="KH86" s="41"/>
      <c r="KI86" s="41"/>
      <c r="KJ86" s="41"/>
      <c r="KK86" s="41"/>
      <c r="KL86" s="41"/>
      <c r="KM86" s="41"/>
      <c r="KN86" s="41"/>
      <c r="KO86" s="41"/>
      <c r="KP86" s="41"/>
      <c r="KQ86" s="41"/>
      <c r="KR86" s="41"/>
      <c r="KS86" s="41"/>
      <c r="KT86" s="41"/>
      <c r="KU86" s="41"/>
      <c r="KV86" s="41"/>
      <c r="KW86" s="41"/>
      <c r="KX86" s="41"/>
      <c r="KY86" s="41"/>
      <c r="KZ86" s="41"/>
      <c r="LA86" s="41"/>
      <c r="LB86" s="41"/>
      <c r="LC86" s="41"/>
      <c r="LD86" s="41"/>
      <c r="LE86" s="41"/>
      <c r="LF86" s="41"/>
      <c r="LG86" s="41"/>
      <c r="LH86" s="41"/>
      <c r="LI86" s="41"/>
      <c r="LJ86" s="41"/>
      <c r="LK86" s="41"/>
      <c r="LL86" s="41"/>
      <c r="LM86" s="41"/>
      <c r="LN86" s="41"/>
      <c r="LO86" s="41"/>
      <c r="LP86" s="41"/>
      <c r="LQ86" s="41"/>
      <c r="LR86" s="41"/>
      <c r="LS86" s="41"/>
      <c r="LT86" s="41"/>
      <c r="LU86" s="41"/>
      <c r="LV86" s="41"/>
      <c r="LW86" s="41"/>
      <c r="LX86" s="41"/>
      <c r="LY86" s="41"/>
      <c r="LZ86" s="41"/>
      <c r="MA86" s="41"/>
      <c r="MB86" s="41"/>
      <c r="MC86" s="41"/>
      <c r="MD86" s="41"/>
      <c r="ME86" s="41"/>
      <c r="MF86" s="41"/>
      <c r="MG86" s="41"/>
      <c r="MH86" s="41"/>
      <c r="MI86" s="41"/>
      <c r="MJ86" s="41"/>
      <c r="MK86" s="41"/>
      <c r="ML86" s="41"/>
      <c r="MM86" s="41"/>
      <c r="MN86" s="41"/>
      <c r="MO86" s="41"/>
      <c r="MP86" s="41"/>
      <c r="MQ86" s="41"/>
      <c r="MR86" s="41"/>
      <c r="MS86" s="41"/>
      <c r="MT86" s="41"/>
      <c r="MU86" s="41"/>
      <c r="MV86" s="41"/>
      <c r="MW86" s="41"/>
      <c r="MX86" s="41"/>
      <c r="MY86" s="41"/>
      <c r="MZ86" s="41"/>
      <c r="NA86" s="41"/>
      <c r="NB86" s="41"/>
      <c r="NC86" s="41"/>
      <c r="ND86" s="41"/>
      <c r="NE86" s="41"/>
      <c r="NF86" s="41"/>
      <c r="NG86" s="41"/>
      <c r="NH86" s="41"/>
      <c r="NI86" s="41"/>
      <c r="NJ86" s="41"/>
      <c r="NK86" s="41"/>
      <c r="NL86" s="41"/>
      <c r="NM86" s="41"/>
      <c r="NN86" s="41"/>
      <c r="NO86" s="41"/>
      <c r="NP86" s="41"/>
      <c r="NQ86" s="41"/>
      <c r="NR86" s="41"/>
      <c r="NS86" s="41"/>
      <c r="NT86" s="41"/>
      <c r="NU86" s="41"/>
      <c r="NV86" s="41"/>
      <c r="NW86" s="41"/>
      <c r="NX86" s="41"/>
      <c r="NY86" s="41"/>
      <c r="NZ86" s="41"/>
      <c r="OA86" s="41"/>
      <c r="OB86" s="41"/>
      <c r="OC86" s="41"/>
      <c r="OD86" s="41"/>
      <c r="OE86" s="41"/>
      <c r="OF86" s="41"/>
      <c r="OG86" s="41"/>
      <c r="OH86" s="41"/>
      <c r="OI86" s="41"/>
      <c r="OJ86" s="41"/>
      <c r="OK86" s="41"/>
      <c r="OL86" s="41"/>
      <c r="OM86" s="41"/>
      <c r="ON86" s="41"/>
      <c r="OO86" s="41"/>
      <c r="OP86" s="41"/>
      <c r="OQ86" s="41"/>
      <c r="OR86" s="41"/>
      <c r="OS86" s="41"/>
      <c r="OT86" s="41"/>
      <c r="OU86" s="41"/>
      <c r="OV86" s="41"/>
      <c r="OW86" s="41"/>
      <c r="OX86" s="41"/>
      <c r="OY86" s="41"/>
      <c r="OZ86" s="41"/>
      <c r="PA86" s="41"/>
      <c r="PB86" s="41"/>
      <c r="PC86" s="41"/>
      <c r="PD86" s="41"/>
      <c r="PE86" s="41"/>
      <c r="PF86" s="41"/>
      <c r="PG86" s="41"/>
      <c r="PH86" s="41"/>
      <c r="PI86" s="41"/>
      <c r="PJ86" s="41"/>
      <c r="PK86" s="41"/>
      <c r="PL86" s="41"/>
      <c r="PM86" s="41"/>
      <c r="PN86" s="41"/>
      <c r="PO86" s="41"/>
      <c r="PP86" s="41"/>
      <c r="PQ86" s="41"/>
      <c r="PR86" s="41"/>
      <c r="PS86" s="41"/>
      <c r="PT86" s="41"/>
      <c r="PU86" s="41"/>
      <c r="PV86" s="41"/>
      <c r="PW86" s="41"/>
      <c r="PX86" s="41"/>
      <c r="PY86" s="41"/>
      <c r="PZ86" s="41"/>
      <c r="QA86" s="41"/>
      <c r="QB86" s="41"/>
      <c r="QC86" s="41"/>
      <c r="QD86" s="41"/>
      <c r="QE86" s="41"/>
      <c r="QF86" s="41"/>
      <c r="QG86" s="41"/>
      <c r="QH86" s="41"/>
      <c r="QI86" s="41"/>
      <c r="QJ86" s="41"/>
      <c r="QK86" s="41"/>
      <c r="QL86" s="41"/>
      <c r="QM86" s="41"/>
      <c r="QN86" s="41"/>
      <c r="QO86" s="41"/>
      <c r="QP86" s="41"/>
      <c r="QQ86" s="41"/>
      <c r="QR86" s="41"/>
      <c r="QS86" s="41"/>
      <c r="QT86" s="41"/>
      <c r="QU86" s="41"/>
      <c r="QV86" s="41"/>
      <c r="QW86" s="41"/>
      <c r="QX86" s="41"/>
      <c r="QY86" s="41"/>
      <c r="QZ86" s="41"/>
      <c r="RA86" s="41"/>
      <c r="RB86" s="41"/>
      <c r="RC86" s="41"/>
      <c r="RD86" s="41"/>
      <c r="RE86" s="41"/>
      <c r="RF86" s="41"/>
      <c r="RG86" s="41"/>
      <c r="RH86" s="41"/>
      <c r="RI86" s="41"/>
      <c r="RJ86" s="41"/>
      <c r="RK86" s="41"/>
      <c r="RL86" s="41"/>
      <c r="RM86" s="41"/>
      <c r="RN86" s="41"/>
      <c r="RO86" s="41"/>
      <c r="RP86" s="41"/>
      <c r="RQ86" s="41"/>
      <c r="RR86" s="41"/>
      <c r="RS86" s="41"/>
      <c r="RT86" s="41"/>
      <c r="RU86" s="41"/>
      <c r="RV86" s="41"/>
      <c r="RW86" s="41"/>
      <c r="RX86" s="41"/>
      <c r="RY86" s="41"/>
      <c r="RZ86" s="41"/>
      <c r="SA86" s="41"/>
      <c r="SB86" s="41"/>
      <c r="SC86" s="41"/>
      <c r="SD86" s="41"/>
      <c r="SE86" s="41"/>
      <c r="SF86" s="41"/>
      <c r="SG86" s="41"/>
      <c r="SH86" s="41"/>
      <c r="SI86" s="41"/>
      <c r="SJ86" s="41"/>
      <c r="SK86" s="41"/>
      <c r="SL86" s="41"/>
      <c r="SM86" s="41"/>
      <c r="SN86" s="41"/>
      <c r="SO86" s="41"/>
      <c r="SP86" s="41"/>
      <c r="SQ86" s="41"/>
      <c r="SR86" s="41"/>
      <c r="SS86" s="41"/>
      <c r="ST86" s="41"/>
      <c r="SU86" s="41"/>
      <c r="SV86" s="41"/>
      <c r="SW86" s="41"/>
      <c r="SX86" s="41"/>
      <c r="SY86" s="41"/>
      <c r="SZ86" s="41"/>
      <c r="TA86" s="41"/>
      <c r="TB86" s="41"/>
      <c r="TC86" s="41"/>
      <c r="TD86" s="41"/>
      <c r="TE86" s="41"/>
      <c r="TF86" s="41"/>
      <c r="TG86" s="41"/>
      <c r="TH86" s="41"/>
      <c r="TI86" s="41"/>
      <c r="TJ86" s="41"/>
      <c r="TK86" s="41"/>
      <c r="TL86" s="41"/>
      <c r="TM86" s="41"/>
      <c r="TN86" s="41"/>
      <c r="TO86" s="41"/>
      <c r="TP86" s="41"/>
      <c r="TQ86" s="41"/>
      <c r="TR86" s="41"/>
      <c r="TS86" s="41"/>
      <c r="TT86" s="41"/>
      <c r="TU86" s="41"/>
      <c r="TV86" s="41"/>
      <c r="TW86" s="41"/>
      <c r="TX86" s="41"/>
      <c r="TY86" s="41"/>
      <c r="TZ86" s="41"/>
      <c r="UA86" s="41"/>
      <c r="UB86" s="41"/>
      <c r="UC86" s="41"/>
      <c r="UD86" s="41"/>
      <c r="UE86" s="41"/>
      <c r="UF86" s="41"/>
      <c r="UG86" s="41"/>
      <c r="UH86" s="41"/>
      <c r="UI86" s="41"/>
      <c r="UJ86" s="41"/>
      <c r="UK86" s="41"/>
      <c r="UL86" s="41"/>
      <c r="UM86" s="41"/>
      <c r="UN86" s="41"/>
      <c r="UO86" s="41"/>
      <c r="UP86" s="41"/>
      <c r="UQ86" s="41"/>
      <c r="UR86" s="41"/>
      <c r="US86" s="41"/>
      <c r="UT86" s="41"/>
      <c r="UU86" s="41"/>
      <c r="UV86" s="41"/>
      <c r="UW86" s="41"/>
      <c r="UX86" s="41"/>
      <c r="UY86" s="41"/>
      <c r="UZ86" s="41"/>
      <c r="VA86" s="41"/>
      <c r="VB86" s="41"/>
      <c r="VC86" s="41"/>
      <c r="VD86" s="41"/>
      <c r="VE86" s="41"/>
      <c r="VF86" s="41"/>
      <c r="VG86" s="41"/>
      <c r="VH86" s="41"/>
      <c r="VI86" s="41"/>
      <c r="VJ86" s="41"/>
      <c r="VK86" s="41"/>
      <c r="VL86" s="41"/>
      <c r="VM86" s="41"/>
      <c r="VN86" s="41"/>
      <c r="VO86" s="41"/>
      <c r="VP86" s="41"/>
      <c r="VQ86" s="41"/>
      <c r="VR86" s="41"/>
      <c r="VS86" s="41"/>
      <c r="VT86" s="41"/>
      <c r="VU86" s="41"/>
      <c r="VV86" s="41"/>
      <c r="VW86" s="41"/>
      <c r="VX86" s="41"/>
      <c r="VY86" s="41"/>
      <c r="VZ86" s="41"/>
      <c r="WA86" s="41"/>
      <c r="WB86" s="41"/>
      <c r="WC86" s="41"/>
      <c r="WD86" s="41"/>
      <c r="WE86" s="41"/>
      <c r="WF86" s="41"/>
      <c r="WG86" s="41"/>
      <c r="WH86" s="41"/>
      <c r="WI86" s="41"/>
      <c r="WJ86" s="41"/>
      <c r="WK86" s="41"/>
      <c r="WL86" s="41"/>
      <c r="WM86" s="41"/>
      <c r="WN86" s="41"/>
      <c r="WO86" s="41"/>
      <c r="WP86" s="41"/>
      <c r="WQ86" s="41"/>
      <c r="WR86" s="41"/>
      <c r="WS86" s="41"/>
      <c r="WT86" s="41"/>
      <c r="WU86" s="41"/>
      <c r="WV86" s="41"/>
      <c r="WW86" s="41"/>
      <c r="WX86" s="41"/>
      <c r="WY86" s="41"/>
      <c r="WZ86" s="41"/>
      <c r="XA86" s="41"/>
      <c r="XB86" s="41"/>
      <c r="XC86" s="41"/>
      <c r="XD86" s="41"/>
      <c r="XE86" s="41"/>
      <c r="XF86" s="41"/>
      <c r="XG86" s="41"/>
      <c r="XH86" s="41"/>
      <c r="XI86" s="41"/>
      <c r="XJ86" s="41"/>
      <c r="XK86" s="41"/>
      <c r="XL86" s="41"/>
      <c r="XM86" s="41"/>
      <c r="XN86" s="41"/>
      <c r="XO86" s="41"/>
      <c r="XP86" s="41"/>
      <c r="XQ86" s="41"/>
      <c r="XR86" s="41"/>
      <c r="XS86" s="41"/>
      <c r="XT86" s="41"/>
      <c r="XU86" s="41"/>
      <c r="XV86" s="41"/>
      <c r="XW86" s="41"/>
      <c r="XX86" s="41"/>
      <c r="XY86" s="41"/>
      <c r="XZ86" s="41"/>
      <c r="YA86" s="41"/>
      <c r="YB86" s="41"/>
      <c r="YC86" s="41"/>
      <c r="YD86" s="41"/>
      <c r="YE86" s="41"/>
      <c r="YF86" s="41"/>
      <c r="YG86" s="41"/>
      <c r="YH86" s="41"/>
      <c r="YI86" s="41"/>
      <c r="YJ86" s="41"/>
      <c r="YK86" s="41"/>
      <c r="YL86" s="41"/>
      <c r="YM86" s="41"/>
      <c r="YN86" s="41"/>
      <c r="YO86" s="41"/>
      <c r="YP86" s="41"/>
      <c r="YQ86" s="41"/>
      <c r="YR86" s="41"/>
      <c r="YS86" s="41"/>
      <c r="YT86" s="41"/>
      <c r="YU86" s="41"/>
      <c r="YV86" s="41"/>
      <c r="YW86" s="41"/>
      <c r="YX86" s="41"/>
      <c r="YY86" s="41"/>
      <c r="YZ86" s="41"/>
      <c r="ZA86" s="41"/>
      <c r="ZB86" s="41"/>
      <c r="ZC86" s="41"/>
      <c r="ZD86" s="41"/>
      <c r="ZE86" s="41"/>
      <c r="ZF86" s="41"/>
      <c r="ZG86" s="41"/>
      <c r="ZH86" s="41"/>
      <c r="ZI86" s="41"/>
      <c r="ZJ86" s="41"/>
      <c r="ZK86" s="41"/>
      <c r="ZL86" s="41"/>
      <c r="ZM86" s="41"/>
      <c r="ZN86" s="41"/>
      <c r="ZO86" s="41"/>
      <c r="ZP86" s="41"/>
      <c r="ZQ86" s="41"/>
      <c r="ZR86" s="41"/>
      <c r="ZS86" s="41"/>
      <c r="ZT86" s="41"/>
      <c r="ZU86" s="41"/>
      <c r="ZV86" s="41"/>
      <c r="ZW86" s="41"/>
      <c r="ZX86" s="41"/>
      <c r="ZY86" s="41"/>
      <c r="ZZ86" s="41"/>
      <c r="AAA86" s="41"/>
      <c r="AAB86" s="41"/>
      <c r="AAC86" s="41"/>
    </row>
    <row r="87" spans="1:705" s="42" customFormat="1" ht="42" hidden="1" x14ac:dyDescent="0.3">
      <c r="A87" s="26">
        <v>83</v>
      </c>
      <c r="B87" s="137">
        <v>239846</v>
      </c>
      <c r="C87" s="138">
        <v>83</v>
      </c>
      <c r="D87" s="139">
        <v>45921</v>
      </c>
      <c r="E87" s="139">
        <f t="shared" si="13"/>
        <v>45920</v>
      </c>
      <c r="F87" s="139">
        <f t="shared" si="10"/>
        <v>45931</v>
      </c>
      <c r="G87" s="139">
        <v>45931</v>
      </c>
      <c r="H87" s="139">
        <v>45938</v>
      </c>
      <c r="I87" s="139" t="s">
        <v>75</v>
      </c>
      <c r="J87" s="140" t="s">
        <v>256</v>
      </c>
      <c r="K87" s="141">
        <f t="shared" si="14"/>
        <v>7</v>
      </c>
      <c r="L87" s="141">
        <v>1145823</v>
      </c>
      <c r="M87" s="140" t="s">
        <v>15</v>
      </c>
      <c r="N87" s="140">
        <v>804645</v>
      </c>
      <c r="O87" s="137" t="s">
        <v>246</v>
      </c>
      <c r="P87" s="143">
        <v>45934</v>
      </c>
      <c r="Q87" s="143">
        <v>45949</v>
      </c>
      <c r="R87" s="157" t="s">
        <v>211</v>
      </c>
      <c r="S87" s="144" t="s">
        <v>257</v>
      </c>
      <c r="T87" s="145">
        <v>1</v>
      </c>
      <c r="U87" s="137" t="s">
        <v>98</v>
      </c>
      <c r="V87" s="146">
        <v>5</v>
      </c>
      <c r="W87" s="146">
        <v>5</v>
      </c>
      <c r="X87" s="147">
        <v>0</v>
      </c>
      <c r="Y87" s="146">
        <v>0</v>
      </c>
      <c r="Z87" s="146">
        <v>0</v>
      </c>
      <c r="AA87" s="146">
        <v>0</v>
      </c>
      <c r="AB87" s="146">
        <v>5</v>
      </c>
      <c r="AC87" s="146">
        <v>5</v>
      </c>
      <c r="AD87" s="146">
        <v>0</v>
      </c>
      <c r="AE87" s="146">
        <v>0</v>
      </c>
      <c r="AF87" s="146">
        <v>0</v>
      </c>
      <c r="AG87" s="146">
        <v>0</v>
      </c>
      <c r="AH87" s="146">
        <v>1</v>
      </c>
      <c r="AI87" s="146">
        <v>1</v>
      </c>
      <c r="AJ87" s="146">
        <v>0</v>
      </c>
      <c r="AK87" s="146">
        <v>0</v>
      </c>
      <c r="AL87" s="146">
        <v>0</v>
      </c>
      <c r="AM87" s="146">
        <v>0</v>
      </c>
      <c r="AN87" s="146">
        <v>1</v>
      </c>
      <c r="AO87" s="146">
        <v>1</v>
      </c>
      <c r="AP87" s="146">
        <v>1</v>
      </c>
      <c r="AQ87" s="146">
        <v>1</v>
      </c>
      <c r="AR87" s="146">
        <v>0</v>
      </c>
      <c r="AS87" s="146">
        <v>0</v>
      </c>
      <c r="AT87" s="146">
        <v>1</v>
      </c>
      <c r="AU87" s="146">
        <v>1</v>
      </c>
      <c r="AV87" s="146">
        <v>0</v>
      </c>
      <c r="AW87" s="146">
        <v>0</v>
      </c>
      <c r="AX87" s="146">
        <f t="shared" si="11"/>
        <v>1795</v>
      </c>
      <c r="AY87" s="146">
        <f t="shared" si="12"/>
        <v>1795</v>
      </c>
      <c r="AZ87" s="140" t="s">
        <v>562</v>
      </c>
      <c r="BA87" s="137" t="s">
        <v>562</v>
      </c>
      <c r="BB87" s="137">
        <v>2</v>
      </c>
      <c r="BC87" s="148">
        <v>83</v>
      </c>
      <c r="BD87" s="149"/>
      <c r="BE87" s="145"/>
      <c r="BF87" s="150"/>
      <c r="BG87" s="151">
        <v>45931</v>
      </c>
      <c r="BH87" s="153" t="s">
        <v>535</v>
      </c>
      <c r="BI87" s="153" t="s">
        <v>562</v>
      </c>
      <c r="CC87" s="41"/>
      <c r="CD87" s="41"/>
      <c r="CE87" s="41"/>
      <c r="CF87" s="41"/>
      <c r="CG87" s="41"/>
      <c r="CH87" s="41"/>
      <c r="CI87" s="41"/>
      <c r="CJ87" s="41"/>
      <c r="CK87" s="41"/>
      <c r="CL87" s="41"/>
      <c r="CM87" s="41"/>
      <c r="CN87" s="41"/>
      <c r="CO87" s="41"/>
      <c r="CP87" s="41"/>
      <c r="CQ87" s="41"/>
      <c r="CR87" s="41"/>
      <c r="CS87" s="41"/>
      <c r="CT87" s="41"/>
      <c r="CU87" s="41"/>
      <c r="CV87" s="41"/>
      <c r="CW87" s="41"/>
      <c r="CX87" s="41"/>
      <c r="CY87" s="41"/>
      <c r="CZ87" s="41"/>
      <c r="DA87" s="41"/>
      <c r="DB87" s="41"/>
      <c r="DC87" s="41"/>
      <c r="DD87" s="41"/>
      <c r="DE87" s="41"/>
      <c r="DF87" s="41"/>
      <c r="DG87" s="41"/>
      <c r="DH87" s="41"/>
      <c r="DI87" s="41"/>
      <c r="DJ87" s="41"/>
      <c r="DK87" s="41"/>
      <c r="DL87" s="41"/>
      <c r="DM87" s="41"/>
      <c r="DN87" s="41"/>
      <c r="DO87" s="41"/>
      <c r="DP87" s="41"/>
      <c r="DQ87" s="41"/>
      <c r="DR87" s="41"/>
      <c r="DS87" s="41"/>
      <c r="DT87" s="41"/>
      <c r="DU87" s="41"/>
      <c r="DV87" s="41"/>
      <c r="DW87" s="41"/>
      <c r="DX87" s="41"/>
      <c r="DY87" s="41"/>
      <c r="DZ87" s="41"/>
      <c r="EA87" s="41"/>
      <c r="EB87" s="41"/>
      <c r="EC87" s="41"/>
      <c r="ED87" s="41"/>
      <c r="EE87" s="41"/>
      <c r="EF87" s="41"/>
      <c r="EG87" s="41"/>
      <c r="EH87" s="41"/>
      <c r="EI87" s="41"/>
      <c r="EJ87" s="41"/>
      <c r="EK87" s="41"/>
      <c r="EL87" s="41"/>
      <c r="EM87" s="41"/>
      <c r="EN87" s="41"/>
      <c r="EO87" s="41"/>
      <c r="EP87" s="41"/>
      <c r="EQ87" s="41"/>
      <c r="ER87" s="41"/>
      <c r="ES87" s="41"/>
      <c r="ET87" s="41"/>
      <c r="EU87" s="41"/>
      <c r="EV87" s="41"/>
      <c r="EW87" s="41"/>
      <c r="EX87" s="41"/>
      <c r="EY87" s="41"/>
      <c r="EZ87" s="41"/>
      <c r="FA87" s="41"/>
      <c r="FB87" s="41"/>
      <c r="FC87" s="41"/>
      <c r="FD87" s="41"/>
      <c r="FE87" s="41"/>
      <c r="FF87" s="41"/>
      <c r="FG87" s="41"/>
      <c r="FH87" s="41"/>
      <c r="FI87" s="41"/>
      <c r="FJ87" s="41"/>
      <c r="FK87" s="41"/>
      <c r="FL87" s="41"/>
      <c r="FM87" s="41"/>
      <c r="FN87" s="41"/>
      <c r="FO87" s="41"/>
      <c r="FP87" s="41"/>
      <c r="FQ87" s="41"/>
      <c r="FR87" s="41"/>
      <c r="FS87" s="41"/>
      <c r="FT87" s="41"/>
      <c r="FU87" s="41"/>
      <c r="FV87" s="41"/>
      <c r="FW87" s="41"/>
      <c r="FX87" s="41"/>
      <c r="FY87" s="41"/>
      <c r="FZ87" s="41"/>
      <c r="GA87" s="41"/>
      <c r="GB87" s="41"/>
      <c r="GC87" s="41"/>
      <c r="GD87" s="41"/>
      <c r="GE87" s="41"/>
      <c r="GF87" s="41"/>
      <c r="GG87" s="41"/>
      <c r="GH87" s="41"/>
      <c r="GI87" s="41"/>
      <c r="GJ87" s="41"/>
      <c r="GK87" s="41"/>
      <c r="GL87" s="41"/>
      <c r="GM87" s="41"/>
      <c r="GN87" s="41"/>
      <c r="GO87" s="41"/>
      <c r="GP87" s="41"/>
      <c r="GQ87" s="41"/>
      <c r="GR87" s="41"/>
      <c r="GS87" s="41"/>
      <c r="GT87" s="41"/>
      <c r="GU87" s="41"/>
      <c r="GV87" s="41"/>
      <c r="GW87" s="41"/>
      <c r="GX87" s="41"/>
      <c r="GY87" s="41"/>
      <c r="GZ87" s="41"/>
      <c r="HA87" s="41"/>
      <c r="HB87" s="41"/>
      <c r="HC87" s="41"/>
      <c r="HD87" s="41"/>
      <c r="HE87" s="41"/>
      <c r="HF87" s="41"/>
      <c r="HG87" s="41"/>
      <c r="HH87" s="41"/>
      <c r="HI87" s="41"/>
      <c r="HJ87" s="41"/>
      <c r="HK87" s="41"/>
      <c r="HL87" s="41"/>
      <c r="HM87" s="41"/>
      <c r="HN87" s="41"/>
      <c r="HO87" s="41"/>
      <c r="HP87" s="41"/>
      <c r="HQ87" s="41"/>
      <c r="HR87" s="41"/>
      <c r="HS87" s="41"/>
      <c r="HT87" s="41"/>
      <c r="HU87" s="41"/>
      <c r="HV87" s="41"/>
      <c r="HW87" s="41"/>
      <c r="HX87" s="41"/>
      <c r="HY87" s="41"/>
      <c r="HZ87" s="41"/>
      <c r="IA87" s="41"/>
      <c r="IB87" s="41"/>
      <c r="IC87" s="41"/>
      <c r="ID87" s="41"/>
      <c r="IE87" s="41"/>
      <c r="IF87" s="41"/>
      <c r="IG87" s="41"/>
      <c r="IH87" s="41"/>
      <c r="II87" s="41"/>
      <c r="IJ87" s="41"/>
      <c r="IK87" s="41"/>
      <c r="IL87" s="41"/>
      <c r="IM87" s="41"/>
      <c r="IN87" s="41"/>
      <c r="IO87" s="41"/>
      <c r="IP87" s="41"/>
      <c r="IQ87" s="41"/>
      <c r="IR87" s="41"/>
      <c r="IS87" s="41"/>
      <c r="IT87" s="41"/>
      <c r="IU87" s="41"/>
      <c r="IV87" s="41"/>
      <c r="IW87" s="41"/>
      <c r="IX87" s="41"/>
      <c r="IY87" s="41"/>
      <c r="IZ87" s="41"/>
      <c r="JA87" s="41"/>
      <c r="JB87" s="41"/>
      <c r="JC87" s="41"/>
      <c r="JD87" s="41"/>
      <c r="JE87" s="41"/>
      <c r="JF87" s="41"/>
      <c r="JG87" s="41"/>
      <c r="JH87" s="41"/>
      <c r="JI87" s="41"/>
      <c r="JJ87" s="41"/>
      <c r="JK87" s="41"/>
      <c r="JL87" s="41"/>
      <c r="JM87" s="41"/>
      <c r="JN87" s="41"/>
      <c r="JO87" s="41"/>
      <c r="JP87" s="41"/>
      <c r="JQ87" s="41"/>
      <c r="JR87" s="41"/>
      <c r="JS87" s="41"/>
      <c r="JT87" s="41"/>
      <c r="JU87" s="41"/>
      <c r="JV87" s="41"/>
      <c r="JW87" s="41"/>
      <c r="JX87" s="41"/>
      <c r="JY87" s="41"/>
      <c r="JZ87" s="41"/>
      <c r="KA87" s="41"/>
      <c r="KB87" s="41"/>
      <c r="KC87" s="41"/>
      <c r="KD87" s="41"/>
      <c r="KE87" s="41"/>
      <c r="KF87" s="41"/>
      <c r="KG87" s="41"/>
      <c r="KH87" s="41"/>
      <c r="KI87" s="41"/>
      <c r="KJ87" s="41"/>
      <c r="KK87" s="41"/>
      <c r="KL87" s="41"/>
      <c r="KM87" s="41"/>
      <c r="KN87" s="41"/>
      <c r="KO87" s="41"/>
      <c r="KP87" s="41"/>
      <c r="KQ87" s="41"/>
      <c r="KR87" s="41"/>
      <c r="KS87" s="41"/>
      <c r="KT87" s="41"/>
      <c r="KU87" s="41"/>
      <c r="KV87" s="41"/>
      <c r="KW87" s="41"/>
      <c r="KX87" s="41"/>
      <c r="KY87" s="41"/>
      <c r="KZ87" s="41"/>
      <c r="LA87" s="41"/>
      <c r="LB87" s="41"/>
      <c r="LC87" s="41"/>
      <c r="LD87" s="41"/>
      <c r="LE87" s="41"/>
      <c r="LF87" s="41"/>
      <c r="LG87" s="41"/>
      <c r="LH87" s="41"/>
      <c r="LI87" s="41"/>
      <c r="LJ87" s="41"/>
      <c r="LK87" s="41"/>
      <c r="LL87" s="41"/>
      <c r="LM87" s="41"/>
      <c r="LN87" s="41"/>
      <c r="LO87" s="41"/>
      <c r="LP87" s="41"/>
      <c r="LQ87" s="41"/>
      <c r="LR87" s="41"/>
      <c r="LS87" s="41"/>
      <c r="LT87" s="41"/>
      <c r="LU87" s="41"/>
      <c r="LV87" s="41"/>
      <c r="LW87" s="41"/>
      <c r="LX87" s="41"/>
      <c r="LY87" s="41"/>
      <c r="LZ87" s="41"/>
      <c r="MA87" s="41"/>
      <c r="MB87" s="41"/>
      <c r="MC87" s="41"/>
      <c r="MD87" s="41"/>
      <c r="ME87" s="41"/>
      <c r="MF87" s="41"/>
      <c r="MG87" s="41"/>
      <c r="MH87" s="41"/>
      <c r="MI87" s="41"/>
      <c r="MJ87" s="41"/>
      <c r="MK87" s="41"/>
      <c r="ML87" s="41"/>
      <c r="MM87" s="41"/>
      <c r="MN87" s="41"/>
      <c r="MO87" s="41"/>
      <c r="MP87" s="41"/>
      <c r="MQ87" s="41"/>
      <c r="MR87" s="41"/>
      <c r="MS87" s="41"/>
      <c r="MT87" s="41"/>
      <c r="MU87" s="41"/>
      <c r="MV87" s="41"/>
      <c r="MW87" s="41"/>
      <c r="MX87" s="41"/>
      <c r="MY87" s="41"/>
      <c r="MZ87" s="41"/>
      <c r="NA87" s="41"/>
      <c r="NB87" s="41"/>
      <c r="NC87" s="41"/>
      <c r="ND87" s="41"/>
      <c r="NE87" s="41"/>
      <c r="NF87" s="41"/>
      <c r="NG87" s="41"/>
      <c r="NH87" s="41"/>
      <c r="NI87" s="41"/>
      <c r="NJ87" s="41"/>
      <c r="NK87" s="41"/>
      <c r="NL87" s="41"/>
      <c r="NM87" s="41"/>
      <c r="NN87" s="41"/>
      <c r="NO87" s="41"/>
      <c r="NP87" s="41"/>
      <c r="NQ87" s="41"/>
      <c r="NR87" s="41"/>
      <c r="NS87" s="41"/>
      <c r="NT87" s="41"/>
      <c r="NU87" s="41"/>
      <c r="NV87" s="41"/>
      <c r="NW87" s="41"/>
      <c r="NX87" s="41"/>
      <c r="NY87" s="41"/>
      <c r="NZ87" s="41"/>
      <c r="OA87" s="41"/>
      <c r="OB87" s="41"/>
      <c r="OC87" s="41"/>
      <c r="OD87" s="41"/>
      <c r="OE87" s="41"/>
      <c r="OF87" s="41"/>
      <c r="OG87" s="41"/>
      <c r="OH87" s="41"/>
      <c r="OI87" s="41"/>
      <c r="OJ87" s="41"/>
      <c r="OK87" s="41"/>
      <c r="OL87" s="41"/>
      <c r="OM87" s="41"/>
      <c r="ON87" s="41"/>
      <c r="OO87" s="41"/>
      <c r="OP87" s="41"/>
      <c r="OQ87" s="41"/>
      <c r="OR87" s="41"/>
      <c r="OS87" s="41"/>
      <c r="OT87" s="41"/>
      <c r="OU87" s="41"/>
      <c r="OV87" s="41"/>
      <c r="OW87" s="41"/>
      <c r="OX87" s="41"/>
      <c r="OY87" s="41"/>
      <c r="OZ87" s="41"/>
      <c r="PA87" s="41"/>
      <c r="PB87" s="41"/>
      <c r="PC87" s="41"/>
      <c r="PD87" s="41"/>
      <c r="PE87" s="41"/>
      <c r="PF87" s="41"/>
      <c r="PG87" s="41"/>
      <c r="PH87" s="41"/>
      <c r="PI87" s="41"/>
      <c r="PJ87" s="41"/>
      <c r="PK87" s="41"/>
      <c r="PL87" s="41"/>
      <c r="PM87" s="41"/>
      <c r="PN87" s="41"/>
      <c r="PO87" s="41"/>
      <c r="PP87" s="41"/>
      <c r="PQ87" s="41"/>
      <c r="PR87" s="41"/>
      <c r="PS87" s="41"/>
      <c r="PT87" s="41"/>
      <c r="PU87" s="41"/>
      <c r="PV87" s="41"/>
      <c r="PW87" s="41"/>
      <c r="PX87" s="41"/>
      <c r="PY87" s="41"/>
      <c r="PZ87" s="41"/>
      <c r="QA87" s="41"/>
      <c r="QB87" s="41"/>
      <c r="QC87" s="41"/>
      <c r="QD87" s="41"/>
      <c r="QE87" s="41"/>
      <c r="QF87" s="41"/>
      <c r="QG87" s="41"/>
      <c r="QH87" s="41"/>
      <c r="QI87" s="41"/>
      <c r="QJ87" s="41"/>
      <c r="QK87" s="41"/>
      <c r="QL87" s="41"/>
      <c r="QM87" s="41"/>
      <c r="QN87" s="41"/>
      <c r="QO87" s="41"/>
      <c r="QP87" s="41"/>
      <c r="QQ87" s="41"/>
      <c r="QR87" s="41"/>
      <c r="QS87" s="41"/>
      <c r="QT87" s="41"/>
      <c r="QU87" s="41"/>
      <c r="QV87" s="41"/>
      <c r="QW87" s="41"/>
      <c r="QX87" s="41"/>
      <c r="QY87" s="41"/>
      <c r="QZ87" s="41"/>
      <c r="RA87" s="41"/>
      <c r="RB87" s="41"/>
      <c r="RC87" s="41"/>
      <c r="RD87" s="41"/>
      <c r="RE87" s="41"/>
      <c r="RF87" s="41"/>
      <c r="RG87" s="41"/>
      <c r="RH87" s="41"/>
      <c r="RI87" s="41"/>
      <c r="RJ87" s="41"/>
      <c r="RK87" s="41"/>
      <c r="RL87" s="41"/>
      <c r="RM87" s="41"/>
      <c r="RN87" s="41"/>
      <c r="RO87" s="41"/>
      <c r="RP87" s="41"/>
      <c r="RQ87" s="41"/>
      <c r="RR87" s="41"/>
      <c r="RS87" s="41"/>
      <c r="RT87" s="41"/>
      <c r="RU87" s="41"/>
      <c r="RV87" s="41"/>
      <c r="RW87" s="41"/>
      <c r="RX87" s="41"/>
      <c r="RY87" s="41"/>
      <c r="RZ87" s="41"/>
      <c r="SA87" s="41"/>
      <c r="SB87" s="41"/>
      <c r="SC87" s="41"/>
      <c r="SD87" s="41"/>
      <c r="SE87" s="41"/>
      <c r="SF87" s="41"/>
      <c r="SG87" s="41"/>
      <c r="SH87" s="41"/>
      <c r="SI87" s="41"/>
      <c r="SJ87" s="41"/>
      <c r="SK87" s="41"/>
      <c r="SL87" s="41"/>
      <c r="SM87" s="41"/>
      <c r="SN87" s="41"/>
      <c r="SO87" s="41"/>
      <c r="SP87" s="41"/>
      <c r="SQ87" s="41"/>
      <c r="SR87" s="41"/>
      <c r="SS87" s="41"/>
      <c r="ST87" s="41"/>
      <c r="SU87" s="41"/>
      <c r="SV87" s="41"/>
      <c r="SW87" s="41"/>
      <c r="SX87" s="41"/>
      <c r="SY87" s="41"/>
      <c r="SZ87" s="41"/>
      <c r="TA87" s="41"/>
      <c r="TB87" s="41"/>
      <c r="TC87" s="41"/>
      <c r="TD87" s="41"/>
      <c r="TE87" s="41"/>
      <c r="TF87" s="41"/>
      <c r="TG87" s="41"/>
      <c r="TH87" s="41"/>
      <c r="TI87" s="41"/>
      <c r="TJ87" s="41"/>
      <c r="TK87" s="41"/>
      <c r="TL87" s="41"/>
      <c r="TM87" s="41"/>
      <c r="TN87" s="41"/>
      <c r="TO87" s="41"/>
      <c r="TP87" s="41"/>
      <c r="TQ87" s="41"/>
      <c r="TR87" s="41"/>
      <c r="TS87" s="41"/>
      <c r="TT87" s="41"/>
      <c r="TU87" s="41"/>
      <c r="TV87" s="41"/>
      <c r="TW87" s="41"/>
      <c r="TX87" s="41"/>
      <c r="TY87" s="41"/>
      <c r="TZ87" s="41"/>
      <c r="UA87" s="41"/>
      <c r="UB87" s="41"/>
      <c r="UC87" s="41"/>
      <c r="UD87" s="41"/>
      <c r="UE87" s="41"/>
      <c r="UF87" s="41"/>
      <c r="UG87" s="41"/>
      <c r="UH87" s="41"/>
      <c r="UI87" s="41"/>
      <c r="UJ87" s="41"/>
      <c r="UK87" s="41"/>
      <c r="UL87" s="41"/>
      <c r="UM87" s="41"/>
      <c r="UN87" s="41"/>
      <c r="UO87" s="41"/>
      <c r="UP87" s="41"/>
      <c r="UQ87" s="41"/>
      <c r="UR87" s="41"/>
      <c r="US87" s="41"/>
      <c r="UT87" s="41"/>
      <c r="UU87" s="41"/>
      <c r="UV87" s="41"/>
      <c r="UW87" s="41"/>
      <c r="UX87" s="41"/>
      <c r="UY87" s="41"/>
      <c r="UZ87" s="41"/>
      <c r="VA87" s="41"/>
      <c r="VB87" s="41"/>
      <c r="VC87" s="41"/>
      <c r="VD87" s="41"/>
      <c r="VE87" s="41"/>
      <c r="VF87" s="41"/>
      <c r="VG87" s="41"/>
      <c r="VH87" s="41"/>
      <c r="VI87" s="41"/>
      <c r="VJ87" s="41"/>
      <c r="VK87" s="41"/>
      <c r="VL87" s="41"/>
      <c r="VM87" s="41"/>
      <c r="VN87" s="41"/>
      <c r="VO87" s="41"/>
      <c r="VP87" s="41"/>
      <c r="VQ87" s="41"/>
      <c r="VR87" s="41"/>
      <c r="VS87" s="41"/>
      <c r="VT87" s="41"/>
      <c r="VU87" s="41"/>
      <c r="VV87" s="41"/>
      <c r="VW87" s="41"/>
      <c r="VX87" s="41"/>
      <c r="VY87" s="41"/>
      <c r="VZ87" s="41"/>
      <c r="WA87" s="41"/>
      <c r="WB87" s="41"/>
      <c r="WC87" s="41"/>
      <c r="WD87" s="41"/>
      <c r="WE87" s="41"/>
      <c r="WF87" s="41"/>
      <c r="WG87" s="41"/>
      <c r="WH87" s="41"/>
      <c r="WI87" s="41"/>
      <c r="WJ87" s="41"/>
      <c r="WK87" s="41"/>
      <c r="WL87" s="41"/>
      <c r="WM87" s="41"/>
      <c r="WN87" s="41"/>
      <c r="WO87" s="41"/>
      <c r="WP87" s="41"/>
      <c r="WQ87" s="41"/>
      <c r="WR87" s="41"/>
      <c r="WS87" s="41"/>
      <c r="WT87" s="41"/>
      <c r="WU87" s="41"/>
      <c r="WV87" s="41"/>
      <c r="WW87" s="41"/>
      <c r="WX87" s="41"/>
      <c r="WY87" s="41"/>
      <c r="WZ87" s="41"/>
      <c r="XA87" s="41"/>
      <c r="XB87" s="41"/>
      <c r="XC87" s="41"/>
      <c r="XD87" s="41"/>
      <c r="XE87" s="41"/>
      <c r="XF87" s="41"/>
      <c r="XG87" s="41"/>
      <c r="XH87" s="41"/>
      <c r="XI87" s="41"/>
      <c r="XJ87" s="41"/>
      <c r="XK87" s="41"/>
      <c r="XL87" s="41"/>
      <c r="XM87" s="41"/>
      <c r="XN87" s="41"/>
      <c r="XO87" s="41"/>
      <c r="XP87" s="41"/>
      <c r="XQ87" s="41"/>
      <c r="XR87" s="41"/>
      <c r="XS87" s="41"/>
      <c r="XT87" s="41"/>
      <c r="XU87" s="41"/>
      <c r="XV87" s="41"/>
      <c r="XW87" s="41"/>
      <c r="XX87" s="41"/>
      <c r="XY87" s="41"/>
      <c r="XZ87" s="41"/>
      <c r="YA87" s="41"/>
      <c r="YB87" s="41"/>
      <c r="YC87" s="41"/>
      <c r="YD87" s="41"/>
      <c r="YE87" s="41"/>
      <c r="YF87" s="41"/>
      <c r="YG87" s="41"/>
      <c r="YH87" s="41"/>
      <c r="YI87" s="41"/>
      <c r="YJ87" s="41"/>
      <c r="YK87" s="41"/>
      <c r="YL87" s="41"/>
      <c r="YM87" s="41"/>
      <c r="YN87" s="41"/>
      <c r="YO87" s="41"/>
      <c r="YP87" s="41"/>
      <c r="YQ87" s="41"/>
      <c r="YR87" s="41"/>
      <c r="YS87" s="41"/>
      <c r="YT87" s="41"/>
      <c r="YU87" s="41"/>
      <c r="YV87" s="41"/>
      <c r="YW87" s="41"/>
      <c r="YX87" s="41"/>
      <c r="YY87" s="41"/>
      <c r="YZ87" s="41"/>
      <c r="ZA87" s="41"/>
      <c r="ZB87" s="41"/>
      <c r="ZC87" s="41"/>
      <c r="ZD87" s="41"/>
      <c r="ZE87" s="41"/>
      <c r="ZF87" s="41"/>
      <c r="ZG87" s="41"/>
      <c r="ZH87" s="41"/>
      <c r="ZI87" s="41"/>
      <c r="ZJ87" s="41"/>
      <c r="ZK87" s="41"/>
      <c r="ZL87" s="41"/>
      <c r="ZM87" s="41"/>
      <c r="ZN87" s="41"/>
      <c r="ZO87" s="41"/>
      <c r="ZP87" s="41"/>
      <c r="ZQ87" s="41"/>
      <c r="ZR87" s="41"/>
      <c r="ZS87" s="41"/>
      <c r="ZT87" s="41"/>
      <c r="ZU87" s="41"/>
      <c r="ZV87" s="41"/>
      <c r="ZW87" s="41"/>
      <c r="ZX87" s="41"/>
      <c r="ZY87" s="41"/>
      <c r="ZZ87" s="41"/>
      <c r="AAA87" s="41"/>
      <c r="AAB87" s="41"/>
      <c r="AAC87" s="41"/>
    </row>
    <row r="88" spans="1:705" s="42" customFormat="1" ht="42" hidden="1" x14ac:dyDescent="0.3">
      <c r="A88" s="26">
        <v>84</v>
      </c>
      <c r="B88" s="137">
        <v>239847</v>
      </c>
      <c r="C88" s="138">
        <v>84</v>
      </c>
      <c r="D88" s="139">
        <v>45921</v>
      </c>
      <c r="E88" s="139">
        <f t="shared" si="13"/>
        <v>45920</v>
      </c>
      <c r="F88" s="139">
        <f t="shared" si="10"/>
        <v>45931</v>
      </c>
      <c r="G88" s="139">
        <v>45931</v>
      </c>
      <c r="H88" s="139">
        <v>45938</v>
      </c>
      <c r="I88" s="139" t="s">
        <v>75</v>
      </c>
      <c r="J88" s="140" t="s">
        <v>258</v>
      </c>
      <c r="K88" s="141">
        <f t="shared" si="14"/>
        <v>7</v>
      </c>
      <c r="L88" s="141">
        <v>1145829</v>
      </c>
      <c r="M88" s="140" t="s">
        <v>15</v>
      </c>
      <c r="N88" s="140">
        <v>804477</v>
      </c>
      <c r="O88" s="137" t="s">
        <v>246</v>
      </c>
      <c r="P88" s="143">
        <v>45931</v>
      </c>
      <c r="Q88" s="143">
        <v>45946</v>
      </c>
      <c r="R88" s="157" t="s">
        <v>211</v>
      </c>
      <c r="S88" s="144" t="s">
        <v>261</v>
      </c>
      <c r="T88" s="145">
        <v>1</v>
      </c>
      <c r="U88" s="137" t="s">
        <v>81</v>
      </c>
      <c r="V88" s="146">
        <v>5</v>
      </c>
      <c r="W88" s="146">
        <v>5</v>
      </c>
      <c r="X88" s="147">
        <v>0</v>
      </c>
      <c r="Y88" s="146">
        <v>0</v>
      </c>
      <c r="Z88" s="146">
        <v>0</v>
      </c>
      <c r="AA88" s="146">
        <v>0</v>
      </c>
      <c r="AB88" s="146">
        <v>5</v>
      </c>
      <c r="AC88" s="146">
        <v>5</v>
      </c>
      <c r="AD88" s="146">
        <v>0</v>
      </c>
      <c r="AE88" s="146">
        <v>0</v>
      </c>
      <c r="AF88" s="146">
        <v>0</v>
      </c>
      <c r="AG88" s="146">
        <v>0</v>
      </c>
      <c r="AH88" s="146">
        <v>1</v>
      </c>
      <c r="AI88" s="146">
        <v>1</v>
      </c>
      <c r="AJ88" s="146">
        <v>0</v>
      </c>
      <c r="AK88" s="146">
        <v>0</v>
      </c>
      <c r="AL88" s="146">
        <v>0</v>
      </c>
      <c r="AM88" s="146">
        <v>0</v>
      </c>
      <c r="AN88" s="146">
        <v>0</v>
      </c>
      <c r="AO88" s="146">
        <v>0</v>
      </c>
      <c r="AP88" s="146">
        <v>1</v>
      </c>
      <c r="AQ88" s="146">
        <v>1</v>
      </c>
      <c r="AR88" s="146">
        <v>0</v>
      </c>
      <c r="AS88" s="146">
        <v>0</v>
      </c>
      <c r="AT88" s="146">
        <v>1</v>
      </c>
      <c r="AU88" s="146">
        <v>1</v>
      </c>
      <c r="AV88" s="146">
        <v>0</v>
      </c>
      <c r="AW88" s="146">
        <v>0</v>
      </c>
      <c r="AX88" s="146">
        <f t="shared" si="11"/>
        <v>1735</v>
      </c>
      <c r="AY88" s="146">
        <f t="shared" si="12"/>
        <v>1735</v>
      </c>
      <c r="AZ88" s="140" t="s">
        <v>562</v>
      </c>
      <c r="BA88" s="137" t="s">
        <v>562</v>
      </c>
      <c r="BB88" s="137">
        <v>1</v>
      </c>
      <c r="BC88" s="148">
        <v>84</v>
      </c>
      <c r="BD88" s="149"/>
      <c r="BE88" s="145"/>
      <c r="BF88" s="150"/>
      <c r="BG88" s="151">
        <v>45931</v>
      </c>
      <c r="BH88" s="153" t="s">
        <v>535</v>
      </c>
      <c r="BI88" s="153" t="s">
        <v>562</v>
      </c>
      <c r="CC88" s="41"/>
      <c r="CD88" s="41"/>
      <c r="CE88" s="41"/>
      <c r="CF88" s="41"/>
      <c r="CG88" s="41"/>
      <c r="CH88" s="41"/>
      <c r="CI88" s="41"/>
      <c r="CJ88" s="41"/>
      <c r="CK88" s="41"/>
      <c r="CL88" s="41"/>
      <c r="CM88" s="41"/>
      <c r="CN88" s="41"/>
      <c r="CO88" s="41"/>
      <c r="CP88" s="41"/>
      <c r="CQ88" s="41"/>
      <c r="CR88" s="41"/>
      <c r="CS88" s="41"/>
      <c r="CT88" s="41"/>
      <c r="CU88" s="41"/>
      <c r="CV88" s="41"/>
      <c r="CW88" s="41"/>
      <c r="CX88" s="41"/>
      <c r="CY88" s="41"/>
      <c r="CZ88" s="41"/>
      <c r="DA88" s="41"/>
      <c r="DB88" s="41"/>
      <c r="DC88" s="41"/>
      <c r="DD88" s="41"/>
      <c r="DE88" s="41"/>
      <c r="DF88" s="41"/>
      <c r="DG88" s="41"/>
      <c r="DH88" s="41"/>
      <c r="DI88" s="41"/>
      <c r="DJ88" s="41"/>
      <c r="DK88" s="41"/>
      <c r="DL88" s="41"/>
      <c r="DM88" s="41"/>
      <c r="DN88" s="41"/>
      <c r="DO88" s="41"/>
      <c r="DP88" s="41"/>
      <c r="DQ88" s="41"/>
      <c r="DR88" s="41"/>
      <c r="DS88" s="41"/>
      <c r="DT88" s="41"/>
      <c r="DU88" s="41"/>
      <c r="DV88" s="41"/>
      <c r="DW88" s="41"/>
      <c r="DX88" s="41"/>
      <c r="DY88" s="41"/>
      <c r="DZ88" s="41"/>
      <c r="EA88" s="41"/>
      <c r="EB88" s="41"/>
      <c r="EC88" s="41"/>
      <c r="ED88" s="41"/>
      <c r="EE88" s="41"/>
      <c r="EF88" s="41"/>
      <c r="EG88" s="41"/>
      <c r="EH88" s="41"/>
      <c r="EI88" s="41"/>
      <c r="EJ88" s="41"/>
      <c r="EK88" s="41"/>
      <c r="EL88" s="41"/>
      <c r="EM88" s="41"/>
      <c r="EN88" s="41"/>
      <c r="EO88" s="41"/>
      <c r="EP88" s="41"/>
      <c r="EQ88" s="41"/>
      <c r="ER88" s="41"/>
      <c r="ES88" s="41"/>
      <c r="ET88" s="41"/>
      <c r="EU88" s="41"/>
      <c r="EV88" s="41"/>
      <c r="EW88" s="41"/>
      <c r="EX88" s="41"/>
      <c r="EY88" s="41"/>
      <c r="EZ88" s="41"/>
      <c r="FA88" s="41"/>
      <c r="FB88" s="41"/>
      <c r="FC88" s="41"/>
      <c r="FD88" s="41"/>
      <c r="FE88" s="41"/>
      <c r="FF88" s="41"/>
      <c r="FG88" s="41"/>
      <c r="FH88" s="41"/>
      <c r="FI88" s="41"/>
      <c r="FJ88" s="41"/>
      <c r="FK88" s="41"/>
      <c r="FL88" s="41"/>
      <c r="FM88" s="41"/>
      <c r="FN88" s="41"/>
      <c r="FO88" s="41"/>
      <c r="FP88" s="41"/>
      <c r="FQ88" s="41"/>
      <c r="FR88" s="41"/>
      <c r="FS88" s="41"/>
      <c r="FT88" s="41"/>
      <c r="FU88" s="41"/>
      <c r="FV88" s="41"/>
      <c r="FW88" s="41"/>
      <c r="FX88" s="41"/>
      <c r="FY88" s="41"/>
      <c r="FZ88" s="41"/>
      <c r="GA88" s="41"/>
      <c r="GB88" s="41"/>
      <c r="GC88" s="41"/>
      <c r="GD88" s="41"/>
      <c r="GE88" s="41"/>
      <c r="GF88" s="41"/>
      <c r="GG88" s="41"/>
      <c r="GH88" s="41"/>
      <c r="GI88" s="41"/>
      <c r="GJ88" s="41"/>
      <c r="GK88" s="41"/>
      <c r="GL88" s="41"/>
      <c r="GM88" s="41"/>
      <c r="GN88" s="41"/>
      <c r="GO88" s="41"/>
      <c r="GP88" s="41"/>
      <c r="GQ88" s="41"/>
      <c r="GR88" s="41"/>
      <c r="GS88" s="41"/>
      <c r="GT88" s="41"/>
      <c r="GU88" s="41"/>
      <c r="GV88" s="41"/>
      <c r="GW88" s="41"/>
      <c r="GX88" s="41"/>
      <c r="GY88" s="41"/>
      <c r="GZ88" s="41"/>
      <c r="HA88" s="41"/>
      <c r="HB88" s="41"/>
      <c r="HC88" s="41"/>
      <c r="HD88" s="41"/>
      <c r="HE88" s="41"/>
      <c r="HF88" s="41"/>
      <c r="HG88" s="41"/>
      <c r="HH88" s="41"/>
      <c r="HI88" s="41"/>
      <c r="HJ88" s="41"/>
      <c r="HK88" s="41"/>
      <c r="HL88" s="41"/>
      <c r="HM88" s="41"/>
      <c r="HN88" s="41"/>
      <c r="HO88" s="41"/>
      <c r="HP88" s="41"/>
      <c r="HQ88" s="41"/>
      <c r="HR88" s="41"/>
      <c r="HS88" s="41"/>
      <c r="HT88" s="41"/>
      <c r="HU88" s="41"/>
      <c r="HV88" s="41"/>
      <c r="HW88" s="41"/>
      <c r="HX88" s="41"/>
      <c r="HY88" s="41"/>
      <c r="HZ88" s="41"/>
      <c r="IA88" s="41"/>
      <c r="IB88" s="41"/>
      <c r="IC88" s="41"/>
      <c r="ID88" s="41"/>
      <c r="IE88" s="41"/>
      <c r="IF88" s="41"/>
      <c r="IG88" s="41"/>
      <c r="IH88" s="41"/>
      <c r="II88" s="41"/>
      <c r="IJ88" s="41"/>
      <c r="IK88" s="41"/>
      <c r="IL88" s="41"/>
      <c r="IM88" s="41"/>
      <c r="IN88" s="41"/>
      <c r="IO88" s="41"/>
      <c r="IP88" s="41"/>
      <c r="IQ88" s="41"/>
      <c r="IR88" s="41"/>
      <c r="IS88" s="41"/>
      <c r="IT88" s="41"/>
      <c r="IU88" s="41"/>
      <c r="IV88" s="41"/>
      <c r="IW88" s="41"/>
      <c r="IX88" s="41"/>
      <c r="IY88" s="41"/>
      <c r="IZ88" s="41"/>
      <c r="JA88" s="41"/>
      <c r="JB88" s="41"/>
      <c r="JC88" s="41"/>
      <c r="JD88" s="41"/>
      <c r="JE88" s="41"/>
      <c r="JF88" s="41"/>
      <c r="JG88" s="41"/>
      <c r="JH88" s="41"/>
      <c r="JI88" s="41"/>
      <c r="JJ88" s="41"/>
      <c r="JK88" s="41"/>
      <c r="JL88" s="41"/>
      <c r="JM88" s="41"/>
      <c r="JN88" s="41"/>
      <c r="JO88" s="41"/>
      <c r="JP88" s="41"/>
      <c r="JQ88" s="41"/>
      <c r="JR88" s="41"/>
      <c r="JS88" s="41"/>
      <c r="JT88" s="41"/>
      <c r="JU88" s="41"/>
      <c r="JV88" s="41"/>
      <c r="JW88" s="41"/>
      <c r="JX88" s="41"/>
      <c r="JY88" s="41"/>
      <c r="JZ88" s="41"/>
      <c r="KA88" s="41"/>
      <c r="KB88" s="41"/>
      <c r="KC88" s="41"/>
      <c r="KD88" s="41"/>
      <c r="KE88" s="41"/>
      <c r="KF88" s="41"/>
      <c r="KG88" s="41"/>
      <c r="KH88" s="41"/>
      <c r="KI88" s="41"/>
      <c r="KJ88" s="41"/>
      <c r="KK88" s="41"/>
      <c r="KL88" s="41"/>
      <c r="KM88" s="41"/>
      <c r="KN88" s="41"/>
      <c r="KO88" s="41"/>
      <c r="KP88" s="41"/>
      <c r="KQ88" s="41"/>
      <c r="KR88" s="41"/>
      <c r="KS88" s="41"/>
      <c r="KT88" s="41"/>
      <c r="KU88" s="41"/>
      <c r="KV88" s="41"/>
      <c r="KW88" s="41"/>
      <c r="KX88" s="41"/>
      <c r="KY88" s="41"/>
      <c r="KZ88" s="41"/>
      <c r="LA88" s="41"/>
      <c r="LB88" s="41"/>
      <c r="LC88" s="41"/>
      <c r="LD88" s="41"/>
      <c r="LE88" s="41"/>
      <c r="LF88" s="41"/>
      <c r="LG88" s="41"/>
      <c r="LH88" s="41"/>
      <c r="LI88" s="41"/>
      <c r="LJ88" s="41"/>
      <c r="LK88" s="41"/>
      <c r="LL88" s="41"/>
      <c r="LM88" s="41"/>
      <c r="LN88" s="41"/>
      <c r="LO88" s="41"/>
      <c r="LP88" s="41"/>
      <c r="LQ88" s="41"/>
      <c r="LR88" s="41"/>
      <c r="LS88" s="41"/>
      <c r="LT88" s="41"/>
      <c r="LU88" s="41"/>
      <c r="LV88" s="41"/>
      <c r="LW88" s="41"/>
      <c r="LX88" s="41"/>
      <c r="LY88" s="41"/>
      <c r="LZ88" s="41"/>
      <c r="MA88" s="41"/>
      <c r="MB88" s="41"/>
      <c r="MC88" s="41"/>
      <c r="MD88" s="41"/>
      <c r="ME88" s="41"/>
      <c r="MF88" s="41"/>
      <c r="MG88" s="41"/>
      <c r="MH88" s="41"/>
      <c r="MI88" s="41"/>
      <c r="MJ88" s="41"/>
      <c r="MK88" s="41"/>
      <c r="ML88" s="41"/>
      <c r="MM88" s="41"/>
      <c r="MN88" s="41"/>
      <c r="MO88" s="41"/>
      <c r="MP88" s="41"/>
      <c r="MQ88" s="41"/>
      <c r="MR88" s="41"/>
      <c r="MS88" s="41"/>
      <c r="MT88" s="41"/>
      <c r="MU88" s="41"/>
      <c r="MV88" s="41"/>
      <c r="MW88" s="41"/>
      <c r="MX88" s="41"/>
      <c r="MY88" s="41"/>
      <c r="MZ88" s="41"/>
      <c r="NA88" s="41"/>
      <c r="NB88" s="41"/>
      <c r="NC88" s="41"/>
      <c r="ND88" s="41"/>
      <c r="NE88" s="41"/>
      <c r="NF88" s="41"/>
      <c r="NG88" s="41"/>
      <c r="NH88" s="41"/>
      <c r="NI88" s="41"/>
      <c r="NJ88" s="41"/>
      <c r="NK88" s="41"/>
      <c r="NL88" s="41"/>
      <c r="NM88" s="41"/>
      <c r="NN88" s="41"/>
      <c r="NO88" s="41"/>
      <c r="NP88" s="41"/>
      <c r="NQ88" s="41"/>
      <c r="NR88" s="41"/>
      <c r="NS88" s="41"/>
      <c r="NT88" s="41"/>
      <c r="NU88" s="41"/>
      <c r="NV88" s="41"/>
      <c r="NW88" s="41"/>
      <c r="NX88" s="41"/>
      <c r="NY88" s="41"/>
      <c r="NZ88" s="41"/>
      <c r="OA88" s="41"/>
      <c r="OB88" s="41"/>
      <c r="OC88" s="41"/>
      <c r="OD88" s="41"/>
      <c r="OE88" s="41"/>
      <c r="OF88" s="41"/>
      <c r="OG88" s="41"/>
      <c r="OH88" s="41"/>
      <c r="OI88" s="41"/>
      <c r="OJ88" s="41"/>
      <c r="OK88" s="41"/>
      <c r="OL88" s="41"/>
      <c r="OM88" s="41"/>
      <c r="ON88" s="41"/>
      <c r="OO88" s="41"/>
      <c r="OP88" s="41"/>
      <c r="OQ88" s="41"/>
      <c r="OR88" s="41"/>
      <c r="OS88" s="41"/>
      <c r="OT88" s="41"/>
      <c r="OU88" s="41"/>
      <c r="OV88" s="41"/>
      <c r="OW88" s="41"/>
      <c r="OX88" s="41"/>
      <c r="OY88" s="41"/>
      <c r="OZ88" s="41"/>
      <c r="PA88" s="41"/>
      <c r="PB88" s="41"/>
      <c r="PC88" s="41"/>
      <c r="PD88" s="41"/>
      <c r="PE88" s="41"/>
      <c r="PF88" s="41"/>
      <c r="PG88" s="41"/>
      <c r="PH88" s="41"/>
      <c r="PI88" s="41"/>
      <c r="PJ88" s="41"/>
      <c r="PK88" s="41"/>
      <c r="PL88" s="41"/>
      <c r="PM88" s="41"/>
      <c r="PN88" s="41"/>
      <c r="PO88" s="41"/>
      <c r="PP88" s="41"/>
      <c r="PQ88" s="41"/>
      <c r="PR88" s="41"/>
      <c r="PS88" s="41"/>
      <c r="PT88" s="41"/>
      <c r="PU88" s="41"/>
      <c r="PV88" s="41"/>
      <c r="PW88" s="41"/>
      <c r="PX88" s="41"/>
      <c r="PY88" s="41"/>
      <c r="PZ88" s="41"/>
      <c r="QA88" s="41"/>
      <c r="QB88" s="41"/>
      <c r="QC88" s="41"/>
      <c r="QD88" s="41"/>
      <c r="QE88" s="41"/>
      <c r="QF88" s="41"/>
      <c r="QG88" s="41"/>
      <c r="QH88" s="41"/>
      <c r="QI88" s="41"/>
      <c r="QJ88" s="41"/>
      <c r="QK88" s="41"/>
      <c r="QL88" s="41"/>
      <c r="QM88" s="41"/>
      <c r="QN88" s="41"/>
      <c r="QO88" s="41"/>
      <c r="QP88" s="41"/>
      <c r="QQ88" s="41"/>
      <c r="QR88" s="41"/>
      <c r="QS88" s="41"/>
      <c r="QT88" s="41"/>
      <c r="QU88" s="41"/>
      <c r="QV88" s="41"/>
      <c r="QW88" s="41"/>
      <c r="QX88" s="41"/>
      <c r="QY88" s="41"/>
      <c r="QZ88" s="41"/>
      <c r="RA88" s="41"/>
      <c r="RB88" s="41"/>
      <c r="RC88" s="41"/>
      <c r="RD88" s="41"/>
      <c r="RE88" s="41"/>
      <c r="RF88" s="41"/>
      <c r="RG88" s="41"/>
      <c r="RH88" s="41"/>
      <c r="RI88" s="41"/>
      <c r="RJ88" s="41"/>
      <c r="RK88" s="41"/>
      <c r="RL88" s="41"/>
      <c r="RM88" s="41"/>
      <c r="RN88" s="41"/>
      <c r="RO88" s="41"/>
      <c r="RP88" s="41"/>
      <c r="RQ88" s="41"/>
      <c r="RR88" s="41"/>
      <c r="RS88" s="41"/>
      <c r="RT88" s="41"/>
      <c r="RU88" s="41"/>
      <c r="RV88" s="41"/>
      <c r="RW88" s="41"/>
      <c r="RX88" s="41"/>
      <c r="RY88" s="41"/>
      <c r="RZ88" s="41"/>
      <c r="SA88" s="41"/>
      <c r="SB88" s="41"/>
      <c r="SC88" s="41"/>
      <c r="SD88" s="41"/>
      <c r="SE88" s="41"/>
      <c r="SF88" s="41"/>
      <c r="SG88" s="41"/>
      <c r="SH88" s="41"/>
      <c r="SI88" s="41"/>
      <c r="SJ88" s="41"/>
      <c r="SK88" s="41"/>
      <c r="SL88" s="41"/>
      <c r="SM88" s="41"/>
      <c r="SN88" s="41"/>
      <c r="SO88" s="41"/>
      <c r="SP88" s="41"/>
      <c r="SQ88" s="41"/>
      <c r="SR88" s="41"/>
      <c r="SS88" s="41"/>
      <c r="ST88" s="41"/>
      <c r="SU88" s="41"/>
      <c r="SV88" s="41"/>
      <c r="SW88" s="41"/>
      <c r="SX88" s="41"/>
      <c r="SY88" s="41"/>
      <c r="SZ88" s="41"/>
      <c r="TA88" s="41"/>
      <c r="TB88" s="41"/>
      <c r="TC88" s="41"/>
      <c r="TD88" s="41"/>
      <c r="TE88" s="41"/>
      <c r="TF88" s="41"/>
      <c r="TG88" s="41"/>
      <c r="TH88" s="41"/>
      <c r="TI88" s="41"/>
      <c r="TJ88" s="41"/>
      <c r="TK88" s="41"/>
      <c r="TL88" s="41"/>
      <c r="TM88" s="41"/>
      <c r="TN88" s="41"/>
      <c r="TO88" s="41"/>
      <c r="TP88" s="41"/>
      <c r="TQ88" s="41"/>
      <c r="TR88" s="41"/>
      <c r="TS88" s="41"/>
      <c r="TT88" s="41"/>
      <c r="TU88" s="41"/>
      <c r="TV88" s="41"/>
      <c r="TW88" s="41"/>
      <c r="TX88" s="41"/>
      <c r="TY88" s="41"/>
      <c r="TZ88" s="41"/>
      <c r="UA88" s="41"/>
      <c r="UB88" s="41"/>
      <c r="UC88" s="41"/>
      <c r="UD88" s="41"/>
      <c r="UE88" s="41"/>
      <c r="UF88" s="41"/>
      <c r="UG88" s="41"/>
      <c r="UH88" s="41"/>
      <c r="UI88" s="41"/>
      <c r="UJ88" s="41"/>
      <c r="UK88" s="41"/>
      <c r="UL88" s="41"/>
      <c r="UM88" s="41"/>
      <c r="UN88" s="41"/>
      <c r="UO88" s="41"/>
      <c r="UP88" s="41"/>
      <c r="UQ88" s="41"/>
      <c r="UR88" s="41"/>
      <c r="US88" s="41"/>
      <c r="UT88" s="41"/>
      <c r="UU88" s="41"/>
      <c r="UV88" s="41"/>
      <c r="UW88" s="41"/>
      <c r="UX88" s="41"/>
      <c r="UY88" s="41"/>
      <c r="UZ88" s="41"/>
      <c r="VA88" s="41"/>
      <c r="VB88" s="41"/>
      <c r="VC88" s="41"/>
      <c r="VD88" s="41"/>
      <c r="VE88" s="41"/>
      <c r="VF88" s="41"/>
      <c r="VG88" s="41"/>
      <c r="VH88" s="41"/>
      <c r="VI88" s="41"/>
      <c r="VJ88" s="41"/>
      <c r="VK88" s="41"/>
      <c r="VL88" s="41"/>
      <c r="VM88" s="41"/>
      <c r="VN88" s="41"/>
      <c r="VO88" s="41"/>
      <c r="VP88" s="41"/>
      <c r="VQ88" s="41"/>
      <c r="VR88" s="41"/>
      <c r="VS88" s="41"/>
      <c r="VT88" s="41"/>
      <c r="VU88" s="41"/>
      <c r="VV88" s="41"/>
      <c r="VW88" s="41"/>
      <c r="VX88" s="41"/>
      <c r="VY88" s="41"/>
      <c r="VZ88" s="41"/>
      <c r="WA88" s="41"/>
      <c r="WB88" s="41"/>
      <c r="WC88" s="41"/>
      <c r="WD88" s="41"/>
      <c r="WE88" s="41"/>
      <c r="WF88" s="41"/>
      <c r="WG88" s="41"/>
      <c r="WH88" s="41"/>
      <c r="WI88" s="41"/>
      <c r="WJ88" s="41"/>
      <c r="WK88" s="41"/>
      <c r="WL88" s="41"/>
      <c r="WM88" s="41"/>
      <c r="WN88" s="41"/>
      <c r="WO88" s="41"/>
      <c r="WP88" s="41"/>
      <c r="WQ88" s="41"/>
      <c r="WR88" s="41"/>
      <c r="WS88" s="41"/>
      <c r="WT88" s="41"/>
      <c r="WU88" s="41"/>
      <c r="WV88" s="41"/>
      <c r="WW88" s="41"/>
      <c r="WX88" s="41"/>
      <c r="WY88" s="41"/>
      <c r="WZ88" s="41"/>
      <c r="XA88" s="41"/>
      <c r="XB88" s="41"/>
      <c r="XC88" s="41"/>
      <c r="XD88" s="41"/>
      <c r="XE88" s="41"/>
      <c r="XF88" s="41"/>
      <c r="XG88" s="41"/>
      <c r="XH88" s="41"/>
      <c r="XI88" s="41"/>
      <c r="XJ88" s="41"/>
      <c r="XK88" s="41"/>
      <c r="XL88" s="41"/>
      <c r="XM88" s="41"/>
      <c r="XN88" s="41"/>
      <c r="XO88" s="41"/>
      <c r="XP88" s="41"/>
      <c r="XQ88" s="41"/>
      <c r="XR88" s="41"/>
      <c r="XS88" s="41"/>
      <c r="XT88" s="41"/>
      <c r="XU88" s="41"/>
      <c r="XV88" s="41"/>
      <c r="XW88" s="41"/>
      <c r="XX88" s="41"/>
      <c r="XY88" s="41"/>
      <c r="XZ88" s="41"/>
      <c r="YA88" s="41"/>
      <c r="YB88" s="41"/>
      <c r="YC88" s="41"/>
      <c r="YD88" s="41"/>
      <c r="YE88" s="41"/>
      <c r="YF88" s="41"/>
      <c r="YG88" s="41"/>
      <c r="YH88" s="41"/>
      <c r="YI88" s="41"/>
      <c r="YJ88" s="41"/>
      <c r="YK88" s="41"/>
      <c r="YL88" s="41"/>
      <c r="YM88" s="41"/>
      <c r="YN88" s="41"/>
      <c r="YO88" s="41"/>
      <c r="YP88" s="41"/>
      <c r="YQ88" s="41"/>
      <c r="YR88" s="41"/>
      <c r="YS88" s="41"/>
      <c r="YT88" s="41"/>
      <c r="YU88" s="41"/>
      <c r="YV88" s="41"/>
      <c r="YW88" s="41"/>
      <c r="YX88" s="41"/>
      <c r="YY88" s="41"/>
      <c r="YZ88" s="41"/>
      <c r="ZA88" s="41"/>
      <c r="ZB88" s="41"/>
      <c r="ZC88" s="41"/>
      <c r="ZD88" s="41"/>
      <c r="ZE88" s="41"/>
      <c r="ZF88" s="41"/>
      <c r="ZG88" s="41"/>
      <c r="ZH88" s="41"/>
      <c r="ZI88" s="41"/>
      <c r="ZJ88" s="41"/>
      <c r="ZK88" s="41"/>
      <c r="ZL88" s="41"/>
      <c r="ZM88" s="41"/>
      <c r="ZN88" s="41"/>
      <c r="ZO88" s="41"/>
      <c r="ZP88" s="41"/>
      <c r="ZQ88" s="41"/>
      <c r="ZR88" s="41"/>
      <c r="ZS88" s="41"/>
      <c r="ZT88" s="41"/>
      <c r="ZU88" s="41"/>
      <c r="ZV88" s="41"/>
      <c r="ZW88" s="41"/>
      <c r="ZX88" s="41"/>
      <c r="ZY88" s="41"/>
      <c r="ZZ88" s="41"/>
      <c r="AAA88" s="41"/>
      <c r="AAB88" s="41"/>
      <c r="AAC88" s="41"/>
    </row>
    <row r="89" spans="1:705" s="108" customFormat="1" ht="42" hidden="1" x14ac:dyDescent="0.3">
      <c r="A89" s="26">
        <v>85</v>
      </c>
      <c r="B89" s="137">
        <v>239848</v>
      </c>
      <c r="C89" s="138">
        <v>85</v>
      </c>
      <c r="D89" s="139">
        <v>45921</v>
      </c>
      <c r="E89" s="139">
        <f t="shared" si="13"/>
        <v>45920</v>
      </c>
      <c r="F89" s="139">
        <f t="shared" si="10"/>
        <v>45931</v>
      </c>
      <c r="G89" s="139">
        <v>45931</v>
      </c>
      <c r="H89" s="139">
        <v>45936</v>
      </c>
      <c r="I89" s="139" t="s">
        <v>75</v>
      </c>
      <c r="J89" s="140" t="s">
        <v>259</v>
      </c>
      <c r="K89" s="141">
        <f t="shared" si="14"/>
        <v>5</v>
      </c>
      <c r="L89" s="141">
        <v>1145857</v>
      </c>
      <c r="M89" s="140" t="s">
        <v>15</v>
      </c>
      <c r="N89" s="140">
        <v>804177</v>
      </c>
      <c r="O89" s="137" t="s">
        <v>246</v>
      </c>
      <c r="P89" s="143">
        <v>45929</v>
      </c>
      <c r="Q89" s="143">
        <v>45943</v>
      </c>
      <c r="R89" s="157" t="s">
        <v>211</v>
      </c>
      <c r="S89" s="144" t="s">
        <v>262</v>
      </c>
      <c r="T89" s="145">
        <v>1</v>
      </c>
      <c r="U89" s="137" t="s">
        <v>169</v>
      </c>
      <c r="V89" s="146">
        <v>14</v>
      </c>
      <c r="W89" s="146">
        <v>14</v>
      </c>
      <c r="X89" s="147">
        <v>0</v>
      </c>
      <c r="Y89" s="146">
        <v>0</v>
      </c>
      <c r="Z89" s="146">
        <v>0</v>
      </c>
      <c r="AA89" s="146">
        <v>0</v>
      </c>
      <c r="AB89" s="146">
        <v>0</v>
      </c>
      <c r="AC89" s="146"/>
      <c r="AD89" s="146">
        <v>0</v>
      </c>
      <c r="AE89" s="146">
        <v>0</v>
      </c>
      <c r="AF89" s="146">
        <v>0</v>
      </c>
      <c r="AG89" s="146">
        <v>0</v>
      </c>
      <c r="AH89" s="146">
        <v>1</v>
      </c>
      <c r="AI89" s="146">
        <v>1</v>
      </c>
      <c r="AJ89" s="146">
        <v>0</v>
      </c>
      <c r="AK89" s="146">
        <v>0</v>
      </c>
      <c r="AL89" s="146">
        <v>0</v>
      </c>
      <c r="AM89" s="146">
        <v>0</v>
      </c>
      <c r="AN89" s="146">
        <v>0</v>
      </c>
      <c r="AO89" s="146">
        <v>0</v>
      </c>
      <c r="AP89" s="146">
        <v>1</v>
      </c>
      <c r="AQ89" s="146">
        <v>1</v>
      </c>
      <c r="AR89" s="146">
        <v>0</v>
      </c>
      <c r="AS89" s="146">
        <v>0</v>
      </c>
      <c r="AT89" s="146">
        <v>1</v>
      </c>
      <c r="AU89" s="146">
        <v>1</v>
      </c>
      <c r="AV89" s="146">
        <v>0</v>
      </c>
      <c r="AW89" s="146">
        <v>0</v>
      </c>
      <c r="AX89" s="146">
        <f t="shared" si="11"/>
        <v>1990</v>
      </c>
      <c r="AY89" s="146">
        <f t="shared" si="12"/>
        <v>1990</v>
      </c>
      <c r="AZ89" s="140" t="s">
        <v>562</v>
      </c>
      <c r="BA89" s="137" t="s">
        <v>562</v>
      </c>
      <c r="BB89" s="137">
        <v>2</v>
      </c>
      <c r="BC89" s="148">
        <v>85</v>
      </c>
      <c r="BD89" s="149"/>
      <c r="BE89" s="145"/>
      <c r="BF89" s="150"/>
      <c r="BG89" s="151">
        <v>45931</v>
      </c>
      <c r="BH89" s="153" t="s">
        <v>535</v>
      </c>
      <c r="BI89" s="153" t="s">
        <v>562</v>
      </c>
      <c r="BJ89" s="42"/>
      <c r="BK89" s="42"/>
      <c r="BL89" s="42"/>
      <c r="BM89" s="42"/>
      <c r="BN89" s="42"/>
      <c r="BO89" s="42"/>
      <c r="BP89" s="42"/>
      <c r="BQ89" s="42"/>
      <c r="BR89" s="42"/>
      <c r="BS89" s="42"/>
      <c r="BT89" s="42"/>
      <c r="BU89" s="42"/>
      <c r="BV89" s="42"/>
      <c r="BW89" s="42"/>
      <c r="BX89" s="42"/>
      <c r="BY89" s="42"/>
      <c r="BZ89" s="42"/>
      <c r="CA89" s="42"/>
      <c r="CB89" s="42"/>
      <c r="CC89" s="42"/>
      <c r="CD89" s="42"/>
      <c r="CE89" s="42"/>
      <c r="CF89" s="42"/>
      <c r="CG89" s="42"/>
      <c r="CH89" s="42"/>
      <c r="CI89" s="42"/>
      <c r="CJ89" s="42"/>
      <c r="CK89" s="42"/>
      <c r="CL89" s="42"/>
      <c r="CM89" s="42"/>
      <c r="CN89" s="42"/>
      <c r="CO89" s="42"/>
      <c r="CP89" s="42"/>
      <c r="CQ89" s="42"/>
      <c r="CR89" s="42"/>
      <c r="CS89" s="42"/>
      <c r="CT89" s="42"/>
      <c r="CU89" s="42"/>
      <c r="CV89" s="42"/>
      <c r="CW89" s="42"/>
      <c r="CX89" s="42"/>
      <c r="CY89" s="42"/>
      <c r="CZ89" s="42"/>
      <c r="DA89" s="42"/>
      <c r="DB89" s="42"/>
      <c r="DC89" s="42"/>
      <c r="DD89" s="42"/>
      <c r="DE89" s="42"/>
      <c r="DF89" s="42"/>
      <c r="DG89" s="42"/>
      <c r="DH89" s="42"/>
      <c r="DI89" s="42"/>
      <c r="DJ89" s="42"/>
      <c r="DK89" s="42"/>
      <c r="DL89" s="42"/>
      <c r="DM89" s="42"/>
      <c r="DN89" s="42"/>
      <c r="DO89" s="42"/>
      <c r="DP89" s="42"/>
      <c r="DQ89" s="42"/>
      <c r="DR89" s="42"/>
      <c r="DS89" s="42"/>
      <c r="DT89" s="42"/>
      <c r="DU89" s="42"/>
      <c r="DV89" s="42"/>
      <c r="DW89" s="42"/>
      <c r="DX89" s="42"/>
      <c r="DY89" s="42"/>
      <c r="DZ89" s="42"/>
      <c r="EA89" s="42"/>
      <c r="EB89" s="42"/>
      <c r="EC89" s="42"/>
      <c r="ED89" s="42"/>
      <c r="EE89" s="42"/>
      <c r="EF89" s="42"/>
      <c r="EG89" s="42"/>
      <c r="EH89" s="42"/>
      <c r="EI89" s="42"/>
      <c r="EJ89" s="42"/>
      <c r="EK89" s="42"/>
      <c r="EL89" s="42"/>
      <c r="EM89" s="42"/>
      <c r="EN89" s="42"/>
      <c r="EO89" s="42"/>
      <c r="EP89" s="42"/>
      <c r="EQ89" s="42"/>
      <c r="ER89" s="42"/>
      <c r="ES89" s="42"/>
      <c r="ET89" s="42"/>
      <c r="EU89" s="42"/>
      <c r="EV89" s="42"/>
      <c r="EW89" s="42"/>
      <c r="EX89" s="42"/>
      <c r="EY89" s="42"/>
      <c r="EZ89" s="42"/>
      <c r="FA89" s="42"/>
      <c r="FB89" s="42"/>
      <c r="FC89" s="42"/>
      <c r="FD89" s="42"/>
      <c r="FE89" s="42"/>
      <c r="FF89" s="42"/>
      <c r="FG89" s="42"/>
      <c r="FH89" s="42"/>
      <c r="FI89" s="42"/>
      <c r="FJ89" s="42"/>
      <c r="FK89" s="42"/>
      <c r="FL89" s="42"/>
      <c r="FM89" s="42"/>
      <c r="FN89" s="42"/>
      <c r="FO89" s="42"/>
      <c r="FP89" s="42"/>
      <c r="FQ89" s="42"/>
      <c r="FR89" s="42"/>
      <c r="FS89" s="42"/>
      <c r="FT89" s="42"/>
      <c r="FU89" s="42"/>
      <c r="FV89" s="42"/>
      <c r="FW89" s="42"/>
      <c r="FX89" s="42"/>
      <c r="FY89" s="42"/>
      <c r="FZ89" s="42"/>
      <c r="GA89" s="42"/>
      <c r="GB89" s="42"/>
      <c r="GC89" s="42"/>
      <c r="GD89" s="42"/>
      <c r="GE89" s="42"/>
      <c r="GF89" s="42"/>
      <c r="GG89" s="42"/>
      <c r="GH89" s="42"/>
      <c r="GI89" s="42"/>
      <c r="GJ89" s="42"/>
      <c r="GK89" s="42"/>
      <c r="GL89" s="42"/>
      <c r="GM89" s="42"/>
      <c r="GN89" s="42"/>
      <c r="GO89" s="42"/>
      <c r="GP89" s="42"/>
      <c r="GQ89" s="42"/>
      <c r="GR89" s="42"/>
      <c r="GS89" s="42"/>
      <c r="GT89" s="42"/>
      <c r="GU89" s="42"/>
      <c r="GV89" s="42"/>
      <c r="GW89" s="42"/>
      <c r="GX89" s="42"/>
      <c r="GY89" s="42"/>
      <c r="GZ89" s="42"/>
      <c r="HA89" s="42"/>
      <c r="HB89" s="42"/>
      <c r="HC89" s="42"/>
      <c r="HD89" s="42"/>
      <c r="HE89" s="42"/>
      <c r="HF89" s="42"/>
      <c r="HG89" s="42"/>
      <c r="HH89" s="42"/>
      <c r="HI89" s="42"/>
      <c r="HJ89" s="42"/>
      <c r="HK89" s="42"/>
      <c r="HL89" s="42"/>
      <c r="HM89" s="42"/>
      <c r="HN89" s="42"/>
      <c r="HO89" s="42"/>
      <c r="HP89" s="42"/>
      <c r="HQ89" s="42"/>
      <c r="HR89" s="42"/>
      <c r="HS89" s="42"/>
      <c r="HT89" s="42"/>
      <c r="HU89" s="42"/>
      <c r="HV89" s="42"/>
      <c r="HW89" s="42"/>
      <c r="HX89" s="42"/>
      <c r="HY89" s="42"/>
      <c r="HZ89" s="42"/>
      <c r="IA89" s="42"/>
      <c r="IB89" s="42"/>
      <c r="IC89" s="42"/>
      <c r="ID89" s="42"/>
      <c r="IE89" s="42"/>
      <c r="IF89" s="42"/>
      <c r="IG89" s="42"/>
      <c r="IH89" s="42"/>
      <c r="II89" s="42"/>
      <c r="IJ89" s="42"/>
      <c r="IK89" s="42"/>
      <c r="IL89" s="42"/>
      <c r="IM89" s="42"/>
      <c r="IN89" s="42"/>
      <c r="IO89" s="42"/>
      <c r="IP89" s="42"/>
      <c r="IQ89" s="42"/>
      <c r="IR89" s="42"/>
      <c r="IS89" s="42"/>
      <c r="IT89" s="42"/>
      <c r="IU89" s="42"/>
      <c r="IV89" s="42"/>
      <c r="IW89" s="42"/>
      <c r="IX89" s="42"/>
      <c r="IY89" s="42"/>
      <c r="IZ89" s="42"/>
      <c r="JA89" s="42"/>
      <c r="JB89" s="42"/>
      <c r="JC89" s="42"/>
      <c r="JD89" s="42"/>
      <c r="JE89" s="42"/>
      <c r="JF89" s="42"/>
      <c r="JG89" s="42"/>
      <c r="JH89" s="42"/>
      <c r="JI89" s="42"/>
      <c r="JJ89" s="42"/>
      <c r="JK89" s="42"/>
      <c r="JL89" s="42"/>
      <c r="JM89" s="42"/>
      <c r="JN89" s="42"/>
      <c r="JO89" s="42"/>
      <c r="JP89" s="42"/>
      <c r="JQ89" s="42"/>
      <c r="JR89" s="42"/>
      <c r="JS89" s="42"/>
      <c r="JT89" s="42"/>
      <c r="JU89" s="42"/>
      <c r="JV89" s="42"/>
      <c r="JW89" s="42"/>
      <c r="JX89" s="42"/>
      <c r="JY89" s="42"/>
      <c r="JZ89" s="42"/>
      <c r="KA89" s="42"/>
      <c r="KB89" s="42"/>
      <c r="KC89" s="42"/>
      <c r="KD89" s="42"/>
      <c r="KE89" s="42"/>
      <c r="KF89" s="42"/>
      <c r="KG89" s="42"/>
      <c r="KH89" s="42"/>
      <c r="KI89" s="42"/>
      <c r="KJ89" s="42"/>
      <c r="KK89" s="42"/>
      <c r="KL89" s="42"/>
      <c r="KM89" s="42"/>
      <c r="KN89" s="42"/>
      <c r="KO89" s="42"/>
      <c r="KP89" s="42"/>
      <c r="KQ89" s="42"/>
      <c r="KR89" s="42"/>
      <c r="KS89" s="42"/>
      <c r="KT89" s="42"/>
      <c r="KU89" s="42"/>
      <c r="KV89" s="42"/>
      <c r="KW89" s="42"/>
      <c r="KX89" s="42"/>
      <c r="KY89" s="42"/>
      <c r="KZ89" s="42"/>
      <c r="LA89" s="42"/>
      <c r="LB89" s="42"/>
      <c r="LC89" s="42"/>
      <c r="LD89" s="42"/>
      <c r="LE89" s="42"/>
      <c r="LF89" s="42"/>
      <c r="LG89" s="42"/>
      <c r="LH89" s="42"/>
      <c r="LI89" s="42"/>
      <c r="LJ89" s="42"/>
      <c r="LK89" s="42"/>
      <c r="LL89" s="42"/>
      <c r="LM89" s="42"/>
      <c r="LN89" s="42"/>
      <c r="LO89" s="42"/>
      <c r="LP89" s="42"/>
      <c r="LQ89" s="42"/>
      <c r="LR89" s="42"/>
      <c r="LS89" s="42"/>
      <c r="LT89" s="42"/>
      <c r="LU89" s="42"/>
      <c r="LV89" s="42"/>
      <c r="LW89" s="42"/>
      <c r="LX89" s="42"/>
      <c r="LY89" s="42"/>
      <c r="LZ89" s="42"/>
      <c r="MA89" s="42"/>
      <c r="MB89" s="42"/>
      <c r="MC89" s="42"/>
      <c r="MD89" s="42"/>
      <c r="ME89" s="42"/>
      <c r="MF89" s="42"/>
      <c r="MG89" s="42"/>
      <c r="MH89" s="42"/>
      <c r="MI89" s="42"/>
      <c r="MJ89" s="42"/>
      <c r="MK89" s="42"/>
      <c r="ML89" s="42"/>
      <c r="MM89" s="42"/>
      <c r="MN89" s="42"/>
      <c r="MO89" s="42"/>
      <c r="MP89" s="42"/>
      <c r="MQ89" s="42"/>
      <c r="MR89" s="42"/>
      <c r="MS89" s="42"/>
      <c r="MT89" s="42"/>
      <c r="MU89" s="42"/>
      <c r="MV89" s="42"/>
      <c r="MW89" s="42"/>
      <c r="MX89" s="42"/>
      <c r="MY89" s="42"/>
      <c r="MZ89" s="42"/>
      <c r="NA89" s="42"/>
      <c r="NB89" s="42"/>
      <c r="NC89" s="42"/>
      <c r="ND89" s="42"/>
      <c r="NE89" s="42"/>
      <c r="NF89" s="42"/>
      <c r="NG89" s="42"/>
      <c r="NH89" s="42"/>
      <c r="NI89" s="42"/>
      <c r="NJ89" s="42"/>
      <c r="NK89" s="42"/>
      <c r="NL89" s="42"/>
      <c r="NM89" s="42"/>
      <c r="NN89" s="42"/>
      <c r="NO89" s="42"/>
      <c r="NP89" s="42"/>
      <c r="NQ89" s="42"/>
      <c r="NR89" s="42"/>
      <c r="NS89" s="42"/>
      <c r="NT89" s="42"/>
      <c r="NU89" s="42"/>
      <c r="NV89" s="42"/>
      <c r="NW89" s="42"/>
      <c r="NX89" s="42"/>
      <c r="NY89" s="42"/>
      <c r="NZ89" s="42"/>
      <c r="OA89" s="42"/>
      <c r="OB89" s="42"/>
      <c r="OC89" s="42"/>
      <c r="OD89" s="42"/>
      <c r="OE89" s="42"/>
      <c r="OF89" s="42"/>
      <c r="OG89" s="42"/>
      <c r="OH89" s="42"/>
      <c r="OI89" s="42"/>
      <c r="OJ89" s="42"/>
      <c r="OK89" s="42"/>
      <c r="OL89" s="42"/>
      <c r="OM89" s="42"/>
      <c r="ON89" s="42"/>
      <c r="OO89" s="42"/>
      <c r="OP89" s="42"/>
      <c r="OQ89" s="42"/>
      <c r="OR89" s="42"/>
      <c r="OS89" s="42"/>
      <c r="OT89" s="42"/>
      <c r="OU89" s="42"/>
      <c r="OV89" s="42"/>
      <c r="OW89" s="42"/>
      <c r="OX89" s="42"/>
      <c r="OY89" s="42"/>
      <c r="OZ89" s="42"/>
      <c r="PA89" s="42"/>
      <c r="PB89" s="42"/>
      <c r="PC89" s="42"/>
      <c r="PD89" s="42"/>
      <c r="PE89" s="42"/>
      <c r="PF89" s="42"/>
      <c r="PG89" s="42"/>
      <c r="PH89" s="42"/>
      <c r="PI89" s="42"/>
      <c r="PJ89" s="42"/>
      <c r="PK89" s="42"/>
      <c r="PL89" s="42"/>
      <c r="PM89" s="42"/>
      <c r="PN89" s="42"/>
      <c r="PO89" s="42"/>
      <c r="PP89" s="42"/>
      <c r="PQ89" s="42"/>
      <c r="PR89" s="42"/>
      <c r="PS89" s="42"/>
      <c r="PT89" s="42"/>
      <c r="PU89" s="42"/>
      <c r="PV89" s="42"/>
      <c r="PW89" s="42"/>
      <c r="PX89" s="42"/>
      <c r="PY89" s="42"/>
      <c r="PZ89" s="42"/>
      <c r="QA89" s="42"/>
      <c r="QB89" s="42"/>
      <c r="QC89" s="42"/>
      <c r="QD89" s="42"/>
      <c r="QE89" s="42"/>
      <c r="QF89" s="42"/>
      <c r="QG89" s="42"/>
      <c r="QH89" s="42"/>
      <c r="QI89" s="42"/>
      <c r="QJ89" s="42"/>
      <c r="QK89" s="42"/>
      <c r="QL89" s="42"/>
      <c r="QM89" s="42"/>
      <c r="QN89" s="42"/>
      <c r="QO89" s="42"/>
      <c r="QP89" s="42"/>
      <c r="QQ89" s="42"/>
      <c r="QR89" s="42"/>
      <c r="QS89" s="42"/>
      <c r="QT89" s="42"/>
      <c r="QU89" s="42"/>
      <c r="QV89" s="42"/>
      <c r="QW89" s="42"/>
      <c r="QX89" s="42"/>
      <c r="QY89" s="42"/>
      <c r="QZ89" s="42"/>
      <c r="RA89" s="42"/>
      <c r="RB89" s="42"/>
      <c r="RC89" s="42"/>
      <c r="RD89" s="42"/>
      <c r="RE89" s="42"/>
      <c r="RF89" s="42"/>
      <c r="RG89" s="42"/>
      <c r="RH89" s="42"/>
      <c r="RI89" s="42"/>
      <c r="RJ89" s="42"/>
      <c r="RK89" s="42"/>
      <c r="RL89" s="42"/>
      <c r="RM89" s="42"/>
      <c r="RN89" s="42"/>
      <c r="RO89" s="42"/>
      <c r="RP89" s="42"/>
      <c r="RQ89" s="42"/>
      <c r="RR89" s="42"/>
      <c r="RS89" s="42"/>
      <c r="RT89" s="42"/>
      <c r="RU89" s="42"/>
      <c r="RV89" s="42"/>
      <c r="RW89" s="42"/>
      <c r="RX89" s="42"/>
      <c r="RY89" s="42"/>
      <c r="RZ89" s="42"/>
      <c r="SA89" s="42"/>
      <c r="SB89" s="42"/>
      <c r="SC89" s="42"/>
      <c r="SD89" s="42"/>
      <c r="SE89" s="42"/>
      <c r="SF89" s="42"/>
      <c r="SG89" s="42"/>
      <c r="SH89" s="42"/>
      <c r="SI89" s="42"/>
      <c r="SJ89" s="42"/>
      <c r="SK89" s="42"/>
      <c r="SL89" s="42"/>
      <c r="SM89" s="42"/>
      <c r="SN89" s="42"/>
      <c r="SO89" s="42"/>
      <c r="SP89" s="42"/>
      <c r="SQ89" s="42"/>
      <c r="SR89" s="42"/>
      <c r="SS89" s="42"/>
      <c r="ST89" s="42"/>
      <c r="SU89" s="42"/>
      <c r="SV89" s="42"/>
      <c r="SW89" s="42"/>
      <c r="SX89" s="42"/>
      <c r="SY89" s="42"/>
      <c r="SZ89" s="42"/>
      <c r="TA89" s="42"/>
      <c r="TB89" s="42"/>
      <c r="TC89" s="42"/>
      <c r="TD89" s="42"/>
      <c r="TE89" s="42"/>
      <c r="TF89" s="42"/>
      <c r="TG89" s="42"/>
      <c r="TH89" s="42"/>
      <c r="TI89" s="42"/>
      <c r="TJ89" s="42"/>
      <c r="TK89" s="42"/>
      <c r="TL89" s="42"/>
      <c r="TM89" s="42"/>
      <c r="TN89" s="42"/>
      <c r="TO89" s="42"/>
      <c r="TP89" s="42"/>
      <c r="TQ89" s="42"/>
      <c r="TR89" s="42"/>
      <c r="TS89" s="42"/>
      <c r="TT89" s="42"/>
      <c r="TU89" s="42"/>
      <c r="TV89" s="42"/>
      <c r="TW89" s="42"/>
      <c r="TX89" s="42"/>
      <c r="TY89" s="42"/>
      <c r="TZ89" s="42"/>
      <c r="UA89" s="42"/>
      <c r="UB89" s="42"/>
      <c r="UC89" s="42"/>
      <c r="UD89" s="42"/>
      <c r="UE89" s="42"/>
      <c r="UF89" s="42"/>
      <c r="UG89" s="42"/>
      <c r="UH89" s="42"/>
      <c r="UI89" s="42"/>
      <c r="UJ89" s="42"/>
      <c r="UK89" s="42"/>
      <c r="UL89" s="42"/>
      <c r="UM89" s="42"/>
      <c r="UN89" s="42"/>
      <c r="UO89" s="42"/>
      <c r="UP89" s="42"/>
      <c r="UQ89" s="42"/>
      <c r="UR89" s="42"/>
      <c r="US89" s="42"/>
      <c r="UT89" s="42"/>
      <c r="UU89" s="42"/>
      <c r="UV89" s="42"/>
      <c r="UW89" s="42"/>
      <c r="UX89" s="42"/>
      <c r="UY89" s="42"/>
      <c r="UZ89" s="42"/>
      <c r="VA89" s="42"/>
      <c r="VB89" s="42"/>
      <c r="VC89" s="42"/>
      <c r="VD89" s="42"/>
      <c r="VE89" s="42"/>
      <c r="VF89" s="42"/>
      <c r="VG89" s="42"/>
      <c r="VH89" s="42"/>
      <c r="VI89" s="42"/>
      <c r="VJ89" s="42"/>
      <c r="VK89" s="42"/>
      <c r="VL89" s="42"/>
      <c r="VM89" s="42"/>
      <c r="VN89" s="42"/>
      <c r="VO89" s="42"/>
      <c r="VP89" s="42"/>
      <c r="VQ89" s="42"/>
      <c r="VR89" s="42"/>
      <c r="VS89" s="42"/>
      <c r="VT89" s="42"/>
      <c r="VU89" s="42"/>
      <c r="VV89" s="42"/>
      <c r="VW89" s="42"/>
      <c r="VX89" s="42"/>
      <c r="VY89" s="42"/>
      <c r="VZ89" s="42"/>
      <c r="WA89" s="42"/>
      <c r="WB89" s="42"/>
      <c r="WC89" s="42"/>
      <c r="WD89" s="42"/>
      <c r="WE89" s="42"/>
      <c r="WF89" s="42"/>
      <c r="WG89" s="42"/>
      <c r="WH89" s="42"/>
      <c r="WI89" s="42"/>
      <c r="WJ89" s="42"/>
      <c r="WK89" s="42"/>
      <c r="WL89" s="42"/>
      <c r="WM89" s="42"/>
      <c r="WN89" s="42"/>
      <c r="WO89" s="42"/>
      <c r="WP89" s="42"/>
      <c r="WQ89" s="42"/>
      <c r="WR89" s="42"/>
      <c r="WS89" s="42"/>
      <c r="WT89" s="42"/>
      <c r="WU89" s="42"/>
      <c r="WV89" s="42"/>
      <c r="WW89" s="42"/>
      <c r="WX89" s="42"/>
      <c r="WY89" s="42"/>
      <c r="WZ89" s="42"/>
      <c r="XA89" s="42"/>
      <c r="XB89" s="42"/>
      <c r="XC89" s="42"/>
      <c r="XD89" s="42"/>
      <c r="XE89" s="42"/>
      <c r="XF89" s="42"/>
      <c r="XG89" s="42"/>
      <c r="XH89" s="42"/>
      <c r="XI89" s="42"/>
      <c r="XJ89" s="42"/>
      <c r="XK89" s="42"/>
      <c r="XL89" s="42"/>
      <c r="XM89" s="42"/>
      <c r="XN89" s="42"/>
      <c r="XO89" s="42"/>
      <c r="XP89" s="42"/>
      <c r="XQ89" s="42"/>
      <c r="XR89" s="42"/>
      <c r="XS89" s="42"/>
      <c r="XT89" s="42"/>
      <c r="XU89" s="42"/>
      <c r="XV89" s="42"/>
      <c r="XW89" s="42"/>
      <c r="XX89" s="42"/>
      <c r="XY89" s="42"/>
      <c r="XZ89" s="42"/>
      <c r="YA89" s="42"/>
      <c r="YB89" s="42"/>
      <c r="YC89" s="42"/>
      <c r="YD89" s="42"/>
      <c r="YE89" s="42"/>
      <c r="YF89" s="42"/>
      <c r="YG89" s="42"/>
      <c r="YH89" s="42"/>
      <c r="YI89" s="42"/>
      <c r="YJ89" s="42"/>
      <c r="YK89" s="42"/>
      <c r="YL89" s="42"/>
      <c r="YM89" s="42"/>
      <c r="YN89" s="42"/>
      <c r="YO89" s="42"/>
      <c r="YP89" s="42"/>
      <c r="YQ89" s="42"/>
      <c r="YR89" s="42"/>
      <c r="YS89" s="42"/>
      <c r="YT89" s="42"/>
      <c r="YU89" s="42"/>
      <c r="YV89" s="42"/>
      <c r="YW89" s="42"/>
      <c r="YX89" s="42"/>
      <c r="YY89" s="42"/>
      <c r="YZ89" s="42"/>
      <c r="ZA89" s="42"/>
      <c r="ZB89" s="42"/>
      <c r="ZC89" s="42"/>
      <c r="ZD89" s="42"/>
      <c r="ZE89" s="42"/>
      <c r="ZF89" s="42"/>
      <c r="ZG89" s="42"/>
      <c r="ZH89" s="42"/>
      <c r="ZI89" s="42"/>
      <c r="ZJ89" s="42"/>
      <c r="ZK89" s="42"/>
      <c r="ZL89" s="42"/>
      <c r="ZM89" s="42"/>
      <c r="ZN89" s="42"/>
      <c r="ZO89" s="42"/>
      <c r="ZP89" s="42"/>
      <c r="ZQ89" s="42"/>
      <c r="ZR89" s="42"/>
      <c r="ZS89" s="42"/>
      <c r="ZT89" s="42"/>
      <c r="ZU89" s="42"/>
      <c r="ZV89" s="42"/>
      <c r="ZW89" s="42"/>
      <c r="ZX89" s="42"/>
      <c r="ZY89" s="42"/>
      <c r="ZZ89" s="42"/>
      <c r="AAA89" s="42"/>
      <c r="AAB89" s="42"/>
      <c r="AAC89" s="42"/>
    </row>
    <row r="90" spans="1:705" s="42" customFormat="1" ht="42" hidden="1" x14ac:dyDescent="0.3">
      <c r="A90" s="26">
        <v>86</v>
      </c>
      <c r="B90" s="137">
        <v>239853</v>
      </c>
      <c r="C90" s="138">
        <v>86</v>
      </c>
      <c r="D90" s="139">
        <v>45921</v>
      </c>
      <c r="E90" s="139">
        <f t="shared" si="13"/>
        <v>45920</v>
      </c>
      <c r="F90" s="139">
        <f t="shared" si="10"/>
        <v>45931</v>
      </c>
      <c r="G90" s="139">
        <v>46012</v>
      </c>
      <c r="H90" s="139">
        <v>46028</v>
      </c>
      <c r="I90" s="139" t="s">
        <v>321</v>
      </c>
      <c r="J90" s="140" t="s">
        <v>260</v>
      </c>
      <c r="K90" s="141">
        <f t="shared" si="14"/>
        <v>97</v>
      </c>
      <c r="L90" s="141">
        <v>1145914</v>
      </c>
      <c r="M90" s="140" t="s">
        <v>15</v>
      </c>
      <c r="N90" s="140" t="s">
        <v>800</v>
      </c>
      <c r="O90" s="137" t="s">
        <v>246</v>
      </c>
      <c r="P90" s="143">
        <v>45960</v>
      </c>
      <c r="Q90" s="143">
        <v>46121</v>
      </c>
      <c r="R90" s="157" t="s">
        <v>211</v>
      </c>
      <c r="S90" s="144" t="s">
        <v>263</v>
      </c>
      <c r="T90" s="145">
        <v>1</v>
      </c>
      <c r="U90" s="137" t="s">
        <v>264</v>
      </c>
      <c r="V90" s="146">
        <v>63</v>
      </c>
      <c r="W90" s="146">
        <v>63</v>
      </c>
      <c r="X90" s="147">
        <v>15</v>
      </c>
      <c r="Y90" s="146">
        <v>15</v>
      </c>
      <c r="Z90" s="146">
        <v>0</v>
      </c>
      <c r="AA90" s="146">
        <v>0</v>
      </c>
      <c r="AB90" s="146">
        <v>63</v>
      </c>
      <c r="AC90" s="146">
        <v>63</v>
      </c>
      <c r="AD90" s="146">
        <v>0</v>
      </c>
      <c r="AE90" s="146">
        <v>0</v>
      </c>
      <c r="AF90" s="146">
        <v>60</v>
      </c>
      <c r="AG90" s="146">
        <v>60</v>
      </c>
      <c r="AH90" s="146">
        <v>0</v>
      </c>
      <c r="AI90" s="146">
        <v>0</v>
      </c>
      <c r="AJ90" s="146">
        <v>0</v>
      </c>
      <c r="AK90" s="146"/>
      <c r="AL90" s="146">
        <v>1</v>
      </c>
      <c r="AM90" s="146">
        <v>1</v>
      </c>
      <c r="AN90" s="146">
        <v>1</v>
      </c>
      <c r="AO90" s="146">
        <v>1</v>
      </c>
      <c r="AP90" s="146">
        <v>0</v>
      </c>
      <c r="AQ90" s="146"/>
      <c r="AR90" s="146">
        <v>0</v>
      </c>
      <c r="AS90" s="146">
        <v>0</v>
      </c>
      <c r="AT90" s="146">
        <v>0</v>
      </c>
      <c r="AU90" s="146">
        <v>0</v>
      </c>
      <c r="AV90" s="146">
        <v>0</v>
      </c>
      <c r="AW90" s="146">
        <v>0</v>
      </c>
      <c r="AX90" s="146">
        <f t="shared" si="11"/>
        <v>18521</v>
      </c>
      <c r="AY90" s="146">
        <f t="shared" si="12"/>
        <v>18521</v>
      </c>
      <c r="AZ90" s="140" t="s">
        <v>562</v>
      </c>
      <c r="BA90" s="140" t="s">
        <v>562</v>
      </c>
      <c r="BB90" s="137">
        <v>7</v>
      </c>
      <c r="BC90" s="148">
        <v>86</v>
      </c>
      <c r="BD90" s="149"/>
      <c r="BE90" s="145"/>
      <c r="BF90" s="150"/>
      <c r="BG90" s="151">
        <v>46023</v>
      </c>
      <c r="BH90" s="153" t="s">
        <v>15</v>
      </c>
      <c r="BI90" s="153" t="s">
        <v>562</v>
      </c>
      <c r="CC90" s="41"/>
      <c r="CD90" s="41"/>
      <c r="CE90" s="41"/>
      <c r="CF90" s="41"/>
      <c r="CG90" s="41"/>
      <c r="CH90" s="41"/>
      <c r="CI90" s="41"/>
      <c r="CJ90" s="41"/>
      <c r="CK90" s="41"/>
      <c r="CL90" s="41"/>
      <c r="CM90" s="41"/>
      <c r="CN90" s="41"/>
      <c r="CO90" s="41"/>
      <c r="CP90" s="41"/>
      <c r="CQ90" s="41"/>
      <c r="CR90" s="41"/>
      <c r="CS90" s="41"/>
      <c r="CT90" s="41"/>
      <c r="CU90" s="41"/>
      <c r="CV90" s="41"/>
      <c r="CW90" s="41"/>
      <c r="CX90" s="41"/>
      <c r="CY90" s="41"/>
      <c r="CZ90" s="41"/>
      <c r="DA90" s="41"/>
      <c r="DB90" s="41"/>
      <c r="DC90" s="41"/>
      <c r="DD90" s="41"/>
      <c r="DE90" s="41"/>
      <c r="DF90" s="41"/>
      <c r="DG90" s="41"/>
      <c r="DH90" s="41"/>
      <c r="DI90" s="41"/>
      <c r="DJ90" s="41"/>
      <c r="DK90" s="41"/>
      <c r="DL90" s="41"/>
      <c r="DM90" s="41"/>
      <c r="DN90" s="41"/>
      <c r="DO90" s="41"/>
      <c r="DP90" s="41"/>
      <c r="DQ90" s="41"/>
      <c r="DR90" s="41"/>
      <c r="DS90" s="41"/>
      <c r="DT90" s="41"/>
      <c r="DU90" s="41"/>
      <c r="DV90" s="41"/>
      <c r="DW90" s="41"/>
      <c r="DX90" s="41"/>
      <c r="DY90" s="41"/>
      <c r="DZ90" s="41"/>
      <c r="EA90" s="41"/>
      <c r="EB90" s="41"/>
      <c r="EC90" s="41"/>
      <c r="ED90" s="41"/>
      <c r="EE90" s="41"/>
      <c r="EF90" s="41"/>
      <c r="EG90" s="41"/>
      <c r="EH90" s="41"/>
      <c r="EI90" s="41"/>
      <c r="EJ90" s="41"/>
      <c r="EK90" s="41"/>
      <c r="EL90" s="41"/>
      <c r="EM90" s="41"/>
      <c r="EN90" s="41"/>
      <c r="EO90" s="41"/>
      <c r="EP90" s="41"/>
      <c r="EQ90" s="41"/>
      <c r="ER90" s="41"/>
      <c r="ES90" s="41"/>
      <c r="ET90" s="41"/>
      <c r="EU90" s="41"/>
      <c r="EV90" s="41"/>
      <c r="EW90" s="41"/>
      <c r="EX90" s="41"/>
      <c r="EY90" s="41"/>
      <c r="EZ90" s="41"/>
      <c r="FA90" s="41"/>
      <c r="FB90" s="41"/>
      <c r="FC90" s="41"/>
      <c r="FD90" s="41"/>
      <c r="FE90" s="41"/>
      <c r="FF90" s="41"/>
      <c r="FG90" s="41"/>
      <c r="FH90" s="41"/>
      <c r="FI90" s="41"/>
      <c r="FJ90" s="41"/>
      <c r="FK90" s="41"/>
      <c r="FL90" s="41"/>
      <c r="FM90" s="41"/>
      <c r="FN90" s="41"/>
      <c r="FO90" s="41"/>
      <c r="FP90" s="41"/>
      <c r="FQ90" s="41"/>
      <c r="FR90" s="41"/>
      <c r="FS90" s="41"/>
      <c r="FT90" s="41"/>
      <c r="FU90" s="41"/>
      <c r="FV90" s="41"/>
      <c r="FW90" s="41"/>
      <c r="FX90" s="41"/>
      <c r="FY90" s="41"/>
      <c r="FZ90" s="41"/>
      <c r="GA90" s="41"/>
      <c r="GB90" s="41"/>
      <c r="GC90" s="41"/>
      <c r="GD90" s="41"/>
      <c r="GE90" s="41"/>
      <c r="GF90" s="41"/>
      <c r="GG90" s="41"/>
      <c r="GH90" s="41"/>
      <c r="GI90" s="41"/>
      <c r="GJ90" s="41"/>
      <c r="GK90" s="41"/>
      <c r="GL90" s="41"/>
      <c r="GM90" s="41"/>
      <c r="GN90" s="41"/>
      <c r="GO90" s="41"/>
      <c r="GP90" s="41"/>
      <c r="GQ90" s="41"/>
      <c r="GR90" s="41"/>
      <c r="GS90" s="41"/>
      <c r="GT90" s="41"/>
      <c r="GU90" s="41"/>
      <c r="GV90" s="41"/>
      <c r="GW90" s="41"/>
      <c r="GX90" s="41"/>
      <c r="GY90" s="41"/>
      <c r="GZ90" s="41"/>
      <c r="HA90" s="41"/>
      <c r="HB90" s="41"/>
      <c r="HC90" s="41"/>
      <c r="HD90" s="41"/>
      <c r="HE90" s="41"/>
      <c r="HF90" s="41"/>
      <c r="HG90" s="41"/>
      <c r="HH90" s="41"/>
      <c r="HI90" s="41"/>
      <c r="HJ90" s="41"/>
      <c r="HK90" s="41"/>
      <c r="HL90" s="41"/>
      <c r="HM90" s="41"/>
      <c r="HN90" s="41"/>
      <c r="HO90" s="41"/>
      <c r="HP90" s="41"/>
      <c r="HQ90" s="41"/>
      <c r="HR90" s="41"/>
      <c r="HS90" s="41"/>
      <c r="HT90" s="41"/>
      <c r="HU90" s="41"/>
      <c r="HV90" s="41"/>
      <c r="HW90" s="41"/>
      <c r="HX90" s="41"/>
      <c r="HY90" s="41"/>
      <c r="HZ90" s="41"/>
      <c r="IA90" s="41"/>
      <c r="IB90" s="41"/>
      <c r="IC90" s="41"/>
      <c r="ID90" s="41"/>
      <c r="IE90" s="41"/>
      <c r="IF90" s="41"/>
      <c r="IG90" s="41"/>
      <c r="IH90" s="41"/>
      <c r="II90" s="41"/>
      <c r="IJ90" s="41"/>
      <c r="IK90" s="41"/>
      <c r="IL90" s="41"/>
      <c r="IM90" s="41"/>
      <c r="IN90" s="41"/>
      <c r="IO90" s="41"/>
      <c r="IP90" s="41"/>
      <c r="IQ90" s="41"/>
      <c r="IR90" s="41"/>
      <c r="IS90" s="41"/>
      <c r="IT90" s="41"/>
      <c r="IU90" s="41"/>
      <c r="IV90" s="41"/>
      <c r="IW90" s="41"/>
      <c r="IX90" s="41"/>
      <c r="IY90" s="41"/>
      <c r="IZ90" s="41"/>
      <c r="JA90" s="41"/>
      <c r="JB90" s="41"/>
      <c r="JC90" s="41"/>
      <c r="JD90" s="41"/>
      <c r="JE90" s="41"/>
      <c r="JF90" s="41"/>
      <c r="JG90" s="41"/>
      <c r="JH90" s="41"/>
      <c r="JI90" s="41"/>
      <c r="JJ90" s="41"/>
      <c r="JK90" s="41"/>
      <c r="JL90" s="41"/>
      <c r="JM90" s="41"/>
      <c r="JN90" s="41"/>
      <c r="JO90" s="41"/>
      <c r="JP90" s="41"/>
      <c r="JQ90" s="41"/>
      <c r="JR90" s="41"/>
      <c r="JS90" s="41"/>
      <c r="JT90" s="41"/>
      <c r="JU90" s="41"/>
      <c r="JV90" s="41"/>
      <c r="JW90" s="41"/>
      <c r="JX90" s="41"/>
      <c r="JY90" s="41"/>
      <c r="JZ90" s="41"/>
      <c r="KA90" s="41"/>
      <c r="KB90" s="41"/>
      <c r="KC90" s="41"/>
      <c r="KD90" s="41"/>
      <c r="KE90" s="41"/>
      <c r="KF90" s="41"/>
      <c r="KG90" s="41"/>
      <c r="KH90" s="41"/>
      <c r="KI90" s="41"/>
      <c r="KJ90" s="41"/>
      <c r="KK90" s="41"/>
      <c r="KL90" s="41"/>
      <c r="KM90" s="41"/>
      <c r="KN90" s="41"/>
      <c r="KO90" s="41"/>
      <c r="KP90" s="41"/>
      <c r="KQ90" s="41"/>
      <c r="KR90" s="41"/>
      <c r="KS90" s="41"/>
      <c r="KT90" s="41"/>
      <c r="KU90" s="41"/>
      <c r="KV90" s="41"/>
      <c r="KW90" s="41"/>
      <c r="KX90" s="41"/>
      <c r="KY90" s="41"/>
      <c r="KZ90" s="41"/>
      <c r="LA90" s="41"/>
      <c r="LB90" s="41"/>
      <c r="LC90" s="41"/>
      <c r="LD90" s="41"/>
      <c r="LE90" s="41"/>
      <c r="LF90" s="41"/>
      <c r="LG90" s="41"/>
      <c r="LH90" s="41"/>
      <c r="LI90" s="41"/>
      <c r="LJ90" s="41"/>
      <c r="LK90" s="41"/>
      <c r="LL90" s="41"/>
      <c r="LM90" s="41"/>
      <c r="LN90" s="41"/>
      <c r="LO90" s="41"/>
      <c r="LP90" s="41"/>
      <c r="LQ90" s="41"/>
      <c r="LR90" s="41"/>
      <c r="LS90" s="41"/>
      <c r="LT90" s="41"/>
      <c r="LU90" s="41"/>
      <c r="LV90" s="41"/>
      <c r="LW90" s="41"/>
      <c r="LX90" s="41"/>
      <c r="LY90" s="41"/>
      <c r="LZ90" s="41"/>
      <c r="MA90" s="41"/>
      <c r="MB90" s="41"/>
      <c r="MC90" s="41"/>
      <c r="MD90" s="41"/>
      <c r="ME90" s="41"/>
      <c r="MF90" s="41"/>
      <c r="MG90" s="41"/>
      <c r="MH90" s="41"/>
      <c r="MI90" s="41"/>
      <c r="MJ90" s="41"/>
      <c r="MK90" s="41"/>
      <c r="ML90" s="41"/>
      <c r="MM90" s="41"/>
      <c r="MN90" s="41"/>
      <c r="MO90" s="41"/>
      <c r="MP90" s="41"/>
      <c r="MQ90" s="41"/>
      <c r="MR90" s="41"/>
      <c r="MS90" s="41"/>
      <c r="MT90" s="41"/>
      <c r="MU90" s="41"/>
      <c r="MV90" s="41"/>
      <c r="MW90" s="41"/>
      <c r="MX90" s="41"/>
      <c r="MY90" s="41"/>
      <c r="MZ90" s="41"/>
      <c r="NA90" s="41"/>
      <c r="NB90" s="41"/>
      <c r="NC90" s="41"/>
      <c r="ND90" s="41"/>
      <c r="NE90" s="41"/>
      <c r="NF90" s="41"/>
      <c r="NG90" s="41"/>
      <c r="NH90" s="41"/>
      <c r="NI90" s="41"/>
      <c r="NJ90" s="41"/>
      <c r="NK90" s="41"/>
      <c r="NL90" s="41"/>
      <c r="NM90" s="41"/>
      <c r="NN90" s="41"/>
      <c r="NO90" s="41"/>
      <c r="NP90" s="41"/>
      <c r="NQ90" s="41"/>
      <c r="NR90" s="41"/>
      <c r="NS90" s="41"/>
      <c r="NT90" s="41"/>
      <c r="NU90" s="41"/>
      <c r="NV90" s="41"/>
      <c r="NW90" s="41"/>
      <c r="NX90" s="41"/>
      <c r="NY90" s="41"/>
      <c r="NZ90" s="41"/>
      <c r="OA90" s="41"/>
      <c r="OB90" s="41"/>
      <c r="OC90" s="41"/>
      <c r="OD90" s="41"/>
      <c r="OE90" s="41"/>
      <c r="OF90" s="41"/>
      <c r="OG90" s="41"/>
      <c r="OH90" s="41"/>
      <c r="OI90" s="41"/>
      <c r="OJ90" s="41"/>
      <c r="OK90" s="41"/>
      <c r="OL90" s="41"/>
      <c r="OM90" s="41"/>
      <c r="ON90" s="41"/>
      <c r="OO90" s="41"/>
      <c r="OP90" s="41"/>
      <c r="OQ90" s="41"/>
      <c r="OR90" s="41"/>
      <c r="OS90" s="41"/>
      <c r="OT90" s="41"/>
      <c r="OU90" s="41"/>
      <c r="OV90" s="41"/>
      <c r="OW90" s="41"/>
      <c r="OX90" s="41"/>
      <c r="OY90" s="41"/>
      <c r="OZ90" s="41"/>
      <c r="PA90" s="41"/>
      <c r="PB90" s="41"/>
      <c r="PC90" s="41"/>
      <c r="PD90" s="41"/>
      <c r="PE90" s="41"/>
      <c r="PF90" s="41"/>
      <c r="PG90" s="41"/>
      <c r="PH90" s="41"/>
      <c r="PI90" s="41"/>
      <c r="PJ90" s="41"/>
      <c r="PK90" s="41"/>
      <c r="PL90" s="41"/>
      <c r="PM90" s="41"/>
      <c r="PN90" s="41"/>
      <c r="PO90" s="41"/>
      <c r="PP90" s="41"/>
      <c r="PQ90" s="41"/>
      <c r="PR90" s="41"/>
      <c r="PS90" s="41"/>
      <c r="PT90" s="41"/>
      <c r="PU90" s="41"/>
      <c r="PV90" s="41"/>
      <c r="PW90" s="41"/>
      <c r="PX90" s="41"/>
      <c r="PY90" s="41"/>
      <c r="PZ90" s="41"/>
      <c r="QA90" s="41"/>
      <c r="QB90" s="41"/>
      <c r="QC90" s="41"/>
      <c r="QD90" s="41"/>
      <c r="QE90" s="41"/>
      <c r="QF90" s="41"/>
      <c r="QG90" s="41"/>
      <c r="QH90" s="41"/>
      <c r="QI90" s="41"/>
      <c r="QJ90" s="41"/>
      <c r="QK90" s="41"/>
      <c r="QL90" s="41"/>
      <c r="QM90" s="41"/>
      <c r="QN90" s="41"/>
      <c r="QO90" s="41"/>
      <c r="QP90" s="41"/>
      <c r="QQ90" s="41"/>
      <c r="QR90" s="41"/>
      <c r="QS90" s="41"/>
      <c r="QT90" s="41"/>
      <c r="QU90" s="41"/>
      <c r="QV90" s="41"/>
      <c r="QW90" s="41"/>
      <c r="QX90" s="41"/>
      <c r="QY90" s="41"/>
      <c r="QZ90" s="41"/>
      <c r="RA90" s="41"/>
      <c r="RB90" s="41"/>
      <c r="RC90" s="41"/>
      <c r="RD90" s="41"/>
      <c r="RE90" s="41"/>
      <c r="RF90" s="41"/>
      <c r="RG90" s="41"/>
      <c r="RH90" s="41"/>
      <c r="RI90" s="41"/>
      <c r="RJ90" s="41"/>
      <c r="RK90" s="41"/>
      <c r="RL90" s="41"/>
      <c r="RM90" s="41"/>
      <c r="RN90" s="41"/>
      <c r="RO90" s="41"/>
      <c r="RP90" s="41"/>
      <c r="RQ90" s="41"/>
      <c r="RR90" s="41"/>
      <c r="RS90" s="41"/>
      <c r="RT90" s="41"/>
      <c r="RU90" s="41"/>
      <c r="RV90" s="41"/>
      <c r="RW90" s="41"/>
      <c r="RX90" s="41"/>
      <c r="RY90" s="41"/>
      <c r="RZ90" s="41"/>
      <c r="SA90" s="41"/>
      <c r="SB90" s="41"/>
      <c r="SC90" s="41"/>
      <c r="SD90" s="41"/>
      <c r="SE90" s="41"/>
      <c r="SF90" s="41"/>
      <c r="SG90" s="41"/>
      <c r="SH90" s="41"/>
      <c r="SI90" s="41"/>
      <c r="SJ90" s="41"/>
      <c r="SK90" s="41"/>
      <c r="SL90" s="41"/>
      <c r="SM90" s="41"/>
      <c r="SN90" s="41"/>
      <c r="SO90" s="41"/>
      <c r="SP90" s="41"/>
      <c r="SQ90" s="41"/>
      <c r="SR90" s="41"/>
      <c r="SS90" s="41"/>
      <c r="ST90" s="41"/>
      <c r="SU90" s="41"/>
      <c r="SV90" s="41"/>
      <c r="SW90" s="41"/>
      <c r="SX90" s="41"/>
      <c r="SY90" s="41"/>
      <c r="SZ90" s="41"/>
      <c r="TA90" s="41"/>
      <c r="TB90" s="41"/>
      <c r="TC90" s="41"/>
      <c r="TD90" s="41"/>
      <c r="TE90" s="41"/>
      <c r="TF90" s="41"/>
      <c r="TG90" s="41"/>
      <c r="TH90" s="41"/>
      <c r="TI90" s="41"/>
      <c r="TJ90" s="41"/>
      <c r="TK90" s="41"/>
      <c r="TL90" s="41"/>
      <c r="TM90" s="41"/>
      <c r="TN90" s="41"/>
      <c r="TO90" s="41"/>
      <c r="TP90" s="41"/>
      <c r="TQ90" s="41"/>
      <c r="TR90" s="41"/>
      <c r="TS90" s="41"/>
      <c r="TT90" s="41"/>
      <c r="TU90" s="41"/>
      <c r="TV90" s="41"/>
      <c r="TW90" s="41"/>
      <c r="TX90" s="41"/>
      <c r="TY90" s="41"/>
      <c r="TZ90" s="41"/>
      <c r="UA90" s="41"/>
      <c r="UB90" s="41"/>
      <c r="UC90" s="41"/>
      <c r="UD90" s="41"/>
      <c r="UE90" s="41"/>
      <c r="UF90" s="41"/>
      <c r="UG90" s="41"/>
      <c r="UH90" s="41"/>
      <c r="UI90" s="41"/>
      <c r="UJ90" s="41"/>
      <c r="UK90" s="41"/>
      <c r="UL90" s="41"/>
      <c r="UM90" s="41"/>
      <c r="UN90" s="41"/>
      <c r="UO90" s="41"/>
      <c r="UP90" s="41"/>
      <c r="UQ90" s="41"/>
      <c r="UR90" s="41"/>
      <c r="US90" s="41"/>
      <c r="UT90" s="41"/>
      <c r="UU90" s="41"/>
      <c r="UV90" s="41"/>
      <c r="UW90" s="41"/>
      <c r="UX90" s="41"/>
      <c r="UY90" s="41"/>
      <c r="UZ90" s="41"/>
      <c r="VA90" s="41"/>
      <c r="VB90" s="41"/>
      <c r="VC90" s="41"/>
      <c r="VD90" s="41"/>
      <c r="VE90" s="41"/>
      <c r="VF90" s="41"/>
      <c r="VG90" s="41"/>
      <c r="VH90" s="41"/>
      <c r="VI90" s="41"/>
      <c r="VJ90" s="41"/>
      <c r="VK90" s="41"/>
      <c r="VL90" s="41"/>
      <c r="VM90" s="41"/>
      <c r="VN90" s="41"/>
      <c r="VO90" s="41"/>
      <c r="VP90" s="41"/>
      <c r="VQ90" s="41"/>
      <c r="VR90" s="41"/>
      <c r="VS90" s="41"/>
      <c r="VT90" s="41"/>
      <c r="VU90" s="41"/>
      <c r="VV90" s="41"/>
      <c r="VW90" s="41"/>
      <c r="VX90" s="41"/>
      <c r="VY90" s="41"/>
      <c r="VZ90" s="41"/>
      <c r="WA90" s="41"/>
      <c r="WB90" s="41"/>
      <c r="WC90" s="41"/>
      <c r="WD90" s="41"/>
      <c r="WE90" s="41"/>
      <c r="WF90" s="41"/>
      <c r="WG90" s="41"/>
      <c r="WH90" s="41"/>
      <c r="WI90" s="41"/>
      <c r="WJ90" s="41"/>
      <c r="WK90" s="41"/>
      <c r="WL90" s="41"/>
      <c r="WM90" s="41"/>
      <c r="WN90" s="41"/>
      <c r="WO90" s="41"/>
      <c r="WP90" s="41"/>
      <c r="WQ90" s="41"/>
      <c r="WR90" s="41"/>
      <c r="WS90" s="41"/>
      <c r="WT90" s="41"/>
      <c r="WU90" s="41"/>
      <c r="WV90" s="41"/>
      <c r="WW90" s="41"/>
      <c r="WX90" s="41"/>
      <c r="WY90" s="41"/>
      <c r="WZ90" s="41"/>
      <c r="XA90" s="41"/>
      <c r="XB90" s="41"/>
      <c r="XC90" s="41"/>
      <c r="XD90" s="41"/>
      <c r="XE90" s="41"/>
      <c r="XF90" s="41"/>
      <c r="XG90" s="41"/>
      <c r="XH90" s="41"/>
      <c r="XI90" s="41"/>
      <c r="XJ90" s="41"/>
      <c r="XK90" s="41"/>
      <c r="XL90" s="41"/>
      <c r="XM90" s="41"/>
      <c r="XN90" s="41"/>
      <c r="XO90" s="41"/>
      <c r="XP90" s="41"/>
      <c r="XQ90" s="41"/>
      <c r="XR90" s="41"/>
      <c r="XS90" s="41"/>
      <c r="XT90" s="41"/>
      <c r="XU90" s="41"/>
      <c r="XV90" s="41"/>
      <c r="XW90" s="41"/>
      <c r="XX90" s="41"/>
      <c r="XY90" s="41"/>
      <c r="XZ90" s="41"/>
      <c r="YA90" s="41"/>
      <c r="YB90" s="41"/>
      <c r="YC90" s="41"/>
      <c r="YD90" s="41"/>
      <c r="YE90" s="41"/>
      <c r="YF90" s="41"/>
      <c r="YG90" s="41"/>
      <c r="YH90" s="41"/>
      <c r="YI90" s="41"/>
      <c r="YJ90" s="41"/>
      <c r="YK90" s="41"/>
      <c r="YL90" s="41"/>
      <c r="YM90" s="41"/>
      <c r="YN90" s="41"/>
      <c r="YO90" s="41"/>
      <c r="YP90" s="41"/>
      <c r="YQ90" s="41"/>
      <c r="YR90" s="41"/>
      <c r="YS90" s="41"/>
      <c r="YT90" s="41"/>
      <c r="YU90" s="41"/>
      <c r="YV90" s="41"/>
      <c r="YW90" s="41"/>
      <c r="YX90" s="41"/>
      <c r="YY90" s="41"/>
      <c r="YZ90" s="41"/>
      <c r="ZA90" s="41"/>
      <c r="ZB90" s="41"/>
      <c r="ZC90" s="41"/>
      <c r="ZD90" s="41"/>
      <c r="ZE90" s="41"/>
      <c r="ZF90" s="41"/>
      <c r="ZG90" s="41"/>
      <c r="ZH90" s="41"/>
      <c r="ZI90" s="41"/>
      <c r="ZJ90" s="41"/>
      <c r="ZK90" s="41"/>
      <c r="ZL90" s="41"/>
      <c r="ZM90" s="41"/>
      <c r="ZN90" s="41"/>
      <c r="ZO90" s="41"/>
      <c r="ZP90" s="41"/>
      <c r="ZQ90" s="41"/>
      <c r="ZR90" s="41"/>
      <c r="ZS90" s="41"/>
      <c r="ZT90" s="41"/>
      <c r="ZU90" s="41"/>
      <c r="ZV90" s="41"/>
      <c r="ZW90" s="41"/>
      <c r="ZX90" s="41"/>
      <c r="ZY90" s="41"/>
      <c r="ZZ90" s="41"/>
      <c r="AAA90" s="41"/>
      <c r="AAB90" s="41"/>
      <c r="AAC90" s="41"/>
    </row>
    <row r="91" spans="1:705" s="42" customFormat="1" ht="42" hidden="1" x14ac:dyDescent="0.3">
      <c r="A91" s="26">
        <v>87</v>
      </c>
      <c r="B91" s="137">
        <v>239854</v>
      </c>
      <c r="C91" s="138">
        <v>87</v>
      </c>
      <c r="D91" s="139">
        <v>45921</v>
      </c>
      <c r="E91" s="139">
        <f t="shared" si="13"/>
        <v>45920</v>
      </c>
      <c r="F91" s="139">
        <f t="shared" si="10"/>
        <v>45931</v>
      </c>
      <c r="G91" s="139">
        <v>46012</v>
      </c>
      <c r="H91" s="139">
        <v>45953</v>
      </c>
      <c r="I91" s="139" t="s">
        <v>123</v>
      </c>
      <c r="J91" s="140" t="s">
        <v>265</v>
      </c>
      <c r="K91" s="141">
        <f t="shared" si="14"/>
        <v>22</v>
      </c>
      <c r="L91" s="141">
        <v>1145927</v>
      </c>
      <c r="M91" s="140" t="s">
        <v>15</v>
      </c>
      <c r="N91" s="140" t="s">
        <v>501</v>
      </c>
      <c r="O91" s="140" t="s">
        <v>246</v>
      </c>
      <c r="P91" s="143">
        <v>45950</v>
      </c>
      <c r="Q91" s="143">
        <v>45965</v>
      </c>
      <c r="R91" s="157" t="s">
        <v>211</v>
      </c>
      <c r="S91" s="144" t="s">
        <v>266</v>
      </c>
      <c r="T91" s="145">
        <v>1</v>
      </c>
      <c r="U91" s="137" t="s">
        <v>82</v>
      </c>
      <c r="V91" s="146">
        <v>36</v>
      </c>
      <c r="W91" s="146">
        <v>36</v>
      </c>
      <c r="X91" s="147">
        <v>0</v>
      </c>
      <c r="Y91" s="146"/>
      <c r="Z91" s="146">
        <v>0</v>
      </c>
      <c r="AA91" s="146">
        <v>0</v>
      </c>
      <c r="AB91" s="146">
        <v>36</v>
      </c>
      <c r="AC91" s="146">
        <v>36</v>
      </c>
      <c r="AD91" s="146">
        <v>0</v>
      </c>
      <c r="AE91" s="146">
        <v>0</v>
      </c>
      <c r="AF91" s="146">
        <v>0</v>
      </c>
      <c r="AG91" s="146">
        <v>0</v>
      </c>
      <c r="AH91" s="146">
        <v>1</v>
      </c>
      <c r="AI91" s="146">
        <v>1</v>
      </c>
      <c r="AJ91" s="146">
        <v>0</v>
      </c>
      <c r="AK91" s="146">
        <v>0</v>
      </c>
      <c r="AL91" s="146">
        <v>0</v>
      </c>
      <c r="AM91" s="146"/>
      <c r="AN91" s="146">
        <v>2</v>
      </c>
      <c r="AO91" s="146">
        <v>2</v>
      </c>
      <c r="AP91" s="146">
        <v>2</v>
      </c>
      <c r="AQ91" s="146">
        <v>2</v>
      </c>
      <c r="AR91" s="146">
        <v>0</v>
      </c>
      <c r="AS91" s="146">
        <v>0</v>
      </c>
      <c r="AT91" s="146">
        <v>0</v>
      </c>
      <c r="AU91" s="146">
        <v>0</v>
      </c>
      <c r="AV91" s="146">
        <v>1</v>
      </c>
      <c r="AW91" s="146">
        <v>1</v>
      </c>
      <c r="AX91" s="146">
        <f t="shared" si="11"/>
        <v>6712</v>
      </c>
      <c r="AY91" s="146">
        <f t="shared" si="12"/>
        <v>6712</v>
      </c>
      <c r="AZ91" s="140" t="s">
        <v>562</v>
      </c>
      <c r="BA91" s="137" t="s">
        <v>562</v>
      </c>
      <c r="BB91" s="137">
        <v>4</v>
      </c>
      <c r="BC91" s="148">
        <v>87</v>
      </c>
      <c r="BD91" s="149"/>
      <c r="BE91" s="145"/>
      <c r="BF91" s="150"/>
      <c r="BG91" s="151">
        <v>45931</v>
      </c>
      <c r="BH91" s="153" t="s">
        <v>535</v>
      </c>
      <c r="BI91" s="153" t="s">
        <v>562</v>
      </c>
      <c r="CC91" s="41"/>
      <c r="CD91" s="41"/>
      <c r="CE91" s="41"/>
      <c r="CF91" s="41"/>
      <c r="CG91" s="41"/>
      <c r="CH91" s="41"/>
      <c r="CI91" s="41"/>
      <c r="CJ91" s="41"/>
      <c r="CK91" s="41"/>
      <c r="CL91" s="41"/>
      <c r="CM91" s="41"/>
      <c r="CN91" s="41"/>
      <c r="CO91" s="41"/>
      <c r="CP91" s="41"/>
      <c r="CQ91" s="41"/>
      <c r="CR91" s="41"/>
      <c r="CS91" s="41"/>
      <c r="CT91" s="41"/>
      <c r="CU91" s="41"/>
      <c r="CV91" s="41"/>
      <c r="CW91" s="41"/>
      <c r="CX91" s="41"/>
      <c r="CY91" s="41"/>
      <c r="CZ91" s="41"/>
      <c r="DA91" s="41"/>
      <c r="DB91" s="41"/>
      <c r="DC91" s="41"/>
      <c r="DD91" s="41"/>
      <c r="DE91" s="41"/>
      <c r="DF91" s="41"/>
      <c r="DG91" s="41"/>
      <c r="DH91" s="41"/>
      <c r="DI91" s="41"/>
      <c r="DJ91" s="41"/>
      <c r="DK91" s="41"/>
      <c r="DL91" s="41"/>
      <c r="DM91" s="41"/>
      <c r="DN91" s="41"/>
      <c r="DO91" s="41"/>
      <c r="DP91" s="41"/>
      <c r="DQ91" s="41"/>
      <c r="DR91" s="41"/>
      <c r="DS91" s="41"/>
      <c r="DT91" s="41"/>
      <c r="DU91" s="41"/>
      <c r="DV91" s="41"/>
      <c r="DW91" s="41"/>
      <c r="DX91" s="41"/>
      <c r="DY91" s="41"/>
      <c r="DZ91" s="41"/>
      <c r="EA91" s="41"/>
      <c r="EB91" s="41"/>
      <c r="EC91" s="41"/>
      <c r="ED91" s="41"/>
      <c r="EE91" s="41"/>
      <c r="EF91" s="41"/>
      <c r="EG91" s="41"/>
      <c r="EH91" s="41"/>
      <c r="EI91" s="41"/>
      <c r="EJ91" s="41"/>
      <c r="EK91" s="41"/>
      <c r="EL91" s="41"/>
      <c r="EM91" s="41"/>
      <c r="EN91" s="41"/>
      <c r="EO91" s="41"/>
      <c r="EP91" s="41"/>
      <c r="EQ91" s="41"/>
      <c r="ER91" s="41"/>
      <c r="ES91" s="41"/>
      <c r="ET91" s="41"/>
      <c r="EU91" s="41"/>
      <c r="EV91" s="41"/>
      <c r="EW91" s="41"/>
      <c r="EX91" s="41"/>
      <c r="EY91" s="41"/>
      <c r="EZ91" s="41"/>
      <c r="FA91" s="41"/>
      <c r="FB91" s="41"/>
      <c r="FC91" s="41"/>
      <c r="FD91" s="41"/>
      <c r="FE91" s="41"/>
      <c r="FF91" s="41"/>
      <c r="FG91" s="41"/>
      <c r="FH91" s="41"/>
      <c r="FI91" s="41"/>
      <c r="FJ91" s="41"/>
      <c r="FK91" s="41"/>
      <c r="FL91" s="41"/>
      <c r="FM91" s="41"/>
      <c r="FN91" s="41"/>
      <c r="FO91" s="41"/>
      <c r="FP91" s="41"/>
      <c r="FQ91" s="41"/>
      <c r="FR91" s="41"/>
      <c r="FS91" s="41"/>
      <c r="FT91" s="41"/>
      <c r="FU91" s="41"/>
      <c r="FV91" s="41"/>
      <c r="FW91" s="41"/>
      <c r="FX91" s="41"/>
      <c r="FY91" s="41"/>
      <c r="FZ91" s="41"/>
      <c r="GA91" s="41"/>
      <c r="GB91" s="41"/>
      <c r="GC91" s="41"/>
      <c r="GD91" s="41"/>
      <c r="GE91" s="41"/>
      <c r="GF91" s="41"/>
      <c r="GG91" s="41"/>
      <c r="GH91" s="41"/>
      <c r="GI91" s="41"/>
      <c r="GJ91" s="41"/>
      <c r="GK91" s="41"/>
      <c r="GL91" s="41"/>
      <c r="GM91" s="41"/>
      <c r="GN91" s="41"/>
      <c r="GO91" s="41"/>
      <c r="GP91" s="41"/>
      <c r="GQ91" s="41"/>
      <c r="GR91" s="41"/>
      <c r="GS91" s="41"/>
      <c r="GT91" s="41"/>
      <c r="GU91" s="41"/>
      <c r="GV91" s="41"/>
      <c r="GW91" s="41"/>
      <c r="GX91" s="41"/>
      <c r="GY91" s="41"/>
      <c r="GZ91" s="41"/>
      <c r="HA91" s="41"/>
      <c r="HB91" s="41"/>
      <c r="HC91" s="41"/>
      <c r="HD91" s="41"/>
      <c r="HE91" s="41"/>
      <c r="HF91" s="41"/>
      <c r="HG91" s="41"/>
      <c r="HH91" s="41"/>
      <c r="HI91" s="41"/>
      <c r="HJ91" s="41"/>
      <c r="HK91" s="41"/>
      <c r="HL91" s="41"/>
      <c r="HM91" s="41"/>
      <c r="HN91" s="41"/>
      <c r="HO91" s="41"/>
      <c r="HP91" s="41"/>
      <c r="HQ91" s="41"/>
      <c r="HR91" s="41"/>
      <c r="HS91" s="41"/>
      <c r="HT91" s="41"/>
      <c r="HU91" s="41"/>
      <c r="HV91" s="41"/>
      <c r="HW91" s="41"/>
      <c r="HX91" s="41"/>
      <c r="HY91" s="41"/>
      <c r="HZ91" s="41"/>
      <c r="IA91" s="41"/>
      <c r="IB91" s="41"/>
      <c r="IC91" s="41"/>
      <c r="ID91" s="41"/>
      <c r="IE91" s="41"/>
      <c r="IF91" s="41"/>
      <c r="IG91" s="41"/>
      <c r="IH91" s="41"/>
      <c r="II91" s="41"/>
      <c r="IJ91" s="41"/>
      <c r="IK91" s="41"/>
      <c r="IL91" s="41"/>
      <c r="IM91" s="41"/>
      <c r="IN91" s="41"/>
      <c r="IO91" s="41"/>
      <c r="IP91" s="41"/>
      <c r="IQ91" s="41"/>
      <c r="IR91" s="41"/>
      <c r="IS91" s="41"/>
      <c r="IT91" s="41"/>
      <c r="IU91" s="41"/>
      <c r="IV91" s="41"/>
      <c r="IW91" s="41"/>
      <c r="IX91" s="41"/>
      <c r="IY91" s="41"/>
      <c r="IZ91" s="41"/>
      <c r="JA91" s="41"/>
      <c r="JB91" s="41"/>
      <c r="JC91" s="41"/>
      <c r="JD91" s="41"/>
      <c r="JE91" s="41"/>
      <c r="JF91" s="41"/>
      <c r="JG91" s="41"/>
      <c r="JH91" s="41"/>
      <c r="JI91" s="41"/>
      <c r="JJ91" s="41"/>
      <c r="JK91" s="41"/>
      <c r="JL91" s="41"/>
      <c r="JM91" s="41"/>
      <c r="JN91" s="41"/>
      <c r="JO91" s="41"/>
      <c r="JP91" s="41"/>
      <c r="JQ91" s="41"/>
      <c r="JR91" s="41"/>
      <c r="JS91" s="41"/>
      <c r="JT91" s="41"/>
      <c r="JU91" s="41"/>
      <c r="JV91" s="41"/>
      <c r="JW91" s="41"/>
      <c r="JX91" s="41"/>
      <c r="JY91" s="41"/>
      <c r="JZ91" s="41"/>
      <c r="KA91" s="41"/>
      <c r="KB91" s="41"/>
      <c r="KC91" s="41"/>
      <c r="KD91" s="41"/>
      <c r="KE91" s="41"/>
      <c r="KF91" s="41"/>
      <c r="KG91" s="41"/>
      <c r="KH91" s="41"/>
      <c r="KI91" s="41"/>
      <c r="KJ91" s="41"/>
      <c r="KK91" s="41"/>
      <c r="KL91" s="41"/>
      <c r="KM91" s="41"/>
      <c r="KN91" s="41"/>
      <c r="KO91" s="41"/>
      <c r="KP91" s="41"/>
      <c r="KQ91" s="41"/>
      <c r="KR91" s="41"/>
      <c r="KS91" s="41"/>
      <c r="KT91" s="41"/>
      <c r="KU91" s="41"/>
      <c r="KV91" s="41"/>
      <c r="KW91" s="41"/>
      <c r="KX91" s="41"/>
      <c r="KY91" s="41"/>
      <c r="KZ91" s="41"/>
      <c r="LA91" s="41"/>
      <c r="LB91" s="41"/>
      <c r="LC91" s="41"/>
      <c r="LD91" s="41"/>
      <c r="LE91" s="41"/>
      <c r="LF91" s="41"/>
      <c r="LG91" s="41"/>
      <c r="LH91" s="41"/>
      <c r="LI91" s="41"/>
      <c r="LJ91" s="41"/>
      <c r="LK91" s="41"/>
      <c r="LL91" s="41"/>
      <c r="LM91" s="41"/>
      <c r="LN91" s="41"/>
      <c r="LO91" s="41"/>
      <c r="LP91" s="41"/>
      <c r="LQ91" s="41"/>
      <c r="LR91" s="41"/>
      <c r="LS91" s="41"/>
      <c r="LT91" s="41"/>
      <c r="LU91" s="41"/>
      <c r="LV91" s="41"/>
      <c r="LW91" s="41"/>
      <c r="LX91" s="41"/>
      <c r="LY91" s="41"/>
      <c r="LZ91" s="41"/>
      <c r="MA91" s="41"/>
      <c r="MB91" s="41"/>
      <c r="MC91" s="41"/>
      <c r="MD91" s="41"/>
      <c r="ME91" s="41"/>
      <c r="MF91" s="41"/>
      <c r="MG91" s="41"/>
      <c r="MH91" s="41"/>
      <c r="MI91" s="41"/>
      <c r="MJ91" s="41"/>
      <c r="MK91" s="41"/>
      <c r="ML91" s="41"/>
      <c r="MM91" s="41"/>
      <c r="MN91" s="41"/>
      <c r="MO91" s="41"/>
      <c r="MP91" s="41"/>
      <c r="MQ91" s="41"/>
      <c r="MR91" s="41"/>
      <c r="MS91" s="41"/>
      <c r="MT91" s="41"/>
      <c r="MU91" s="41"/>
      <c r="MV91" s="41"/>
      <c r="MW91" s="41"/>
      <c r="MX91" s="41"/>
      <c r="MY91" s="41"/>
      <c r="MZ91" s="41"/>
      <c r="NA91" s="41"/>
      <c r="NB91" s="41"/>
      <c r="NC91" s="41"/>
      <c r="ND91" s="41"/>
      <c r="NE91" s="41"/>
      <c r="NF91" s="41"/>
      <c r="NG91" s="41"/>
      <c r="NH91" s="41"/>
      <c r="NI91" s="41"/>
      <c r="NJ91" s="41"/>
      <c r="NK91" s="41"/>
      <c r="NL91" s="41"/>
      <c r="NM91" s="41"/>
      <c r="NN91" s="41"/>
      <c r="NO91" s="41"/>
      <c r="NP91" s="41"/>
      <c r="NQ91" s="41"/>
      <c r="NR91" s="41"/>
      <c r="NS91" s="41"/>
      <c r="NT91" s="41"/>
      <c r="NU91" s="41"/>
      <c r="NV91" s="41"/>
      <c r="NW91" s="41"/>
      <c r="NX91" s="41"/>
      <c r="NY91" s="41"/>
      <c r="NZ91" s="41"/>
      <c r="OA91" s="41"/>
      <c r="OB91" s="41"/>
      <c r="OC91" s="41"/>
      <c r="OD91" s="41"/>
      <c r="OE91" s="41"/>
      <c r="OF91" s="41"/>
      <c r="OG91" s="41"/>
      <c r="OH91" s="41"/>
      <c r="OI91" s="41"/>
      <c r="OJ91" s="41"/>
      <c r="OK91" s="41"/>
      <c r="OL91" s="41"/>
      <c r="OM91" s="41"/>
      <c r="ON91" s="41"/>
      <c r="OO91" s="41"/>
      <c r="OP91" s="41"/>
      <c r="OQ91" s="41"/>
      <c r="OR91" s="41"/>
      <c r="OS91" s="41"/>
      <c r="OT91" s="41"/>
      <c r="OU91" s="41"/>
      <c r="OV91" s="41"/>
      <c r="OW91" s="41"/>
      <c r="OX91" s="41"/>
      <c r="OY91" s="41"/>
      <c r="OZ91" s="41"/>
      <c r="PA91" s="41"/>
      <c r="PB91" s="41"/>
      <c r="PC91" s="41"/>
      <c r="PD91" s="41"/>
      <c r="PE91" s="41"/>
      <c r="PF91" s="41"/>
      <c r="PG91" s="41"/>
      <c r="PH91" s="41"/>
      <c r="PI91" s="41"/>
      <c r="PJ91" s="41"/>
      <c r="PK91" s="41"/>
      <c r="PL91" s="41"/>
      <c r="PM91" s="41"/>
      <c r="PN91" s="41"/>
      <c r="PO91" s="41"/>
      <c r="PP91" s="41"/>
      <c r="PQ91" s="41"/>
      <c r="PR91" s="41"/>
      <c r="PS91" s="41"/>
      <c r="PT91" s="41"/>
      <c r="PU91" s="41"/>
      <c r="PV91" s="41"/>
      <c r="PW91" s="41"/>
      <c r="PX91" s="41"/>
      <c r="PY91" s="41"/>
      <c r="PZ91" s="41"/>
      <c r="QA91" s="41"/>
      <c r="QB91" s="41"/>
      <c r="QC91" s="41"/>
      <c r="QD91" s="41"/>
      <c r="QE91" s="41"/>
      <c r="QF91" s="41"/>
      <c r="QG91" s="41"/>
      <c r="QH91" s="41"/>
      <c r="QI91" s="41"/>
      <c r="QJ91" s="41"/>
      <c r="QK91" s="41"/>
      <c r="QL91" s="41"/>
      <c r="QM91" s="41"/>
      <c r="QN91" s="41"/>
      <c r="QO91" s="41"/>
      <c r="QP91" s="41"/>
      <c r="QQ91" s="41"/>
      <c r="QR91" s="41"/>
      <c r="QS91" s="41"/>
      <c r="QT91" s="41"/>
      <c r="QU91" s="41"/>
      <c r="QV91" s="41"/>
      <c r="QW91" s="41"/>
      <c r="QX91" s="41"/>
      <c r="QY91" s="41"/>
      <c r="QZ91" s="41"/>
      <c r="RA91" s="41"/>
      <c r="RB91" s="41"/>
      <c r="RC91" s="41"/>
      <c r="RD91" s="41"/>
      <c r="RE91" s="41"/>
      <c r="RF91" s="41"/>
      <c r="RG91" s="41"/>
      <c r="RH91" s="41"/>
      <c r="RI91" s="41"/>
      <c r="RJ91" s="41"/>
      <c r="RK91" s="41"/>
      <c r="RL91" s="41"/>
      <c r="RM91" s="41"/>
      <c r="RN91" s="41"/>
      <c r="RO91" s="41"/>
      <c r="RP91" s="41"/>
      <c r="RQ91" s="41"/>
      <c r="RR91" s="41"/>
      <c r="RS91" s="41"/>
      <c r="RT91" s="41"/>
      <c r="RU91" s="41"/>
      <c r="RV91" s="41"/>
      <c r="RW91" s="41"/>
      <c r="RX91" s="41"/>
      <c r="RY91" s="41"/>
      <c r="RZ91" s="41"/>
      <c r="SA91" s="41"/>
      <c r="SB91" s="41"/>
      <c r="SC91" s="41"/>
      <c r="SD91" s="41"/>
      <c r="SE91" s="41"/>
      <c r="SF91" s="41"/>
      <c r="SG91" s="41"/>
      <c r="SH91" s="41"/>
      <c r="SI91" s="41"/>
      <c r="SJ91" s="41"/>
      <c r="SK91" s="41"/>
      <c r="SL91" s="41"/>
      <c r="SM91" s="41"/>
      <c r="SN91" s="41"/>
      <c r="SO91" s="41"/>
      <c r="SP91" s="41"/>
      <c r="SQ91" s="41"/>
      <c r="SR91" s="41"/>
      <c r="SS91" s="41"/>
      <c r="ST91" s="41"/>
      <c r="SU91" s="41"/>
      <c r="SV91" s="41"/>
      <c r="SW91" s="41"/>
      <c r="SX91" s="41"/>
      <c r="SY91" s="41"/>
      <c r="SZ91" s="41"/>
      <c r="TA91" s="41"/>
      <c r="TB91" s="41"/>
      <c r="TC91" s="41"/>
      <c r="TD91" s="41"/>
      <c r="TE91" s="41"/>
      <c r="TF91" s="41"/>
      <c r="TG91" s="41"/>
      <c r="TH91" s="41"/>
      <c r="TI91" s="41"/>
      <c r="TJ91" s="41"/>
      <c r="TK91" s="41"/>
      <c r="TL91" s="41"/>
      <c r="TM91" s="41"/>
      <c r="TN91" s="41"/>
      <c r="TO91" s="41"/>
      <c r="TP91" s="41"/>
      <c r="TQ91" s="41"/>
      <c r="TR91" s="41"/>
      <c r="TS91" s="41"/>
      <c r="TT91" s="41"/>
      <c r="TU91" s="41"/>
      <c r="TV91" s="41"/>
      <c r="TW91" s="41"/>
      <c r="TX91" s="41"/>
      <c r="TY91" s="41"/>
      <c r="TZ91" s="41"/>
      <c r="UA91" s="41"/>
      <c r="UB91" s="41"/>
      <c r="UC91" s="41"/>
      <c r="UD91" s="41"/>
      <c r="UE91" s="41"/>
      <c r="UF91" s="41"/>
      <c r="UG91" s="41"/>
      <c r="UH91" s="41"/>
      <c r="UI91" s="41"/>
      <c r="UJ91" s="41"/>
      <c r="UK91" s="41"/>
      <c r="UL91" s="41"/>
      <c r="UM91" s="41"/>
      <c r="UN91" s="41"/>
      <c r="UO91" s="41"/>
      <c r="UP91" s="41"/>
      <c r="UQ91" s="41"/>
      <c r="UR91" s="41"/>
      <c r="US91" s="41"/>
      <c r="UT91" s="41"/>
      <c r="UU91" s="41"/>
      <c r="UV91" s="41"/>
      <c r="UW91" s="41"/>
      <c r="UX91" s="41"/>
      <c r="UY91" s="41"/>
      <c r="UZ91" s="41"/>
      <c r="VA91" s="41"/>
      <c r="VB91" s="41"/>
      <c r="VC91" s="41"/>
      <c r="VD91" s="41"/>
      <c r="VE91" s="41"/>
      <c r="VF91" s="41"/>
      <c r="VG91" s="41"/>
      <c r="VH91" s="41"/>
      <c r="VI91" s="41"/>
      <c r="VJ91" s="41"/>
      <c r="VK91" s="41"/>
      <c r="VL91" s="41"/>
      <c r="VM91" s="41"/>
      <c r="VN91" s="41"/>
      <c r="VO91" s="41"/>
      <c r="VP91" s="41"/>
      <c r="VQ91" s="41"/>
      <c r="VR91" s="41"/>
      <c r="VS91" s="41"/>
      <c r="VT91" s="41"/>
      <c r="VU91" s="41"/>
      <c r="VV91" s="41"/>
      <c r="VW91" s="41"/>
      <c r="VX91" s="41"/>
      <c r="VY91" s="41"/>
      <c r="VZ91" s="41"/>
      <c r="WA91" s="41"/>
      <c r="WB91" s="41"/>
      <c r="WC91" s="41"/>
      <c r="WD91" s="41"/>
      <c r="WE91" s="41"/>
      <c r="WF91" s="41"/>
      <c r="WG91" s="41"/>
      <c r="WH91" s="41"/>
      <c r="WI91" s="41"/>
      <c r="WJ91" s="41"/>
      <c r="WK91" s="41"/>
      <c r="WL91" s="41"/>
      <c r="WM91" s="41"/>
      <c r="WN91" s="41"/>
      <c r="WO91" s="41"/>
      <c r="WP91" s="41"/>
      <c r="WQ91" s="41"/>
      <c r="WR91" s="41"/>
      <c r="WS91" s="41"/>
      <c r="WT91" s="41"/>
      <c r="WU91" s="41"/>
      <c r="WV91" s="41"/>
      <c r="WW91" s="41"/>
      <c r="WX91" s="41"/>
      <c r="WY91" s="41"/>
      <c r="WZ91" s="41"/>
      <c r="XA91" s="41"/>
      <c r="XB91" s="41"/>
      <c r="XC91" s="41"/>
      <c r="XD91" s="41"/>
      <c r="XE91" s="41"/>
      <c r="XF91" s="41"/>
      <c r="XG91" s="41"/>
      <c r="XH91" s="41"/>
      <c r="XI91" s="41"/>
      <c r="XJ91" s="41"/>
      <c r="XK91" s="41"/>
      <c r="XL91" s="41"/>
      <c r="XM91" s="41"/>
      <c r="XN91" s="41"/>
      <c r="XO91" s="41"/>
      <c r="XP91" s="41"/>
      <c r="XQ91" s="41"/>
      <c r="XR91" s="41"/>
      <c r="XS91" s="41"/>
      <c r="XT91" s="41"/>
      <c r="XU91" s="41"/>
      <c r="XV91" s="41"/>
      <c r="XW91" s="41"/>
      <c r="XX91" s="41"/>
      <c r="XY91" s="41"/>
      <c r="XZ91" s="41"/>
      <c r="YA91" s="41"/>
      <c r="YB91" s="41"/>
      <c r="YC91" s="41"/>
      <c r="YD91" s="41"/>
      <c r="YE91" s="41"/>
      <c r="YF91" s="41"/>
      <c r="YG91" s="41"/>
      <c r="YH91" s="41"/>
      <c r="YI91" s="41"/>
      <c r="YJ91" s="41"/>
      <c r="YK91" s="41"/>
      <c r="YL91" s="41"/>
      <c r="YM91" s="41"/>
      <c r="YN91" s="41"/>
      <c r="YO91" s="41"/>
      <c r="YP91" s="41"/>
      <c r="YQ91" s="41"/>
      <c r="YR91" s="41"/>
      <c r="YS91" s="41"/>
      <c r="YT91" s="41"/>
      <c r="YU91" s="41"/>
      <c r="YV91" s="41"/>
      <c r="YW91" s="41"/>
      <c r="YX91" s="41"/>
      <c r="YY91" s="41"/>
      <c r="YZ91" s="41"/>
      <c r="ZA91" s="41"/>
      <c r="ZB91" s="41"/>
      <c r="ZC91" s="41"/>
      <c r="ZD91" s="41"/>
      <c r="ZE91" s="41"/>
      <c r="ZF91" s="41"/>
      <c r="ZG91" s="41"/>
      <c r="ZH91" s="41"/>
      <c r="ZI91" s="41"/>
      <c r="ZJ91" s="41"/>
      <c r="ZK91" s="41"/>
      <c r="ZL91" s="41"/>
      <c r="ZM91" s="41"/>
      <c r="ZN91" s="41"/>
      <c r="ZO91" s="41"/>
      <c r="ZP91" s="41"/>
      <c r="ZQ91" s="41"/>
      <c r="ZR91" s="41"/>
      <c r="ZS91" s="41"/>
      <c r="ZT91" s="41"/>
      <c r="ZU91" s="41"/>
      <c r="ZV91" s="41"/>
      <c r="ZW91" s="41"/>
      <c r="ZX91" s="41"/>
      <c r="ZY91" s="41"/>
      <c r="ZZ91" s="41"/>
      <c r="AAA91" s="41"/>
      <c r="AAB91" s="41"/>
      <c r="AAC91" s="41"/>
    </row>
    <row r="92" spans="1:705" s="42" customFormat="1" ht="42" hidden="1" x14ac:dyDescent="0.3">
      <c r="A92" s="26">
        <v>88</v>
      </c>
      <c r="B92" s="137">
        <v>239865</v>
      </c>
      <c r="C92" s="138">
        <v>88</v>
      </c>
      <c r="D92" s="139">
        <v>45922</v>
      </c>
      <c r="E92" s="139">
        <f t="shared" si="13"/>
        <v>45921</v>
      </c>
      <c r="F92" s="139">
        <f t="shared" si="10"/>
        <v>45932</v>
      </c>
      <c r="G92" s="139">
        <v>46013</v>
      </c>
      <c r="H92" s="139">
        <f ca="1">TODAY()</f>
        <v>46277</v>
      </c>
      <c r="I92" s="139" t="s">
        <v>321</v>
      </c>
      <c r="J92" s="140" t="s">
        <v>267</v>
      </c>
      <c r="K92" s="141">
        <f t="shared" ca="1" si="14"/>
        <v>345</v>
      </c>
      <c r="L92" s="141">
        <v>1146206</v>
      </c>
      <c r="M92" s="140" t="s">
        <v>15</v>
      </c>
      <c r="N92" s="142">
        <v>810943</v>
      </c>
      <c r="O92" s="140" t="s">
        <v>246</v>
      </c>
      <c r="P92" s="143">
        <v>46021</v>
      </c>
      <c r="Q92" s="143">
        <v>46198</v>
      </c>
      <c r="R92" s="157" t="s">
        <v>211</v>
      </c>
      <c r="S92" s="144" t="s">
        <v>268</v>
      </c>
      <c r="T92" s="145">
        <v>1</v>
      </c>
      <c r="U92" s="137" t="s">
        <v>106</v>
      </c>
      <c r="V92" s="146">
        <v>617</v>
      </c>
      <c r="W92" s="146">
        <v>617</v>
      </c>
      <c r="X92" s="147">
        <v>0</v>
      </c>
      <c r="Y92" s="146"/>
      <c r="Z92" s="146">
        <v>0</v>
      </c>
      <c r="AA92" s="146">
        <v>0</v>
      </c>
      <c r="AB92" s="146">
        <v>80</v>
      </c>
      <c r="AC92" s="146">
        <v>80</v>
      </c>
      <c r="AD92" s="146">
        <v>0</v>
      </c>
      <c r="AE92" s="146">
        <v>0</v>
      </c>
      <c r="AF92" s="146">
        <v>0</v>
      </c>
      <c r="AG92" s="146">
        <v>0</v>
      </c>
      <c r="AH92" s="146">
        <v>0</v>
      </c>
      <c r="AI92" s="146">
        <v>0</v>
      </c>
      <c r="AJ92" s="146">
        <v>1</v>
      </c>
      <c r="AK92" s="146">
        <v>1</v>
      </c>
      <c r="AL92" s="146">
        <v>3</v>
      </c>
      <c r="AM92" s="146">
        <v>3</v>
      </c>
      <c r="AN92" s="146">
        <v>2</v>
      </c>
      <c r="AO92" s="146">
        <v>2</v>
      </c>
      <c r="AP92" s="146">
        <v>0</v>
      </c>
      <c r="AQ92" s="146"/>
      <c r="AR92" s="146">
        <v>0</v>
      </c>
      <c r="AS92" s="146">
        <v>0</v>
      </c>
      <c r="AT92" s="146">
        <v>0</v>
      </c>
      <c r="AU92" s="146">
        <v>0</v>
      </c>
      <c r="AV92" s="146">
        <v>0</v>
      </c>
      <c r="AW92" s="146">
        <v>0</v>
      </c>
      <c r="AX92" s="146">
        <f t="shared" si="11"/>
        <v>43845</v>
      </c>
      <c r="AY92" s="146">
        <f t="shared" si="12"/>
        <v>43845</v>
      </c>
      <c r="AZ92" s="137" t="s">
        <v>562</v>
      </c>
      <c r="BA92" s="137" t="s">
        <v>618</v>
      </c>
      <c r="BB92" s="137">
        <v>6</v>
      </c>
      <c r="BC92" s="148">
        <v>88</v>
      </c>
      <c r="BD92" s="149"/>
      <c r="BE92" s="145"/>
      <c r="BF92" s="150"/>
      <c r="BG92" s="151">
        <v>46023</v>
      </c>
      <c r="BH92" s="153" t="s">
        <v>535</v>
      </c>
      <c r="BI92" s="153" t="s">
        <v>562</v>
      </c>
      <c r="CC92" s="41"/>
      <c r="CD92" s="41"/>
      <c r="CE92" s="41"/>
      <c r="CF92" s="41"/>
      <c r="CG92" s="41"/>
      <c r="CH92" s="41"/>
      <c r="CI92" s="41"/>
      <c r="CJ92" s="41"/>
      <c r="CK92" s="41"/>
      <c r="CL92" s="41"/>
      <c r="CM92" s="41"/>
      <c r="CN92" s="41"/>
      <c r="CO92" s="41"/>
      <c r="CP92" s="41"/>
      <c r="CQ92" s="41"/>
      <c r="CR92" s="41"/>
      <c r="CS92" s="41"/>
      <c r="CT92" s="41"/>
      <c r="CU92" s="41"/>
      <c r="CV92" s="41"/>
      <c r="CW92" s="41"/>
      <c r="CX92" s="41"/>
      <c r="CY92" s="41"/>
      <c r="CZ92" s="41"/>
      <c r="DA92" s="41"/>
      <c r="DB92" s="41"/>
      <c r="DC92" s="41"/>
      <c r="DD92" s="41"/>
      <c r="DE92" s="41"/>
      <c r="DF92" s="41"/>
      <c r="DG92" s="41"/>
      <c r="DH92" s="41"/>
      <c r="DI92" s="41"/>
      <c r="DJ92" s="41"/>
      <c r="DK92" s="41"/>
      <c r="DL92" s="41"/>
      <c r="DM92" s="41"/>
      <c r="DN92" s="41"/>
      <c r="DO92" s="41"/>
      <c r="DP92" s="41"/>
      <c r="DQ92" s="41"/>
      <c r="DR92" s="41"/>
      <c r="DS92" s="41"/>
      <c r="DT92" s="41"/>
      <c r="DU92" s="41"/>
      <c r="DV92" s="41"/>
      <c r="DW92" s="41"/>
      <c r="DX92" s="41"/>
      <c r="DY92" s="41"/>
      <c r="DZ92" s="41"/>
      <c r="EA92" s="41"/>
      <c r="EB92" s="41"/>
      <c r="EC92" s="41"/>
      <c r="ED92" s="41"/>
      <c r="EE92" s="41"/>
      <c r="EF92" s="41"/>
      <c r="EG92" s="41"/>
      <c r="EH92" s="41"/>
      <c r="EI92" s="41"/>
      <c r="EJ92" s="41"/>
      <c r="EK92" s="41"/>
      <c r="EL92" s="41"/>
      <c r="EM92" s="41"/>
      <c r="EN92" s="41"/>
      <c r="EO92" s="41"/>
      <c r="EP92" s="41"/>
      <c r="EQ92" s="41"/>
      <c r="ER92" s="41"/>
      <c r="ES92" s="41"/>
      <c r="ET92" s="41"/>
      <c r="EU92" s="41"/>
      <c r="EV92" s="41"/>
      <c r="EW92" s="41"/>
      <c r="EX92" s="41"/>
      <c r="EY92" s="41"/>
      <c r="EZ92" s="41"/>
      <c r="FA92" s="41"/>
      <c r="FB92" s="41"/>
      <c r="FC92" s="41"/>
      <c r="FD92" s="41"/>
      <c r="FE92" s="41"/>
      <c r="FF92" s="41"/>
      <c r="FG92" s="41"/>
      <c r="FH92" s="41"/>
      <c r="FI92" s="41"/>
      <c r="FJ92" s="41"/>
      <c r="FK92" s="41"/>
      <c r="FL92" s="41"/>
      <c r="FM92" s="41"/>
      <c r="FN92" s="41"/>
      <c r="FO92" s="41"/>
      <c r="FP92" s="41"/>
      <c r="FQ92" s="41"/>
      <c r="FR92" s="41"/>
      <c r="FS92" s="41"/>
      <c r="FT92" s="41"/>
      <c r="FU92" s="41"/>
      <c r="FV92" s="41"/>
      <c r="FW92" s="41"/>
      <c r="FX92" s="41"/>
      <c r="FY92" s="41"/>
      <c r="FZ92" s="41"/>
      <c r="GA92" s="41"/>
      <c r="GB92" s="41"/>
      <c r="GC92" s="41"/>
      <c r="GD92" s="41"/>
      <c r="GE92" s="41"/>
      <c r="GF92" s="41"/>
      <c r="GG92" s="41"/>
      <c r="GH92" s="41"/>
      <c r="GI92" s="41"/>
      <c r="GJ92" s="41"/>
      <c r="GK92" s="41"/>
      <c r="GL92" s="41"/>
      <c r="GM92" s="41"/>
      <c r="GN92" s="41"/>
      <c r="GO92" s="41"/>
      <c r="GP92" s="41"/>
      <c r="GQ92" s="41"/>
      <c r="GR92" s="41"/>
      <c r="GS92" s="41"/>
      <c r="GT92" s="41"/>
      <c r="GU92" s="41"/>
      <c r="GV92" s="41"/>
      <c r="GW92" s="41"/>
      <c r="GX92" s="41"/>
      <c r="GY92" s="41"/>
      <c r="GZ92" s="41"/>
      <c r="HA92" s="41"/>
      <c r="HB92" s="41"/>
      <c r="HC92" s="41"/>
      <c r="HD92" s="41"/>
      <c r="HE92" s="41"/>
      <c r="HF92" s="41"/>
      <c r="HG92" s="41"/>
      <c r="HH92" s="41"/>
      <c r="HI92" s="41"/>
      <c r="HJ92" s="41"/>
      <c r="HK92" s="41"/>
      <c r="HL92" s="41"/>
      <c r="HM92" s="41"/>
      <c r="HN92" s="41"/>
      <c r="HO92" s="41"/>
      <c r="HP92" s="41"/>
      <c r="HQ92" s="41"/>
      <c r="HR92" s="41"/>
      <c r="HS92" s="41"/>
      <c r="HT92" s="41"/>
      <c r="HU92" s="41"/>
      <c r="HV92" s="41"/>
      <c r="HW92" s="41"/>
      <c r="HX92" s="41"/>
      <c r="HY92" s="41"/>
      <c r="HZ92" s="41"/>
      <c r="IA92" s="41"/>
      <c r="IB92" s="41"/>
      <c r="IC92" s="41"/>
      <c r="ID92" s="41"/>
      <c r="IE92" s="41"/>
      <c r="IF92" s="41"/>
      <c r="IG92" s="41"/>
      <c r="IH92" s="41"/>
      <c r="II92" s="41"/>
      <c r="IJ92" s="41"/>
      <c r="IK92" s="41"/>
      <c r="IL92" s="41"/>
      <c r="IM92" s="41"/>
      <c r="IN92" s="41"/>
      <c r="IO92" s="41"/>
      <c r="IP92" s="41"/>
      <c r="IQ92" s="41"/>
      <c r="IR92" s="41"/>
      <c r="IS92" s="41"/>
      <c r="IT92" s="41"/>
      <c r="IU92" s="41"/>
      <c r="IV92" s="41"/>
      <c r="IW92" s="41"/>
      <c r="IX92" s="41"/>
      <c r="IY92" s="41"/>
      <c r="IZ92" s="41"/>
      <c r="JA92" s="41"/>
      <c r="JB92" s="41"/>
      <c r="JC92" s="41"/>
      <c r="JD92" s="41"/>
      <c r="JE92" s="41"/>
      <c r="JF92" s="41"/>
      <c r="JG92" s="41"/>
      <c r="JH92" s="41"/>
      <c r="JI92" s="41"/>
      <c r="JJ92" s="41"/>
      <c r="JK92" s="41"/>
      <c r="JL92" s="41"/>
      <c r="JM92" s="41"/>
      <c r="JN92" s="41"/>
      <c r="JO92" s="41"/>
      <c r="JP92" s="41"/>
      <c r="JQ92" s="41"/>
      <c r="JR92" s="41"/>
      <c r="JS92" s="41"/>
      <c r="JT92" s="41"/>
      <c r="JU92" s="41"/>
      <c r="JV92" s="41"/>
      <c r="JW92" s="41"/>
      <c r="JX92" s="41"/>
      <c r="JY92" s="41"/>
      <c r="JZ92" s="41"/>
      <c r="KA92" s="41"/>
      <c r="KB92" s="41"/>
      <c r="KC92" s="41"/>
      <c r="KD92" s="41"/>
      <c r="KE92" s="41"/>
      <c r="KF92" s="41"/>
      <c r="KG92" s="41"/>
      <c r="KH92" s="41"/>
      <c r="KI92" s="41"/>
      <c r="KJ92" s="41"/>
      <c r="KK92" s="41"/>
      <c r="KL92" s="41"/>
      <c r="KM92" s="41"/>
      <c r="KN92" s="41"/>
      <c r="KO92" s="41"/>
      <c r="KP92" s="41"/>
      <c r="KQ92" s="41"/>
      <c r="KR92" s="41"/>
      <c r="KS92" s="41"/>
      <c r="KT92" s="41"/>
      <c r="KU92" s="41"/>
      <c r="KV92" s="41"/>
      <c r="KW92" s="41"/>
      <c r="KX92" s="41"/>
      <c r="KY92" s="41"/>
      <c r="KZ92" s="41"/>
      <c r="LA92" s="41"/>
      <c r="LB92" s="41"/>
      <c r="LC92" s="41"/>
      <c r="LD92" s="41"/>
      <c r="LE92" s="41"/>
      <c r="LF92" s="41"/>
      <c r="LG92" s="41"/>
      <c r="LH92" s="41"/>
      <c r="LI92" s="41"/>
      <c r="LJ92" s="41"/>
      <c r="LK92" s="41"/>
      <c r="LL92" s="41"/>
      <c r="LM92" s="41"/>
      <c r="LN92" s="41"/>
      <c r="LO92" s="41"/>
      <c r="LP92" s="41"/>
      <c r="LQ92" s="41"/>
      <c r="LR92" s="41"/>
      <c r="LS92" s="41"/>
      <c r="LT92" s="41"/>
      <c r="LU92" s="41"/>
      <c r="LV92" s="41"/>
      <c r="LW92" s="41"/>
      <c r="LX92" s="41"/>
      <c r="LY92" s="41"/>
      <c r="LZ92" s="41"/>
      <c r="MA92" s="41"/>
      <c r="MB92" s="41"/>
      <c r="MC92" s="41"/>
      <c r="MD92" s="41"/>
      <c r="ME92" s="41"/>
      <c r="MF92" s="41"/>
      <c r="MG92" s="41"/>
      <c r="MH92" s="41"/>
      <c r="MI92" s="41"/>
      <c r="MJ92" s="41"/>
      <c r="MK92" s="41"/>
      <c r="ML92" s="41"/>
      <c r="MM92" s="41"/>
      <c r="MN92" s="41"/>
      <c r="MO92" s="41"/>
      <c r="MP92" s="41"/>
      <c r="MQ92" s="41"/>
      <c r="MR92" s="41"/>
      <c r="MS92" s="41"/>
      <c r="MT92" s="41"/>
      <c r="MU92" s="41"/>
      <c r="MV92" s="41"/>
      <c r="MW92" s="41"/>
      <c r="MX92" s="41"/>
      <c r="MY92" s="41"/>
      <c r="MZ92" s="41"/>
      <c r="NA92" s="41"/>
      <c r="NB92" s="41"/>
      <c r="NC92" s="41"/>
      <c r="ND92" s="41"/>
      <c r="NE92" s="41"/>
      <c r="NF92" s="41"/>
      <c r="NG92" s="41"/>
      <c r="NH92" s="41"/>
      <c r="NI92" s="41"/>
      <c r="NJ92" s="41"/>
      <c r="NK92" s="41"/>
      <c r="NL92" s="41"/>
      <c r="NM92" s="41"/>
      <c r="NN92" s="41"/>
      <c r="NO92" s="41"/>
      <c r="NP92" s="41"/>
      <c r="NQ92" s="41"/>
      <c r="NR92" s="41"/>
      <c r="NS92" s="41"/>
      <c r="NT92" s="41"/>
      <c r="NU92" s="41"/>
      <c r="NV92" s="41"/>
      <c r="NW92" s="41"/>
      <c r="NX92" s="41"/>
      <c r="NY92" s="41"/>
      <c r="NZ92" s="41"/>
      <c r="OA92" s="41"/>
      <c r="OB92" s="41"/>
      <c r="OC92" s="41"/>
      <c r="OD92" s="41"/>
      <c r="OE92" s="41"/>
      <c r="OF92" s="41"/>
      <c r="OG92" s="41"/>
      <c r="OH92" s="41"/>
      <c r="OI92" s="41"/>
      <c r="OJ92" s="41"/>
      <c r="OK92" s="41"/>
      <c r="OL92" s="41"/>
      <c r="OM92" s="41"/>
      <c r="ON92" s="41"/>
      <c r="OO92" s="41"/>
      <c r="OP92" s="41"/>
      <c r="OQ92" s="41"/>
      <c r="OR92" s="41"/>
      <c r="OS92" s="41"/>
      <c r="OT92" s="41"/>
      <c r="OU92" s="41"/>
      <c r="OV92" s="41"/>
      <c r="OW92" s="41"/>
      <c r="OX92" s="41"/>
      <c r="OY92" s="41"/>
      <c r="OZ92" s="41"/>
      <c r="PA92" s="41"/>
      <c r="PB92" s="41"/>
      <c r="PC92" s="41"/>
      <c r="PD92" s="41"/>
      <c r="PE92" s="41"/>
      <c r="PF92" s="41"/>
      <c r="PG92" s="41"/>
      <c r="PH92" s="41"/>
      <c r="PI92" s="41"/>
      <c r="PJ92" s="41"/>
      <c r="PK92" s="41"/>
      <c r="PL92" s="41"/>
      <c r="PM92" s="41"/>
      <c r="PN92" s="41"/>
      <c r="PO92" s="41"/>
      <c r="PP92" s="41"/>
      <c r="PQ92" s="41"/>
      <c r="PR92" s="41"/>
      <c r="PS92" s="41"/>
      <c r="PT92" s="41"/>
      <c r="PU92" s="41"/>
      <c r="PV92" s="41"/>
      <c r="PW92" s="41"/>
      <c r="PX92" s="41"/>
      <c r="PY92" s="41"/>
      <c r="PZ92" s="41"/>
      <c r="QA92" s="41"/>
      <c r="QB92" s="41"/>
      <c r="QC92" s="41"/>
      <c r="QD92" s="41"/>
      <c r="QE92" s="41"/>
      <c r="QF92" s="41"/>
      <c r="QG92" s="41"/>
      <c r="QH92" s="41"/>
      <c r="QI92" s="41"/>
      <c r="QJ92" s="41"/>
      <c r="QK92" s="41"/>
      <c r="QL92" s="41"/>
      <c r="QM92" s="41"/>
      <c r="QN92" s="41"/>
      <c r="QO92" s="41"/>
      <c r="QP92" s="41"/>
      <c r="QQ92" s="41"/>
      <c r="QR92" s="41"/>
      <c r="QS92" s="41"/>
      <c r="QT92" s="41"/>
      <c r="QU92" s="41"/>
      <c r="QV92" s="41"/>
      <c r="QW92" s="41"/>
      <c r="QX92" s="41"/>
      <c r="QY92" s="41"/>
      <c r="QZ92" s="41"/>
      <c r="RA92" s="41"/>
      <c r="RB92" s="41"/>
      <c r="RC92" s="41"/>
      <c r="RD92" s="41"/>
      <c r="RE92" s="41"/>
      <c r="RF92" s="41"/>
      <c r="RG92" s="41"/>
      <c r="RH92" s="41"/>
      <c r="RI92" s="41"/>
      <c r="RJ92" s="41"/>
      <c r="RK92" s="41"/>
      <c r="RL92" s="41"/>
      <c r="RM92" s="41"/>
      <c r="RN92" s="41"/>
      <c r="RO92" s="41"/>
      <c r="RP92" s="41"/>
      <c r="RQ92" s="41"/>
      <c r="RR92" s="41"/>
      <c r="RS92" s="41"/>
      <c r="RT92" s="41"/>
      <c r="RU92" s="41"/>
      <c r="RV92" s="41"/>
      <c r="RW92" s="41"/>
      <c r="RX92" s="41"/>
      <c r="RY92" s="41"/>
      <c r="RZ92" s="41"/>
      <c r="SA92" s="41"/>
      <c r="SB92" s="41"/>
      <c r="SC92" s="41"/>
      <c r="SD92" s="41"/>
      <c r="SE92" s="41"/>
      <c r="SF92" s="41"/>
      <c r="SG92" s="41"/>
      <c r="SH92" s="41"/>
      <c r="SI92" s="41"/>
      <c r="SJ92" s="41"/>
      <c r="SK92" s="41"/>
      <c r="SL92" s="41"/>
      <c r="SM92" s="41"/>
      <c r="SN92" s="41"/>
      <c r="SO92" s="41"/>
      <c r="SP92" s="41"/>
      <c r="SQ92" s="41"/>
      <c r="SR92" s="41"/>
      <c r="SS92" s="41"/>
      <c r="ST92" s="41"/>
      <c r="SU92" s="41"/>
      <c r="SV92" s="41"/>
      <c r="SW92" s="41"/>
      <c r="SX92" s="41"/>
      <c r="SY92" s="41"/>
      <c r="SZ92" s="41"/>
      <c r="TA92" s="41"/>
      <c r="TB92" s="41"/>
      <c r="TC92" s="41"/>
      <c r="TD92" s="41"/>
      <c r="TE92" s="41"/>
      <c r="TF92" s="41"/>
      <c r="TG92" s="41"/>
      <c r="TH92" s="41"/>
      <c r="TI92" s="41"/>
      <c r="TJ92" s="41"/>
      <c r="TK92" s="41"/>
      <c r="TL92" s="41"/>
      <c r="TM92" s="41"/>
      <c r="TN92" s="41"/>
      <c r="TO92" s="41"/>
      <c r="TP92" s="41"/>
      <c r="TQ92" s="41"/>
      <c r="TR92" s="41"/>
      <c r="TS92" s="41"/>
      <c r="TT92" s="41"/>
      <c r="TU92" s="41"/>
      <c r="TV92" s="41"/>
      <c r="TW92" s="41"/>
      <c r="TX92" s="41"/>
      <c r="TY92" s="41"/>
      <c r="TZ92" s="41"/>
      <c r="UA92" s="41"/>
      <c r="UB92" s="41"/>
      <c r="UC92" s="41"/>
      <c r="UD92" s="41"/>
      <c r="UE92" s="41"/>
      <c r="UF92" s="41"/>
      <c r="UG92" s="41"/>
      <c r="UH92" s="41"/>
      <c r="UI92" s="41"/>
      <c r="UJ92" s="41"/>
      <c r="UK92" s="41"/>
      <c r="UL92" s="41"/>
      <c r="UM92" s="41"/>
      <c r="UN92" s="41"/>
      <c r="UO92" s="41"/>
      <c r="UP92" s="41"/>
      <c r="UQ92" s="41"/>
      <c r="UR92" s="41"/>
      <c r="US92" s="41"/>
      <c r="UT92" s="41"/>
      <c r="UU92" s="41"/>
      <c r="UV92" s="41"/>
      <c r="UW92" s="41"/>
      <c r="UX92" s="41"/>
      <c r="UY92" s="41"/>
      <c r="UZ92" s="41"/>
      <c r="VA92" s="41"/>
      <c r="VB92" s="41"/>
      <c r="VC92" s="41"/>
      <c r="VD92" s="41"/>
      <c r="VE92" s="41"/>
      <c r="VF92" s="41"/>
      <c r="VG92" s="41"/>
      <c r="VH92" s="41"/>
      <c r="VI92" s="41"/>
      <c r="VJ92" s="41"/>
      <c r="VK92" s="41"/>
      <c r="VL92" s="41"/>
      <c r="VM92" s="41"/>
      <c r="VN92" s="41"/>
      <c r="VO92" s="41"/>
      <c r="VP92" s="41"/>
      <c r="VQ92" s="41"/>
      <c r="VR92" s="41"/>
      <c r="VS92" s="41"/>
      <c r="VT92" s="41"/>
      <c r="VU92" s="41"/>
      <c r="VV92" s="41"/>
      <c r="VW92" s="41"/>
      <c r="VX92" s="41"/>
      <c r="VY92" s="41"/>
      <c r="VZ92" s="41"/>
      <c r="WA92" s="41"/>
      <c r="WB92" s="41"/>
      <c r="WC92" s="41"/>
      <c r="WD92" s="41"/>
      <c r="WE92" s="41"/>
      <c r="WF92" s="41"/>
      <c r="WG92" s="41"/>
      <c r="WH92" s="41"/>
      <c r="WI92" s="41"/>
      <c r="WJ92" s="41"/>
      <c r="WK92" s="41"/>
      <c r="WL92" s="41"/>
      <c r="WM92" s="41"/>
      <c r="WN92" s="41"/>
      <c r="WO92" s="41"/>
      <c r="WP92" s="41"/>
      <c r="WQ92" s="41"/>
      <c r="WR92" s="41"/>
      <c r="WS92" s="41"/>
      <c r="WT92" s="41"/>
      <c r="WU92" s="41"/>
      <c r="WV92" s="41"/>
      <c r="WW92" s="41"/>
      <c r="WX92" s="41"/>
      <c r="WY92" s="41"/>
      <c r="WZ92" s="41"/>
      <c r="XA92" s="41"/>
      <c r="XB92" s="41"/>
      <c r="XC92" s="41"/>
      <c r="XD92" s="41"/>
      <c r="XE92" s="41"/>
      <c r="XF92" s="41"/>
      <c r="XG92" s="41"/>
      <c r="XH92" s="41"/>
      <c r="XI92" s="41"/>
      <c r="XJ92" s="41"/>
      <c r="XK92" s="41"/>
      <c r="XL92" s="41"/>
      <c r="XM92" s="41"/>
      <c r="XN92" s="41"/>
      <c r="XO92" s="41"/>
      <c r="XP92" s="41"/>
      <c r="XQ92" s="41"/>
      <c r="XR92" s="41"/>
      <c r="XS92" s="41"/>
      <c r="XT92" s="41"/>
      <c r="XU92" s="41"/>
      <c r="XV92" s="41"/>
      <c r="XW92" s="41"/>
      <c r="XX92" s="41"/>
      <c r="XY92" s="41"/>
      <c r="XZ92" s="41"/>
      <c r="YA92" s="41"/>
      <c r="YB92" s="41"/>
      <c r="YC92" s="41"/>
      <c r="YD92" s="41"/>
      <c r="YE92" s="41"/>
      <c r="YF92" s="41"/>
      <c r="YG92" s="41"/>
      <c r="YH92" s="41"/>
      <c r="YI92" s="41"/>
      <c r="YJ92" s="41"/>
      <c r="YK92" s="41"/>
      <c r="YL92" s="41"/>
      <c r="YM92" s="41"/>
      <c r="YN92" s="41"/>
      <c r="YO92" s="41"/>
      <c r="YP92" s="41"/>
      <c r="YQ92" s="41"/>
      <c r="YR92" s="41"/>
      <c r="YS92" s="41"/>
      <c r="YT92" s="41"/>
      <c r="YU92" s="41"/>
      <c r="YV92" s="41"/>
      <c r="YW92" s="41"/>
      <c r="YX92" s="41"/>
      <c r="YY92" s="41"/>
      <c r="YZ92" s="41"/>
      <c r="ZA92" s="41"/>
      <c r="ZB92" s="41"/>
      <c r="ZC92" s="41"/>
      <c r="ZD92" s="41"/>
      <c r="ZE92" s="41"/>
      <c r="ZF92" s="41"/>
      <c r="ZG92" s="41"/>
      <c r="ZH92" s="41"/>
      <c r="ZI92" s="41"/>
      <c r="ZJ92" s="41"/>
      <c r="ZK92" s="41"/>
      <c r="ZL92" s="41"/>
      <c r="ZM92" s="41"/>
      <c r="ZN92" s="41"/>
      <c r="ZO92" s="41"/>
      <c r="ZP92" s="41"/>
      <c r="ZQ92" s="41"/>
      <c r="ZR92" s="41"/>
      <c r="ZS92" s="41"/>
      <c r="ZT92" s="41"/>
      <c r="ZU92" s="41"/>
      <c r="ZV92" s="41"/>
      <c r="ZW92" s="41"/>
      <c r="ZX92" s="41"/>
      <c r="ZY92" s="41"/>
      <c r="ZZ92" s="41"/>
      <c r="AAA92" s="41"/>
      <c r="AAB92" s="41"/>
      <c r="AAC92" s="41"/>
    </row>
    <row r="93" spans="1:705" s="134" customFormat="1" ht="42" hidden="1" x14ac:dyDescent="0.3">
      <c r="A93" s="201">
        <v>89</v>
      </c>
      <c r="B93" s="137">
        <v>239869</v>
      </c>
      <c r="C93" s="138">
        <v>89</v>
      </c>
      <c r="D93" s="139">
        <v>45922</v>
      </c>
      <c r="E93" s="139">
        <f t="shared" si="13"/>
        <v>45921</v>
      </c>
      <c r="F93" s="139">
        <f t="shared" si="10"/>
        <v>45932</v>
      </c>
      <c r="G93" s="139">
        <v>46013</v>
      </c>
      <c r="H93" s="139">
        <v>46105</v>
      </c>
      <c r="I93" s="139" t="s">
        <v>321</v>
      </c>
      <c r="J93" s="140" t="s">
        <v>269</v>
      </c>
      <c r="K93" s="141">
        <f t="shared" si="14"/>
        <v>173</v>
      </c>
      <c r="L93" s="141">
        <v>1146225</v>
      </c>
      <c r="M93" s="140" t="s">
        <v>535</v>
      </c>
      <c r="N93" s="140">
        <v>810947</v>
      </c>
      <c r="O93" s="140" t="s">
        <v>246</v>
      </c>
      <c r="P93" s="143">
        <v>46022</v>
      </c>
      <c r="Q93" s="143">
        <v>46198</v>
      </c>
      <c r="R93" s="157" t="s">
        <v>211</v>
      </c>
      <c r="S93" s="144" t="s">
        <v>270</v>
      </c>
      <c r="T93" s="145">
        <v>1</v>
      </c>
      <c r="U93" s="137" t="s">
        <v>82</v>
      </c>
      <c r="V93" s="146">
        <v>78</v>
      </c>
      <c r="W93" s="146">
        <v>78</v>
      </c>
      <c r="X93" s="147"/>
      <c r="Y93" s="146"/>
      <c r="Z93" s="146">
        <v>0</v>
      </c>
      <c r="AA93" s="146">
        <v>0</v>
      </c>
      <c r="AB93" s="146">
        <v>78</v>
      </c>
      <c r="AC93" s="146">
        <v>78</v>
      </c>
      <c r="AD93" s="146">
        <v>0</v>
      </c>
      <c r="AE93" s="146">
        <v>0</v>
      </c>
      <c r="AF93" s="146">
        <v>0</v>
      </c>
      <c r="AG93" s="146">
        <v>0</v>
      </c>
      <c r="AH93" s="146">
        <v>0</v>
      </c>
      <c r="AI93" s="146">
        <v>0</v>
      </c>
      <c r="AJ93" s="146">
        <v>0</v>
      </c>
      <c r="AK93" s="146">
        <v>0</v>
      </c>
      <c r="AL93" s="146"/>
      <c r="AM93" s="146"/>
      <c r="AN93" s="146">
        <v>1</v>
      </c>
      <c r="AO93" s="146">
        <v>1</v>
      </c>
      <c r="AP93" s="146">
        <v>1</v>
      </c>
      <c r="AQ93" s="146">
        <v>1</v>
      </c>
      <c r="AR93" s="146">
        <v>0</v>
      </c>
      <c r="AS93" s="146">
        <v>0</v>
      </c>
      <c r="AT93" s="146">
        <v>0</v>
      </c>
      <c r="AU93" s="146"/>
      <c r="AV93" s="146">
        <v>0</v>
      </c>
      <c r="AW93" s="146">
        <v>0</v>
      </c>
      <c r="AX93" s="146">
        <f t="shared" si="11"/>
        <v>9816</v>
      </c>
      <c r="AY93" s="146">
        <f t="shared" si="12"/>
        <v>9816</v>
      </c>
      <c r="AZ93" s="137" t="s">
        <v>562</v>
      </c>
      <c r="BA93" s="137" t="s">
        <v>562</v>
      </c>
      <c r="BB93" s="137">
        <v>11</v>
      </c>
      <c r="BC93" s="148">
        <v>89</v>
      </c>
      <c r="BD93" s="149"/>
      <c r="BE93" s="145"/>
      <c r="BF93" s="150"/>
      <c r="BG93" s="188">
        <v>46096</v>
      </c>
      <c r="BH93" s="153" t="s">
        <v>535</v>
      </c>
      <c r="BI93" s="153" t="s">
        <v>562</v>
      </c>
      <c r="BK93" s="238"/>
    </row>
    <row r="94" spans="1:705" s="42" customFormat="1" hidden="1" x14ac:dyDescent="0.3">
      <c r="A94" s="26">
        <v>90</v>
      </c>
      <c r="B94" s="137">
        <v>239910</v>
      </c>
      <c r="C94" s="138">
        <v>90</v>
      </c>
      <c r="D94" s="139">
        <v>45922</v>
      </c>
      <c r="E94" s="139">
        <f t="shared" si="13"/>
        <v>45921</v>
      </c>
      <c r="F94" s="139">
        <f t="shared" si="10"/>
        <v>45932</v>
      </c>
      <c r="G94" s="139">
        <v>45932</v>
      </c>
      <c r="H94" s="139">
        <v>45946</v>
      </c>
      <c r="I94" s="139" t="s">
        <v>75</v>
      </c>
      <c r="J94" s="140" t="s">
        <v>271</v>
      </c>
      <c r="K94" s="141">
        <f t="shared" si="14"/>
        <v>14</v>
      </c>
      <c r="L94" s="141">
        <v>1146254</v>
      </c>
      <c r="M94" s="140" t="s">
        <v>15</v>
      </c>
      <c r="N94" s="140">
        <v>804493</v>
      </c>
      <c r="O94" s="140" t="s">
        <v>246</v>
      </c>
      <c r="P94" s="143">
        <v>45932</v>
      </c>
      <c r="Q94" s="143">
        <v>45947</v>
      </c>
      <c r="R94" s="157" t="s">
        <v>211</v>
      </c>
      <c r="S94" s="144" t="s">
        <v>272</v>
      </c>
      <c r="T94" s="145">
        <v>1</v>
      </c>
      <c r="U94" s="137" t="s">
        <v>128</v>
      </c>
      <c r="V94" s="146">
        <v>6</v>
      </c>
      <c r="W94" s="146">
        <v>6</v>
      </c>
      <c r="X94" s="147">
        <v>0</v>
      </c>
      <c r="Y94" s="146">
        <v>0</v>
      </c>
      <c r="Z94" s="146">
        <v>0</v>
      </c>
      <c r="AA94" s="146">
        <v>0</v>
      </c>
      <c r="AB94" s="146">
        <v>6</v>
      </c>
      <c r="AC94" s="146">
        <v>6</v>
      </c>
      <c r="AD94" s="146">
        <v>0</v>
      </c>
      <c r="AE94" s="146">
        <v>0</v>
      </c>
      <c r="AF94" s="146">
        <v>0</v>
      </c>
      <c r="AG94" s="146">
        <v>0</v>
      </c>
      <c r="AH94" s="146">
        <v>1</v>
      </c>
      <c r="AI94" s="146">
        <v>1</v>
      </c>
      <c r="AJ94" s="146">
        <v>0</v>
      </c>
      <c r="AK94" s="146">
        <v>0</v>
      </c>
      <c r="AL94" s="146">
        <v>0</v>
      </c>
      <c r="AM94" s="146">
        <v>0</v>
      </c>
      <c r="AN94" s="146">
        <v>0</v>
      </c>
      <c r="AO94" s="146">
        <v>0</v>
      </c>
      <c r="AP94" s="146">
        <v>1</v>
      </c>
      <c r="AQ94" s="146">
        <v>1</v>
      </c>
      <c r="AR94" s="146">
        <v>0</v>
      </c>
      <c r="AS94" s="146">
        <v>0</v>
      </c>
      <c r="AT94" s="146">
        <v>1</v>
      </c>
      <c r="AU94" s="146">
        <v>1</v>
      </c>
      <c r="AV94" s="146">
        <v>0</v>
      </c>
      <c r="AW94" s="146">
        <v>0</v>
      </c>
      <c r="AX94" s="146">
        <f t="shared" si="11"/>
        <v>1852</v>
      </c>
      <c r="AY94" s="146">
        <f t="shared" si="12"/>
        <v>1852</v>
      </c>
      <c r="AZ94" s="140" t="s">
        <v>562</v>
      </c>
      <c r="BA94" s="137" t="s">
        <v>562</v>
      </c>
      <c r="BB94" s="137">
        <v>2</v>
      </c>
      <c r="BC94" s="148">
        <v>90</v>
      </c>
      <c r="BD94" s="149"/>
      <c r="BE94" s="145"/>
      <c r="BF94" s="150"/>
      <c r="BG94" s="151">
        <v>45931</v>
      </c>
      <c r="BH94" s="153" t="s">
        <v>535</v>
      </c>
      <c r="BI94" s="153" t="s">
        <v>562</v>
      </c>
      <c r="CC94" s="41"/>
      <c r="CD94" s="41"/>
      <c r="CE94" s="41"/>
      <c r="CF94" s="41"/>
      <c r="CG94" s="41"/>
      <c r="CH94" s="41"/>
      <c r="CI94" s="41"/>
      <c r="CJ94" s="41"/>
      <c r="CK94" s="41"/>
      <c r="CL94" s="41"/>
      <c r="CM94" s="41"/>
      <c r="CN94" s="41"/>
      <c r="CO94" s="41"/>
      <c r="CP94" s="41"/>
      <c r="CQ94" s="41"/>
      <c r="CR94" s="41"/>
      <c r="CS94" s="41"/>
      <c r="CT94" s="41"/>
      <c r="CU94" s="41"/>
      <c r="CV94" s="41"/>
      <c r="CW94" s="41"/>
      <c r="CX94" s="41"/>
      <c r="CY94" s="41"/>
      <c r="CZ94" s="41"/>
      <c r="DA94" s="41"/>
      <c r="DB94" s="41"/>
      <c r="DC94" s="41"/>
      <c r="DD94" s="41"/>
      <c r="DE94" s="41"/>
      <c r="DF94" s="41"/>
      <c r="DG94" s="41"/>
      <c r="DH94" s="41"/>
      <c r="DI94" s="41"/>
      <c r="DJ94" s="41"/>
      <c r="DK94" s="41"/>
      <c r="DL94" s="41"/>
      <c r="DM94" s="41"/>
      <c r="DN94" s="41"/>
      <c r="DO94" s="41"/>
      <c r="DP94" s="41"/>
      <c r="DQ94" s="41"/>
      <c r="DR94" s="41"/>
      <c r="DS94" s="41"/>
      <c r="DT94" s="41"/>
      <c r="DU94" s="41"/>
      <c r="DV94" s="41"/>
      <c r="DW94" s="41"/>
      <c r="DX94" s="41"/>
      <c r="DY94" s="41"/>
      <c r="DZ94" s="41"/>
      <c r="EA94" s="41"/>
      <c r="EB94" s="41"/>
      <c r="EC94" s="41"/>
      <c r="ED94" s="41"/>
      <c r="EE94" s="41"/>
      <c r="EF94" s="41"/>
      <c r="EG94" s="41"/>
      <c r="EH94" s="41"/>
      <c r="EI94" s="41"/>
      <c r="EJ94" s="41"/>
      <c r="EK94" s="41"/>
      <c r="EL94" s="41"/>
      <c r="EM94" s="41"/>
      <c r="EN94" s="41"/>
      <c r="EO94" s="41"/>
      <c r="EP94" s="41"/>
      <c r="EQ94" s="41"/>
      <c r="ER94" s="41"/>
      <c r="ES94" s="41"/>
      <c r="ET94" s="41"/>
      <c r="EU94" s="41"/>
      <c r="EV94" s="41"/>
      <c r="EW94" s="41"/>
      <c r="EX94" s="41"/>
      <c r="EY94" s="41"/>
      <c r="EZ94" s="41"/>
      <c r="FA94" s="41"/>
      <c r="FB94" s="41"/>
      <c r="FC94" s="41"/>
      <c r="FD94" s="41"/>
      <c r="FE94" s="41"/>
      <c r="FF94" s="41"/>
      <c r="FG94" s="41"/>
      <c r="FH94" s="41"/>
      <c r="FI94" s="41"/>
      <c r="FJ94" s="41"/>
      <c r="FK94" s="41"/>
      <c r="FL94" s="41"/>
      <c r="FM94" s="41"/>
      <c r="FN94" s="41"/>
      <c r="FO94" s="41"/>
      <c r="FP94" s="41"/>
      <c r="FQ94" s="41"/>
      <c r="FR94" s="41"/>
      <c r="FS94" s="41"/>
      <c r="FT94" s="41"/>
      <c r="FU94" s="41"/>
      <c r="FV94" s="41"/>
      <c r="FW94" s="41"/>
      <c r="FX94" s="41"/>
      <c r="FY94" s="41"/>
      <c r="FZ94" s="41"/>
      <c r="GA94" s="41"/>
      <c r="GB94" s="41"/>
      <c r="GC94" s="41"/>
      <c r="GD94" s="41"/>
      <c r="GE94" s="41"/>
      <c r="GF94" s="41"/>
      <c r="GG94" s="41"/>
      <c r="GH94" s="41"/>
      <c r="GI94" s="41"/>
      <c r="GJ94" s="41"/>
      <c r="GK94" s="41"/>
      <c r="GL94" s="41"/>
      <c r="GM94" s="41"/>
      <c r="GN94" s="41"/>
      <c r="GO94" s="41"/>
      <c r="GP94" s="41"/>
      <c r="GQ94" s="41"/>
      <c r="GR94" s="41"/>
      <c r="GS94" s="41"/>
      <c r="GT94" s="41"/>
      <c r="GU94" s="41"/>
      <c r="GV94" s="41"/>
      <c r="GW94" s="41"/>
      <c r="GX94" s="41"/>
      <c r="GY94" s="41"/>
      <c r="GZ94" s="41"/>
      <c r="HA94" s="41"/>
      <c r="HB94" s="41"/>
      <c r="HC94" s="41"/>
      <c r="HD94" s="41"/>
      <c r="HE94" s="41"/>
      <c r="HF94" s="41"/>
      <c r="HG94" s="41"/>
      <c r="HH94" s="41"/>
      <c r="HI94" s="41"/>
      <c r="HJ94" s="41"/>
      <c r="HK94" s="41"/>
      <c r="HL94" s="41"/>
      <c r="HM94" s="41"/>
      <c r="HN94" s="41"/>
      <c r="HO94" s="41"/>
      <c r="HP94" s="41"/>
      <c r="HQ94" s="41"/>
      <c r="HR94" s="41"/>
      <c r="HS94" s="41"/>
      <c r="HT94" s="41"/>
      <c r="HU94" s="41"/>
      <c r="HV94" s="41"/>
      <c r="HW94" s="41"/>
      <c r="HX94" s="41"/>
      <c r="HY94" s="41"/>
      <c r="HZ94" s="41"/>
      <c r="IA94" s="41"/>
      <c r="IB94" s="41"/>
      <c r="IC94" s="41"/>
      <c r="ID94" s="41"/>
      <c r="IE94" s="41"/>
      <c r="IF94" s="41"/>
      <c r="IG94" s="41"/>
      <c r="IH94" s="41"/>
      <c r="II94" s="41"/>
      <c r="IJ94" s="41"/>
      <c r="IK94" s="41"/>
      <c r="IL94" s="41"/>
      <c r="IM94" s="41"/>
      <c r="IN94" s="41"/>
      <c r="IO94" s="41"/>
      <c r="IP94" s="41"/>
      <c r="IQ94" s="41"/>
      <c r="IR94" s="41"/>
      <c r="IS94" s="41"/>
      <c r="IT94" s="41"/>
      <c r="IU94" s="41"/>
      <c r="IV94" s="41"/>
      <c r="IW94" s="41"/>
      <c r="IX94" s="41"/>
      <c r="IY94" s="41"/>
      <c r="IZ94" s="41"/>
      <c r="JA94" s="41"/>
      <c r="JB94" s="41"/>
      <c r="JC94" s="41"/>
      <c r="JD94" s="41"/>
      <c r="JE94" s="41"/>
      <c r="JF94" s="41"/>
      <c r="JG94" s="41"/>
      <c r="JH94" s="41"/>
      <c r="JI94" s="41"/>
      <c r="JJ94" s="41"/>
      <c r="JK94" s="41"/>
      <c r="JL94" s="41"/>
      <c r="JM94" s="41"/>
      <c r="JN94" s="41"/>
      <c r="JO94" s="41"/>
      <c r="JP94" s="41"/>
      <c r="JQ94" s="41"/>
      <c r="JR94" s="41"/>
      <c r="JS94" s="41"/>
      <c r="JT94" s="41"/>
      <c r="JU94" s="41"/>
      <c r="JV94" s="41"/>
      <c r="JW94" s="41"/>
      <c r="JX94" s="41"/>
      <c r="JY94" s="41"/>
      <c r="JZ94" s="41"/>
      <c r="KA94" s="41"/>
      <c r="KB94" s="41"/>
      <c r="KC94" s="41"/>
      <c r="KD94" s="41"/>
      <c r="KE94" s="41"/>
      <c r="KF94" s="41"/>
      <c r="KG94" s="41"/>
      <c r="KH94" s="41"/>
      <c r="KI94" s="41"/>
      <c r="KJ94" s="41"/>
      <c r="KK94" s="41"/>
      <c r="KL94" s="41"/>
      <c r="KM94" s="41"/>
      <c r="KN94" s="41"/>
      <c r="KO94" s="41"/>
      <c r="KP94" s="41"/>
      <c r="KQ94" s="41"/>
      <c r="KR94" s="41"/>
      <c r="KS94" s="41"/>
      <c r="KT94" s="41"/>
      <c r="KU94" s="41"/>
      <c r="KV94" s="41"/>
      <c r="KW94" s="41"/>
      <c r="KX94" s="41"/>
      <c r="KY94" s="41"/>
      <c r="KZ94" s="41"/>
      <c r="LA94" s="41"/>
      <c r="LB94" s="41"/>
      <c r="LC94" s="41"/>
      <c r="LD94" s="41"/>
      <c r="LE94" s="41"/>
      <c r="LF94" s="41"/>
      <c r="LG94" s="41"/>
      <c r="LH94" s="41"/>
      <c r="LI94" s="41"/>
      <c r="LJ94" s="41"/>
      <c r="LK94" s="41"/>
      <c r="LL94" s="41"/>
      <c r="LM94" s="41"/>
      <c r="LN94" s="41"/>
      <c r="LO94" s="41"/>
      <c r="LP94" s="41"/>
      <c r="LQ94" s="41"/>
      <c r="LR94" s="41"/>
      <c r="LS94" s="41"/>
      <c r="LT94" s="41"/>
      <c r="LU94" s="41"/>
      <c r="LV94" s="41"/>
      <c r="LW94" s="41"/>
      <c r="LX94" s="41"/>
      <c r="LY94" s="41"/>
      <c r="LZ94" s="41"/>
      <c r="MA94" s="41"/>
      <c r="MB94" s="41"/>
      <c r="MC94" s="41"/>
      <c r="MD94" s="41"/>
      <c r="ME94" s="41"/>
      <c r="MF94" s="41"/>
      <c r="MG94" s="41"/>
      <c r="MH94" s="41"/>
      <c r="MI94" s="41"/>
      <c r="MJ94" s="41"/>
      <c r="MK94" s="41"/>
      <c r="ML94" s="41"/>
      <c r="MM94" s="41"/>
      <c r="MN94" s="41"/>
      <c r="MO94" s="41"/>
      <c r="MP94" s="41"/>
      <c r="MQ94" s="41"/>
      <c r="MR94" s="41"/>
      <c r="MS94" s="41"/>
      <c r="MT94" s="41"/>
      <c r="MU94" s="41"/>
      <c r="MV94" s="41"/>
      <c r="MW94" s="41"/>
      <c r="MX94" s="41"/>
      <c r="MY94" s="41"/>
      <c r="MZ94" s="41"/>
      <c r="NA94" s="41"/>
      <c r="NB94" s="41"/>
      <c r="NC94" s="41"/>
      <c r="ND94" s="41"/>
      <c r="NE94" s="41"/>
      <c r="NF94" s="41"/>
      <c r="NG94" s="41"/>
      <c r="NH94" s="41"/>
      <c r="NI94" s="41"/>
      <c r="NJ94" s="41"/>
      <c r="NK94" s="41"/>
      <c r="NL94" s="41"/>
      <c r="NM94" s="41"/>
      <c r="NN94" s="41"/>
      <c r="NO94" s="41"/>
      <c r="NP94" s="41"/>
      <c r="NQ94" s="41"/>
      <c r="NR94" s="41"/>
      <c r="NS94" s="41"/>
      <c r="NT94" s="41"/>
      <c r="NU94" s="41"/>
      <c r="NV94" s="41"/>
      <c r="NW94" s="41"/>
      <c r="NX94" s="41"/>
      <c r="NY94" s="41"/>
      <c r="NZ94" s="41"/>
      <c r="OA94" s="41"/>
      <c r="OB94" s="41"/>
      <c r="OC94" s="41"/>
      <c r="OD94" s="41"/>
      <c r="OE94" s="41"/>
      <c r="OF94" s="41"/>
      <c r="OG94" s="41"/>
      <c r="OH94" s="41"/>
      <c r="OI94" s="41"/>
      <c r="OJ94" s="41"/>
      <c r="OK94" s="41"/>
      <c r="OL94" s="41"/>
      <c r="OM94" s="41"/>
      <c r="ON94" s="41"/>
      <c r="OO94" s="41"/>
      <c r="OP94" s="41"/>
      <c r="OQ94" s="41"/>
      <c r="OR94" s="41"/>
      <c r="OS94" s="41"/>
      <c r="OT94" s="41"/>
      <c r="OU94" s="41"/>
      <c r="OV94" s="41"/>
      <c r="OW94" s="41"/>
      <c r="OX94" s="41"/>
      <c r="OY94" s="41"/>
      <c r="OZ94" s="41"/>
      <c r="PA94" s="41"/>
      <c r="PB94" s="41"/>
      <c r="PC94" s="41"/>
      <c r="PD94" s="41"/>
      <c r="PE94" s="41"/>
      <c r="PF94" s="41"/>
      <c r="PG94" s="41"/>
      <c r="PH94" s="41"/>
      <c r="PI94" s="41"/>
      <c r="PJ94" s="41"/>
      <c r="PK94" s="41"/>
      <c r="PL94" s="41"/>
      <c r="PM94" s="41"/>
      <c r="PN94" s="41"/>
      <c r="PO94" s="41"/>
      <c r="PP94" s="41"/>
      <c r="PQ94" s="41"/>
      <c r="PR94" s="41"/>
      <c r="PS94" s="41"/>
      <c r="PT94" s="41"/>
      <c r="PU94" s="41"/>
      <c r="PV94" s="41"/>
      <c r="PW94" s="41"/>
      <c r="PX94" s="41"/>
      <c r="PY94" s="41"/>
      <c r="PZ94" s="41"/>
      <c r="QA94" s="41"/>
      <c r="QB94" s="41"/>
      <c r="QC94" s="41"/>
      <c r="QD94" s="41"/>
      <c r="QE94" s="41"/>
      <c r="QF94" s="41"/>
      <c r="QG94" s="41"/>
      <c r="QH94" s="41"/>
      <c r="QI94" s="41"/>
      <c r="QJ94" s="41"/>
      <c r="QK94" s="41"/>
      <c r="QL94" s="41"/>
      <c r="QM94" s="41"/>
      <c r="QN94" s="41"/>
      <c r="QO94" s="41"/>
      <c r="QP94" s="41"/>
      <c r="QQ94" s="41"/>
      <c r="QR94" s="41"/>
      <c r="QS94" s="41"/>
      <c r="QT94" s="41"/>
      <c r="QU94" s="41"/>
      <c r="QV94" s="41"/>
      <c r="QW94" s="41"/>
      <c r="QX94" s="41"/>
      <c r="QY94" s="41"/>
      <c r="QZ94" s="41"/>
      <c r="RA94" s="41"/>
      <c r="RB94" s="41"/>
      <c r="RC94" s="41"/>
      <c r="RD94" s="41"/>
      <c r="RE94" s="41"/>
      <c r="RF94" s="41"/>
      <c r="RG94" s="41"/>
      <c r="RH94" s="41"/>
      <c r="RI94" s="41"/>
      <c r="RJ94" s="41"/>
      <c r="RK94" s="41"/>
      <c r="RL94" s="41"/>
      <c r="RM94" s="41"/>
      <c r="RN94" s="41"/>
      <c r="RO94" s="41"/>
      <c r="RP94" s="41"/>
      <c r="RQ94" s="41"/>
      <c r="RR94" s="41"/>
      <c r="RS94" s="41"/>
      <c r="RT94" s="41"/>
      <c r="RU94" s="41"/>
      <c r="RV94" s="41"/>
      <c r="RW94" s="41"/>
      <c r="RX94" s="41"/>
      <c r="RY94" s="41"/>
      <c r="RZ94" s="41"/>
      <c r="SA94" s="41"/>
      <c r="SB94" s="41"/>
      <c r="SC94" s="41"/>
      <c r="SD94" s="41"/>
      <c r="SE94" s="41"/>
      <c r="SF94" s="41"/>
      <c r="SG94" s="41"/>
      <c r="SH94" s="41"/>
      <c r="SI94" s="41"/>
      <c r="SJ94" s="41"/>
      <c r="SK94" s="41"/>
      <c r="SL94" s="41"/>
      <c r="SM94" s="41"/>
      <c r="SN94" s="41"/>
      <c r="SO94" s="41"/>
      <c r="SP94" s="41"/>
      <c r="SQ94" s="41"/>
      <c r="SR94" s="41"/>
      <c r="SS94" s="41"/>
      <c r="ST94" s="41"/>
      <c r="SU94" s="41"/>
      <c r="SV94" s="41"/>
      <c r="SW94" s="41"/>
      <c r="SX94" s="41"/>
      <c r="SY94" s="41"/>
      <c r="SZ94" s="41"/>
      <c r="TA94" s="41"/>
      <c r="TB94" s="41"/>
      <c r="TC94" s="41"/>
      <c r="TD94" s="41"/>
      <c r="TE94" s="41"/>
      <c r="TF94" s="41"/>
      <c r="TG94" s="41"/>
      <c r="TH94" s="41"/>
      <c r="TI94" s="41"/>
      <c r="TJ94" s="41"/>
      <c r="TK94" s="41"/>
      <c r="TL94" s="41"/>
      <c r="TM94" s="41"/>
      <c r="TN94" s="41"/>
      <c r="TO94" s="41"/>
      <c r="TP94" s="41"/>
      <c r="TQ94" s="41"/>
      <c r="TR94" s="41"/>
      <c r="TS94" s="41"/>
      <c r="TT94" s="41"/>
      <c r="TU94" s="41"/>
      <c r="TV94" s="41"/>
      <c r="TW94" s="41"/>
      <c r="TX94" s="41"/>
      <c r="TY94" s="41"/>
      <c r="TZ94" s="41"/>
      <c r="UA94" s="41"/>
      <c r="UB94" s="41"/>
      <c r="UC94" s="41"/>
      <c r="UD94" s="41"/>
      <c r="UE94" s="41"/>
      <c r="UF94" s="41"/>
      <c r="UG94" s="41"/>
      <c r="UH94" s="41"/>
      <c r="UI94" s="41"/>
      <c r="UJ94" s="41"/>
      <c r="UK94" s="41"/>
      <c r="UL94" s="41"/>
      <c r="UM94" s="41"/>
      <c r="UN94" s="41"/>
      <c r="UO94" s="41"/>
      <c r="UP94" s="41"/>
      <c r="UQ94" s="41"/>
      <c r="UR94" s="41"/>
      <c r="US94" s="41"/>
      <c r="UT94" s="41"/>
      <c r="UU94" s="41"/>
      <c r="UV94" s="41"/>
      <c r="UW94" s="41"/>
      <c r="UX94" s="41"/>
      <c r="UY94" s="41"/>
      <c r="UZ94" s="41"/>
      <c r="VA94" s="41"/>
      <c r="VB94" s="41"/>
      <c r="VC94" s="41"/>
      <c r="VD94" s="41"/>
      <c r="VE94" s="41"/>
      <c r="VF94" s="41"/>
      <c r="VG94" s="41"/>
      <c r="VH94" s="41"/>
      <c r="VI94" s="41"/>
      <c r="VJ94" s="41"/>
      <c r="VK94" s="41"/>
      <c r="VL94" s="41"/>
      <c r="VM94" s="41"/>
      <c r="VN94" s="41"/>
      <c r="VO94" s="41"/>
      <c r="VP94" s="41"/>
      <c r="VQ94" s="41"/>
      <c r="VR94" s="41"/>
      <c r="VS94" s="41"/>
      <c r="VT94" s="41"/>
      <c r="VU94" s="41"/>
      <c r="VV94" s="41"/>
      <c r="VW94" s="41"/>
      <c r="VX94" s="41"/>
      <c r="VY94" s="41"/>
      <c r="VZ94" s="41"/>
      <c r="WA94" s="41"/>
      <c r="WB94" s="41"/>
      <c r="WC94" s="41"/>
      <c r="WD94" s="41"/>
      <c r="WE94" s="41"/>
      <c r="WF94" s="41"/>
      <c r="WG94" s="41"/>
      <c r="WH94" s="41"/>
      <c r="WI94" s="41"/>
      <c r="WJ94" s="41"/>
      <c r="WK94" s="41"/>
      <c r="WL94" s="41"/>
      <c r="WM94" s="41"/>
      <c r="WN94" s="41"/>
      <c r="WO94" s="41"/>
      <c r="WP94" s="41"/>
      <c r="WQ94" s="41"/>
      <c r="WR94" s="41"/>
      <c r="WS94" s="41"/>
      <c r="WT94" s="41"/>
      <c r="WU94" s="41"/>
      <c r="WV94" s="41"/>
      <c r="WW94" s="41"/>
      <c r="WX94" s="41"/>
      <c r="WY94" s="41"/>
      <c r="WZ94" s="41"/>
      <c r="XA94" s="41"/>
      <c r="XB94" s="41"/>
      <c r="XC94" s="41"/>
      <c r="XD94" s="41"/>
      <c r="XE94" s="41"/>
      <c r="XF94" s="41"/>
      <c r="XG94" s="41"/>
      <c r="XH94" s="41"/>
      <c r="XI94" s="41"/>
      <c r="XJ94" s="41"/>
      <c r="XK94" s="41"/>
      <c r="XL94" s="41"/>
      <c r="XM94" s="41"/>
      <c r="XN94" s="41"/>
      <c r="XO94" s="41"/>
      <c r="XP94" s="41"/>
      <c r="XQ94" s="41"/>
      <c r="XR94" s="41"/>
      <c r="XS94" s="41"/>
      <c r="XT94" s="41"/>
      <c r="XU94" s="41"/>
      <c r="XV94" s="41"/>
      <c r="XW94" s="41"/>
      <c r="XX94" s="41"/>
      <c r="XY94" s="41"/>
      <c r="XZ94" s="41"/>
      <c r="YA94" s="41"/>
      <c r="YB94" s="41"/>
      <c r="YC94" s="41"/>
      <c r="YD94" s="41"/>
      <c r="YE94" s="41"/>
      <c r="YF94" s="41"/>
      <c r="YG94" s="41"/>
      <c r="YH94" s="41"/>
      <c r="YI94" s="41"/>
      <c r="YJ94" s="41"/>
      <c r="YK94" s="41"/>
      <c r="YL94" s="41"/>
      <c r="YM94" s="41"/>
      <c r="YN94" s="41"/>
      <c r="YO94" s="41"/>
      <c r="YP94" s="41"/>
      <c r="YQ94" s="41"/>
      <c r="YR94" s="41"/>
      <c r="YS94" s="41"/>
      <c r="YT94" s="41"/>
      <c r="YU94" s="41"/>
      <c r="YV94" s="41"/>
      <c r="YW94" s="41"/>
      <c r="YX94" s="41"/>
      <c r="YY94" s="41"/>
      <c r="YZ94" s="41"/>
      <c r="ZA94" s="41"/>
      <c r="ZB94" s="41"/>
      <c r="ZC94" s="41"/>
      <c r="ZD94" s="41"/>
      <c r="ZE94" s="41"/>
      <c r="ZF94" s="41"/>
      <c r="ZG94" s="41"/>
      <c r="ZH94" s="41"/>
      <c r="ZI94" s="41"/>
      <c r="ZJ94" s="41"/>
      <c r="ZK94" s="41"/>
      <c r="ZL94" s="41"/>
      <c r="ZM94" s="41"/>
      <c r="ZN94" s="41"/>
      <c r="ZO94" s="41"/>
      <c r="ZP94" s="41"/>
      <c r="ZQ94" s="41"/>
      <c r="ZR94" s="41"/>
      <c r="ZS94" s="41"/>
      <c r="ZT94" s="41"/>
      <c r="ZU94" s="41"/>
      <c r="ZV94" s="41"/>
      <c r="ZW94" s="41"/>
      <c r="ZX94" s="41"/>
      <c r="ZY94" s="41"/>
      <c r="ZZ94" s="41"/>
      <c r="AAA94" s="41"/>
      <c r="AAB94" s="41"/>
      <c r="AAC94" s="41"/>
    </row>
    <row r="95" spans="1:705" s="108" customFormat="1" ht="42" hidden="1" x14ac:dyDescent="0.3">
      <c r="A95" s="26">
        <v>91</v>
      </c>
      <c r="B95" s="137">
        <v>239913</v>
      </c>
      <c r="C95" s="138">
        <v>91</v>
      </c>
      <c r="D95" s="139">
        <v>45922</v>
      </c>
      <c r="E95" s="139">
        <f t="shared" si="13"/>
        <v>45921</v>
      </c>
      <c r="F95" s="139">
        <f t="shared" si="10"/>
        <v>45932</v>
      </c>
      <c r="G95" s="139">
        <v>45932</v>
      </c>
      <c r="H95" s="139">
        <v>45936</v>
      </c>
      <c r="I95" s="139" t="s">
        <v>75</v>
      </c>
      <c r="J95" s="140" t="s">
        <v>273</v>
      </c>
      <c r="K95" s="141">
        <f t="shared" si="14"/>
        <v>4</v>
      </c>
      <c r="L95" s="141">
        <v>1146268</v>
      </c>
      <c r="M95" s="140" t="s">
        <v>15</v>
      </c>
      <c r="N95" s="140">
        <v>804177</v>
      </c>
      <c r="O95" s="137" t="s">
        <v>246</v>
      </c>
      <c r="P95" s="143">
        <v>45929</v>
      </c>
      <c r="Q95" s="143">
        <v>45943</v>
      </c>
      <c r="R95" s="157" t="s">
        <v>211</v>
      </c>
      <c r="S95" s="144" t="s">
        <v>274</v>
      </c>
      <c r="T95" s="145">
        <v>1</v>
      </c>
      <c r="U95" s="137" t="s">
        <v>169</v>
      </c>
      <c r="V95" s="146">
        <v>6</v>
      </c>
      <c r="W95" s="146">
        <v>6</v>
      </c>
      <c r="X95" s="147">
        <v>0</v>
      </c>
      <c r="Y95" s="146">
        <v>0</v>
      </c>
      <c r="Z95" s="146">
        <v>0</v>
      </c>
      <c r="AA95" s="146">
        <v>0</v>
      </c>
      <c r="AB95" s="146">
        <v>0</v>
      </c>
      <c r="AC95" s="146"/>
      <c r="AD95" s="146">
        <v>0</v>
      </c>
      <c r="AE95" s="146">
        <v>0</v>
      </c>
      <c r="AF95" s="146">
        <v>0</v>
      </c>
      <c r="AG95" s="146">
        <v>0</v>
      </c>
      <c r="AH95" s="146">
        <v>1</v>
      </c>
      <c r="AI95" s="146">
        <v>1</v>
      </c>
      <c r="AJ95" s="146">
        <v>0</v>
      </c>
      <c r="AK95" s="146">
        <v>0</v>
      </c>
      <c r="AL95" s="146">
        <v>0</v>
      </c>
      <c r="AM95" s="146">
        <v>0</v>
      </c>
      <c r="AN95" s="146">
        <v>0</v>
      </c>
      <c r="AO95" s="146">
        <v>0</v>
      </c>
      <c r="AP95" s="146">
        <v>1</v>
      </c>
      <c r="AQ95" s="146">
        <v>1</v>
      </c>
      <c r="AR95" s="146">
        <v>0</v>
      </c>
      <c r="AS95" s="146">
        <v>0</v>
      </c>
      <c r="AT95" s="146">
        <v>1</v>
      </c>
      <c r="AU95" s="146">
        <v>1</v>
      </c>
      <c r="AV95" s="146">
        <v>0</v>
      </c>
      <c r="AW95" s="146">
        <v>0</v>
      </c>
      <c r="AX95" s="146">
        <f t="shared" si="11"/>
        <v>1510</v>
      </c>
      <c r="AY95" s="146">
        <f t="shared" si="12"/>
        <v>1510</v>
      </c>
      <c r="AZ95" s="140" t="s">
        <v>562</v>
      </c>
      <c r="BA95" s="137" t="s">
        <v>562</v>
      </c>
      <c r="BB95" s="137">
        <v>2</v>
      </c>
      <c r="BC95" s="148">
        <v>91</v>
      </c>
      <c r="BD95" s="149"/>
      <c r="BE95" s="145"/>
      <c r="BF95" s="150"/>
      <c r="BG95" s="151">
        <v>45931</v>
      </c>
      <c r="BH95" s="153" t="s">
        <v>535</v>
      </c>
      <c r="BI95" s="153" t="s">
        <v>562</v>
      </c>
      <c r="BJ95" s="42"/>
      <c r="BK95" s="42"/>
      <c r="BL95" s="42"/>
      <c r="BM95" s="42"/>
      <c r="BN95" s="42"/>
      <c r="BO95" s="42"/>
      <c r="BP95" s="42"/>
      <c r="BQ95" s="42"/>
      <c r="BR95" s="42"/>
      <c r="BS95" s="42"/>
      <c r="BT95" s="42"/>
      <c r="BU95" s="42"/>
      <c r="BV95" s="42"/>
      <c r="BW95" s="42"/>
      <c r="BX95" s="42"/>
      <c r="BY95" s="42"/>
      <c r="BZ95" s="42"/>
      <c r="CA95" s="42"/>
      <c r="CB95" s="42"/>
      <c r="CC95" s="42"/>
      <c r="CD95" s="42"/>
      <c r="CE95" s="42"/>
      <c r="CF95" s="42"/>
      <c r="CG95" s="42"/>
      <c r="CH95" s="42"/>
      <c r="CI95" s="42"/>
      <c r="CJ95" s="42"/>
      <c r="CK95" s="42"/>
      <c r="CL95" s="42"/>
      <c r="CM95" s="42"/>
      <c r="CN95" s="42"/>
      <c r="CO95" s="42"/>
      <c r="CP95" s="42"/>
      <c r="CQ95" s="42"/>
      <c r="CR95" s="42"/>
      <c r="CS95" s="42"/>
      <c r="CT95" s="42"/>
      <c r="CU95" s="42"/>
      <c r="CV95" s="42"/>
      <c r="CW95" s="42"/>
      <c r="CX95" s="42"/>
      <c r="CY95" s="42"/>
      <c r="CZ95" s="42"/>
      <c r="DA95" s="42"/>
      <c r="DB95" s="42"/>
      <c r="DC95" s="42"/>
      <c r="DD95" s="42"/>
      <c r="DE95" s="42"/>
      <c r="DF95" s="42"/>
      <c r="DG95" s="42"/>
      <c r="DH95" s="42"/>
      <c r="DI95" s="42"/>
      <c r="DJ95" s="42"/>
      <c r="DK95" s="42"/>
      <c r="DL95" s="42"/>
      <c r="DM95" s="42"/>
      <c r="DN95" s="42"/>
      <c r="DO95" s="42"/>
      <c r="DP95" s="42"/>
      <c r="DQ95" s="42"/>
      <c r="DR95" s="42"/>
      <c r="DS95" s="42"/>
      <c r="DT95" s="42"/>
      <c r="DU95" s="42"/>
      <c r="DV95" s="42"/>
      <c r="DW95" s="42"/>
      <c r="DX95" s="42"/>
      <c r="DY95" s="42"/>
      <c r="DZ95" s="42"/>
      <c r="EA95" s="42"/>
      <c r="EB95" s="42"/>
      <c r="EC95" s="42"/>
      <c r="ED95" s="42"/>
      <c r="EE95" s="42"/>
      <c r="EF95" s="42"/>
      <c r="EG95" s="42"/>
      <c r="EH95" s="42"/>
      <c r="EI95" s="42"/>
      <c r="EJ95" s="42"/>
      <c r="EK95" s="42"/>
      <c r="EL95" s="42"/>
      <c r="EM95" s="42"/>
      <c r="EN95" s="42"/>
      <c r="EO95" s="42"/>
      <c r="EP95" s="42"/>
      <c r="EQ95" s="42"/>
      <c r="ER95" s="42"/>
      <c r="ES95" s="42"/>
      <c r="ET95" s="42"/>
      <c r="EU95" s="42"/>
      <c r="EV95" s="42"/>
      <c r="EW95" s="42"/>
      <c r="EX95" s="42"/>
      <c r="EY95" s="42"/>
      <c r="EZ95" s="42"/>
      <c r="FA95" s="42"/>
      <c r="FB95" s="42"/>
      <c r="FC95" s="42"/>
      <c r="FD95" s="42"/>
      <c r="FE95" s="42"/>
      <c r="FF95" s="42"/>
      <c r="FG95" s="42"/>
      <c r="FH95" s="42"/>
      <c r="FI95" s="42"/>
      <c r="FJ95" s="42"/>
      <c r="FK95" s="42"/>
      <c r="FL95" s="42"/>
      <c r="FM95" s="42"/>
      <c r="FN95" s="42"/>
      <c r="FO95" s="42"/>
      <c r="FP95" s="42"/>
      <c r="FQ95" s="42"/>
      <c r="FR95" s="42"/>
      <c r="FS95" s="42"/>
      <c r="FT95" s="42"/>
      <c r="FU95" s="42"/>
      <c r="FV95" s="42"/>
      <c r="FW95" s="42"/>
      <c r="FX95" s="42"/>
      <c r="FY95" s="42"/>
      <c r="FZ95" s="42"/>
      <c r="GA95" s="42"/>
      <c r="GB95" s="42"/>
      <c r="GC95" s="42"/>
      <c r="GD95" s="42"/>
      <c r="GE95" s="42"/>
      <c r="GF95" s="42"/>
      <c r="GG95" s="42"/>
      <c r="GH95" s="42"/>
      <c r="GI95" s="42"/>
      <c r="GJ95" s="42"/>
      <c r="GK95" s="42"/>
      <c r="GL95" s="42"/>
      <c r="GM95" s="42"/>
      <c r="GN95" s="42"/>
      <c r="GO95" s="42"/>
      <c r="GP95" s="42"/>
      <c r="GQ95" s="42"/>
      <c r="GR95" s="42"/>
      <c r="GS95" s="42"/>
      <c r="GT95" s="42"/>
      <c r="GU95" s="42"/>
      <c r="GV95" s="42"/>
      <c r="GW95" s="42"/>
      <c r="GX95" s="42"/>
      <c r="GY95" s="42"/>
      <c r="GZ95" s="42"/>
      <c r="HA95" s="42"/>
      <c r="HB95" s="42"/>
      <c r="HC95" s="42"/>
      <c r="HD95" s="42"/>
      <c r="HE95" s="42"/>
      <c r="HF95" s="42"/>
      <c r="HG95" s="42"/>
      <c r="HH95" s="42"/>
      <c r="HI95" s="42"/>
      <c r="HJ95" s="42"/>
      <c r="HK95" s="42"/>
      <c r="HL95" s="42"/>
      <c r="HM95" s="42"/>
      <c r="HN95" s="42"/>
      <c r="HO95" s="42"/>
      <c r="HP95" s="42"/>
      <c r="HQ95" s="42"/>
      <c r="HR95" s="42"/>
      <c r="HS95" s="42"/>
      <c r="HT95" s="42"/>
      <c r="HU95" s="42"/>
      <c r="HV95" s="42"/>
      <c r="HW95" s="42"/>
      <c r="HX95" s="42"/>
      <c r="HY95" s="42"/>
      <c r="HZ95" s="42"/>
      <c r="IA95" s="42"/>
      <c r="IB95" s="42"/>
      <c r="IC95" s="42"/>
      <c r="ID95" s="42"/>
      <c r="IE95" s="42"/>
      <c r="IF95" s="42"/>
      <c r="IG95" s="42"/>
      <c r="IH95" s="42"/>
      <c r="II95" s="42"/>
      <c r="IJ95" s="42"/>
      <c r="IK95" s="42"/>
      <c r="IL95" s="42"/>
      <c r="IM95" s="42"/>
      <c r="IN95" s="42"/>
      <c r="IO95" s="42"/>
      <c r="IP95" s="42"/>
      <c r="IQ95" s="42"/>
      <c r="IR95" s="42"/>
      <c r="IS95" s="42"/>
      <c r="IT95" s="42"/>
      <c r="IU95" s="42"/>
      <c r="IV95" s="42"/>
      <c r="IW95" s="42"/>
      <c r="IX95" s="42"/>
      <c r="IY95" s="42"/>
      <c r="IZ95" s="42"/>
      <c r="JA95" s="42"/>
      <c r="JB95" s="42"/>
      <c r="JC95" s="42"/>
      <c r="JD95" s="42"/>
      <c r="JE95" s="42"/>
      <c r="JF95" s="42"/>
      <c r="JG95" s="42"/>
      <c r="JH95" s="42"/>
      <c r="JI95" s="42"/>
      <c r="JJ95" s="42"/>
      <c r="JK95" s="42"/>
      <c r="JL95" s="42"/>
      <c r="JM95" s="42"/>
      <c r="JN95" s="42"/>
      <c r="JO95" s="42"/>
      <c r="JP95" s="42"/>
      <c r="JQ95" s="42"/>
      <c r="JR95" s="42"/>
      <c r="JS95" s="42"/>
      <c r="JT95" s="42"/>
      <c r="JU95" s="42"/>
      <c r="JV95" s="42"/>
      <c r="JW95" s="42"/>
      <c r="JX95" s="42"/>
      <c r="JY95" s="42"/>
      <c r="JZ95" s="42"/>
      <c r="KA95" s="42"/>
      <c r="KB95" s="42"/>
      <c r="KC95" s="42"/>
      <c r="KD95" s="42"/>
      <c r="KE95" s="42"/>
      <c r="KF95" s="42"/>
      <c r="KG95" s="42"/>
      <c r="KH95" s="42"/>
      <c r="KI95" s="42"/>
      <c r="KJ95" s="42"/>
      <c r="KK95" s="42"/>
      <c r="KL95" s="42"/>
      <c r="KM95" s="42"/>
      <c r="KN95" s="42"/>
      <c r="KO95" s="42"/>
      <c r="KP95" s="42"/>
      <c r="KQ95" s="42"/>
      <c r="KR95" s="42"/>
      <c r="KS95" s="42"/>
      <c r="KT95" s="42"/>
      <c r="KU95" s="42"/>
      <c r="KV95" s="42"/>
      <c r="KW95" s="42"/>
      <c r="KX95" s="42"/>
      <c r="KY95" s="42"/>
      <c r="KZ95" s="42"/>
      <c r="LA95" s="42"/>
      <c r="LB95" s="42"/>
      <c r="LC95" s="42"/>
      <c r="LD95" s="42"/>
      <c r="LE95" s="42"/>
      <c r="LF95" s="42"/>
      <c r="LG95" s="42"/>
      <c r="LH95" s="42"/>
      <c r="LI95" s="42"/>
      <c r="LJ95" s="42"/>
      <c r="LK95" s="42"/>
      <c r="LL95" s="42"/>
      <c r="LM95" s="42"/>
      <c r="LN95" s="42"/>
      <c r="LO95" s="42"/>
      <c r="LP95" s="42"/>
      <c r="LQ95" s="42"/>
      <c r="LR95" s="42"/>
      <c r="LS95" s="42"/>
      <c r="LT95" s="42"/>
      <c r="LU95" s="42"/>
      <c r="LV95" s="42"/>
      <c r="LW95" s="42"/>
      <c r="LX95" s="42"/>
      <c r="LY95" s="42"/>
      <c r="LZ95" s="42"/>
      <c r="MA95" s="42"/>
      <c r="MB95" s="42"/>
      <c r="MC95" s="42"/>
      <c r="MD95" s="42"/>
      <c r="ME95" s="42"/>
      <c r="MF95" s="42"/>
      <c r="MG95" s="42"/>
      <c r="MH95" s="42"/>
      <c r="MI95" s="42"/>
      <c r="MJ95" s="42"/>
      <c r="MK95" s="42"/>
      <c r="ML95" s="42"/>
      <c r="MM95" s="42"/>
      <c r="MN95" s="42"/>
      <c r="MO95" s="42"/>
      <c r="MP95" s="42"/>
      <c r="MQ95" s="42"/>
      <c r="MR95" s="42"/>
      <c r="MS95" s="42"/>
      <c r="MT95" s="42"/>
      <c r="MU95" s="42"/>
      <c r="MV95" s="42"/>
      <c r="MW95" s="42"/>
      <c r="MX95" s="42"/>
      <c r="MY95" s="42"/>
      <c r="MZ95" s="42"/>
      <c r="NA95" s="42"/>
      <c r="NB95" s="42"/>
      <c r="NC95" s="42"/>
      <c r="ND95" s="42"/>
      <c r="NE95" s="42"/>
      <c r="NF95" s="42"/>
      <c r="NG95" s="42"/>
      <c r="NH95" s="42"/>
      <c r="NI95" s="42"/>
      <c r="NJ95" s="42"/>
      <c r="NK95" s="42"/>
      <c r="NL95" s="42"/>
      <c r="NM95" s="42"/>
      <c r="NN95" s="42"/>
      <c r="NO95" s="42"/>
      <c r="NP95" s="42"/>
      <c r="NQ95" s="42"/>
      <c r="NR95" s="42"/>
      <c r="NS95" s="42"/>
      <c r="NT95" s="42"/>
      <c r="NU95" s="42"/>
      <c r="NV95" s="42"/>
      <c r="NW95" s="42"/>
      <c r="NX95" s="42"/>
      <c r="NY95" s="42"/>
      <c r="NZ95" s="42"/>
      <c r="OA95" s="42"/>
      <c r="OB95" s="42"/>
      <c r="OC95" s="42"/>
      <c r="OD95" s="42"/>
      <c r="OE95" s="42"/>
      <c r="OF95" s="42"/>
      <c r="OG95" s="42"/>
      <c r="OH95" s="42"/>
      <c r="OI95" s="42"/>
      <c r="OJ95" s="42"/>
      <c r="OK95" s="42"/>
      <c r="OL95" s="42"/>
      <c r="OM95" s="42"/>
      <c r="ON95" s="42"/>
      <c r="OO95" s="42"/>
      <c r="OP95" s="42"/>
      <c r="OQ95" s="42"/>
      <c r="OR95" s="42"/>
      <c r="OS95" s="42"/>
      <c r="OT95" s="42"/>
      <c r="OU95" s="42"/>
      <c r="OV95" s="42"/>
      <c r="OW95" s="42"/>
      <c r="OX95" s="42"/>
      <c r="OY95" s="42"/>
      <c r="OZ95" s="42"/>
      <c r="PA95" s="42"/>
      <c r="PB95" s="42"/>
      <c r="PC95" s="42"/>
      <c r="PD95" s="42"/>
      <c r="PE95" s="42"/>
      <c r="PF95" s="42"/>
      <c r="PG95" s="42"/>
      <c r="PH95" s="42"/>
      <c r="PI95" s="42"/>
      <c r="PJ95" s="42"/>
      <c r="PK95" s="42"/>
      <c r="PL95" s="42"/>
      <c r="PM95" s="42"/>
      <c r="PN95" s="42"/>
      <c r="PO95" s="42"/>
      <c r="PP95" s="42"/>
      <c r="PQ95" s="42"/>
      <c r="PR95" s="42"/>
      <c r="PS95" s="42"/>
      <c r="PT95" s="42"/>
      <c r="PU95" s="42"/>
      <c r="PV95" s="42"/>
      <c r="PW95" s="42"/>
      <c r="PX95" s="42"/>
      <c r="PY95" s="42"/>
      <c r="PZ95" s="42"/>
      <c r="QA95" s="42"/>
      <c r="QB95" s="42"/>
      <c r="QC95" s="42"/>
      <c r="QD95" s="42"/>
      <c r="QE95" s="42"/>
      <c r="QF95" s="42"/>
      <c r="QG95" s="42"/>
      <c r="QH95" s="42"/>
      <c r="QI95" s="42"/>
      <c r="QJ95" s="42"/>
      <c r="QK95" s="42"/>
      <c r="QL95" s="42"/>
      <c r="QM95" s="42"/>
      <c r="QN95" s="42"/>
      <c r="QO95" s="42"/>
      <c r="QP95" s="42"/>
      <c r="QQ95" s="42"/>
      <c r="QR95" s="42"/>
      <c r="QS95" s="42"/>
      <c r="QT95" s="42"/>
      <c r="QU95" s="42"/>
      <c r="QV95" s="42"/>
      <c r="QW95" s="42"/>
      <c r="QX95" s="42"/>
      <c r="QY95" s="42"/>
      <c r="QZ95" s="42"/>
      <c r="RA95" s="42"/>
      <c r="RB95" s="42"/>
      <c r="RC95" s="42"/>
      <c r="RD95" s="42"/>
      <c r="RE95" s="42"/>
      <c r="RF95" s="42"/>
      <c r="RG95" s="42"/>
      <c r="RH95" s="42"/>
      <c r="RI95" s="42"/>
      <c r="RJ95" s="42"/>
      <c r="RK95" s="42"/>
      <c r="RL95" s="42"/>
      <c r="RM95" s="42"/>
      <c r="RN95" s="42"/>
      <c r="RO95" s="42"/>
      <c r="RP95" s="42"/>
      <c r="RQ95" s="42"/>
      <c r="RR95" s="42"/>
      <c r="RS95" s="42"/>
      <c r="RT95" s="42"/>
      <c r="RU95" s="42"/>
      <c r="RV95" s="42"/>
      <c r="RW95" s="42"/>
      <c r="RX95" s="42"/>
      <c r="RY95" s="42"/>
      <c r="RZ95" s="42"/>
      <c r="SA95" s="42"/>
      <c r="SB95" s="42"/>
      <c r="SC95" s="42"/>
      <c r="SD95" s="42"/>
      <c r="SE95" s="42"/>
      <c r="SF95" s="42"/>
      <c r="SG95" s="42"/>
      <c r="SH95" s="42"/>
      <c r="SI95" s="42"/>
      <c r="SJ95" s="42"/>
      <c r="SK95" s="42"/>
      <c r="SL95" s="42"/>
      <c r="SM95" s="42"/>
      <c r="SN95" s="42"/>
      <c r="SO95" s="42"/>
      <c r="SP95" s="42"/>
      <c r="SQ95" s="42"/>
      <c r="SR95" s="42"/>
      <c r="SS95" s="42"/>
      <c r="ST95" s="42"/>
      <c r="SU95" s="42"/>
      <c r="SV95" s="42"/>
      <c r="SW95" s="42"/>
      <c r="SX95" s="42"/>
      <c r="SY95" s="42"/>
      <c r="SZ95" s="42"/>
      <c r="TA95" s="42"/>
      <c r="TB95" s="42"/>
      <c r="TC95" s="42"/>
      <c r="TD95" s="42"/>
      <c r="TE95" s="42"/>
      <c r="TF95" s="42"/>
      <c r="TG95" s="42"/>
      <c r="TH95" s="42"/>
      <c r="TI95" s="42"/>
      <c r="TJ95" s="42"/>
      <c r="TK95" s="42"/>
      <c r="TL95" s="42"/>
      <c r="TM95" s="42"/>
      <c r="TN95" s="42"/>
      <c r="TO95" s="42"/>
      <c r="TP95" s="42"/>
      <c r="TQ95" s="42"/>
      <c r="TR95" s="42"/>
      <c r="TS95" s="42"/>
      <c r="TT95" s="42"/>
      <c r="TU95" s="42"/>
      <c r="TV95" s="42"/>
      <c r="TW95" s="42"/>
      <c r="TX95" s="42"/>
      <c r="TY95" s="42"/>
      <c r="TZ95" s="42"/>
      <c r="UA95" s="42"/>
      <c r="UB95" s="42"/>
      <c r="UC95" s="42"/>
      <c r="UD95" s="42"/>
      <c r="UE95" s="42"/>
      <c r="UF95" s="42"/>
      <c r="UG95" s="42"/>
      <c r="UH95" s="42"/>
      <c r="UI95" s="42"/>
      <c r="UJ95" s="42"/>
      <c r="UK95" s="42"/>
      <c r="UL95" s="42"/>
      <c r="UM95" s="42"/>
      <c r="UN95" s="42"/>
      <c r="UO95" s="42"/>
      <c r="UP95" s="42"/>
      <c r="UQ95" s="42"/>
      <c r="UR95" s="42"/>
      <c r="US95" s="42"/>
      <c r="UT95" s="42"/>
      <c r="UU95" s="42"/>
      <c r="UV95" s="42"/>
      <c r="UW95" s="42"/>
      <c r="UX95" s="42"/>
      <c r="UY95" s="42"/>
      <c r="UZ95" s="42"/>
      <c r="VA95" s="42"/>
      <c r="VB95" s="42"/>
      <c r="VC95" s="42"/>
      <c r="VD95" s="42"/>
      <c r="VE95" s="42"/>
      <c r="VF95" s="42"/>
      <c r="VG95" s="42"/>
      <c r="VH95" s="42"/>
      <c r="VI95" s="42"/>
      <c r="VJ95" s="42"/>
      <c r="VK95" s="42"/>
      <c r="VL95" s="42"/>
      <c r="VM95" s="42"/>
      <c r="VN95" s="42"/>
      <c r="VO95" s="42"/>
      <c r="VP95" s="42"/>
      <c r="VQ95" s="42"/>
      <c r="VR95" s="42"/>
      <c r="VS95" s="42"/>
      <c r="VT95" s="42"/>
      <c r="VU95" s="42"/>
      <c r="VV95" s="42"/>
      <c r="VW95" s="42"/>
      <c r="VX95" s="42"/>
      <c r="VY95" s="42"/>
      <c r="VZ95" s="42"/>
      <c r="WA95" s="42"/>
      <c r="WB95" s="42"/>
      <c r="WC95" s="42"/>
      <c r="WD95" s="42"/>
      <c r="WE95" s="42"/>
      <c r="WF95" s="42"/>
      <c r="WG95" s="42"/>
      <c r="WH95" s="42"/>
      <c r="WI95" s="42"/>
      <c r="WJ95" s="42"/>
      <c r="WK95" s="42"/>
      <c r="WL95" s="42"/>
      <c r="WM95" s="42"/>
      <c r="WN95" s="42"/>
      <c r="WO95" s="42"/>
      <c r="WP95" s="42"/>
      <c r="WQ95" s="42"/>
      <c r="WR95" s="42"/>
      <c r="WS95" s="42"/>
      <c r="WT95" s="42"/>
      <c r="WU95" s="42"/>
      <c r="WV95" s="42"/>
      <c r="WW95" s="42"/>
      <c r="WX95" s="42"/>
      <c r="WY95" s="42"/>
      <c r="WZ95" s="42"/>
      <c r="XA95" s="42"/>
      <c r="XB95" s="42"/>
      <c r="XC95" s="42"/>
      <c r="XD95" s="42"/>
      <c r="XE95" s="42"/>
      <c r="XF95" s="42"/>
      <c r="XG95" s="42"/>
      <c r="XH95" s="42"/>
      <c r="XI95" s="42"/>
      <c r="XJ95" s="42"/>
      <c r="XK95" s="42"/>
      <c r="XL95" s="42"/>
      <c r="XM95" s="42"/>
      <c r="XN95" s="42"/>
      <c r="XO95" s="42"/>
      <c r="XP95" s="42"/>
      <c r="XQ95" s="42"/>
      <c r="XR95" s="42"/>
      <c r="XS95" s="42"/>
      <c r="XT95" s="42"/>
      <c r="XU95" s="42"/>
      <c r="XV95" s="42"/>
      <c r="XW95" s="42"/>
      <c r="XX95" s="42"/>
      <c r="XY95" s="42"/>
      <c r="XZ95" s="42"/>
      <c r="YA95" s="42"/>
      <c r="YB95" s="42"/>
      <c r="YC95" s="42"/>
      <c r="YD95" s="42"/>
      <c r="YE95" s="42"/>
      <c r="YF95" s="42"/>
      <c r="YG95" s="42"/>
      <c r="YH95" s="42"/>
      <c r="YI95" s="42"/>
      <c r="YJ95" s="42"/>
      <c r="YK95" s="42"/>
      <c r="YL95" s="42"/>
      <c r="YM95" s="42"/>
      <c r="YN95" s="42"/>
      <c r="YO95" s="42"/>
      <c r="YP95" s="42"/>
      <c r="YQ95" s="42"/>
      <c r="YR95" s="42"/>
      <c r="YS95" s="42"/>
      <c r="YT95" s="42"/>
      <c r="YU95" s="42"/>
      <c r="YV95" s="42"/>
      <c r="YW95" s="42"/>
      <c r="YX95" s="42"/>
      <c r="YY95" s="42"/>
      <c r="YZ95" s="42"/>
      <c r="ZA95" s="42"/>
      <c r="ZB95" s="42"/>
      <c r="ZC95" s="42"/>
      <c r="ZD95" s="42"/>
      <c r="ZE95" s="42"/>
      <c r="ZF95" s="42"/>
      <c r="ZG95" s="42"/>
      <c r="ZH95" s="42"/>
      <c r="ZI95" s="42"/>
      <c r="ZJ95" s="42"/>
      <c r="ZK95" s="42"/>
      <c r="ZL95" s="42"/>
      <c r="ZM95" s="42"/>
      <c r="ZN95" s="42"/>
      <c r="ZO95" s="42"/>
      <c r="ZP95" s="42"/>
      <c r="ZQ95" s="42"/>
      <c r="ZR95" s="42"/>
      <c r="ZS95" s="42"/>
      <c r="ZT95" s="42"/>
      <c r="ZU95" s="42"/>
      <c r="ZV95" s="42"/>
      <c r="ZW95" s="42"/>
      <c r="ZX95" s="42"/>
      <c r="ZY95" s="42"/>
      <c r="ZZ95" s="42"/>
      <c r="AAA95" s="42"/>
      <c r="AAB95" s="42"/>
      <c r="AAC95" s="42"/>
    </row>
    <row r="96" spans="1:705" s="42" customFormat="1" ht="42" hidden="1" x14ac:dyDescent="0.3">
      <c r="A96" s="26">
        <v>92</v>
      </c>
      <c r="B96" s="137">
        <v>239925</v>
      </c>
      <c r="C96" s="138">
        <v>92</v>
      </c>
      <c r="D96" s="139">
        <v>45922</v>
      </c>
      <c r="E96" s="139">
        <f t="shared" si="13"/>
        <v>45921</v>
      </c>
      <c r="F96" s="139">
        <f t="shared" si="10"/>
        <v>45932</v>
      </c>
      <c r="G96" s="139">
        <v>45957</v>
      </c>
      <c r="H96" s="139">
        <v>45967</v>
      </c>
      <c r="I96" s="139" t="s">
        <v>123</v>
      </c>
      <c r="J96" s="140" t="s">
        <v>275</v>
      </c>
      <c r="K96" s="141">
        <f t="shared" si="14"/>
        <v>35</v>
      </c>
      <c r="L96" s="141">
        <v>1146319</v>
      </c>
      <c r="M96" s="140" t="s">
        <v>15</v>
      </c>
      <c r="N96" s="140" t="s">
        <v>831</v>
      </c>
      <c r="O96" s="137" t="s">
        <v>246</v>
      </c>
      <c r="P96" s="143">
        <v>45943</v>
      </c>
      <c r="Q96" s="143">
        <v>46121</v>
      </c>
      <c r="R96" s="157" t="s">
        <v>211</v>
      </c>
      <c r="S96" s="144" t="s">
        <v>276</v>
      </c>
      <c r="T96" s="145">
        <v>1</v>
      </c>
      <c r="U96" s="137" t="s">
        <v>195</v>
      </c>
      <c r="V96" s="146">
        <v>129</v>
      </c>
      <c r="W96" s="146">
        <v>129</v>
      </c>
      <c r="X96" s="147">
        <v>0</v>
      </c>
      <c r="Y96" s="146">
        <v>0</v>
      </c>
      <c r="Z96" s="146">
        <v>0</v>
      </c>
      <c r="AA96" s="146">
        <v>0</v>
      </c>
      <c r="AB96" s="146">
        <v>54</v>
      </c>
      <c r="AC96" s="146">
        <v>54</v>
      </c>
      <c r="AD96" s="146">
        <v>0</v>
      </c>
      <c r="AE96" s="146">
        <v>0</v>
      </c>
      <c r="AF96" s="146">
        <v>0</v>
      </c>
      <c r="AG96" s="146">
        <v>0</v>
      </c>
      <c r="AH96" s="146">
        <v>3</v>
      </c>
      <c r="AI96" s="146">
        <v>3</v>
      </c>
      <c r="AJ96" s="146">
        <v>0</v>
      </c>
      <c r="AK96" s="146">
        <v>0</v>
      </c>
      <c r="AL96" s="146">
        <v>1</v>
      </c>
      <c r="AM96" s="146">
        <v>1</v>
      </c>
      <c r="AN96" s="146">
        <v>4</v>
      </c>
      <c r="AO96" s="146">
        <v>4</v>
      </c>
      <c r="AP96" s="146">
        <v>4</v>
      </c>
      <c r="AQ96" s="146">
        <v>4</v>
      </c>
      <c r="AR96" s="146">
        <v>0</v>
      </c>
      <c r="AS96" s="146">
        <v>0</v>
      </c>
      <c r="AT96" s="146">
        <v>1</v>
      </c>
      <c r="AU96" s="146">
        <v>1</v>
      </c>
      <c r="AV96" s="146">
        <v>1</v>
      </c>
      <c r="AW96" s="146">
        <v>1</v>
      </c>
      <c r="AX96" s="146">
        <f t="shared" si="11"/>
        <v>15978</v>
      </c>
      <c r="AY96" s="146">
        <f t="shared" si="12"/>
        <v>15978</v>
      </c>
      <c r="AZ96" s="140" t="s">
        <v>562</v>
      </c>
      <c r="BA96" s="137" t="s">
        <v>562</v>
      </c>
      <c r="BB96" s="137">
        <v>5</v>
      </c>
      <c r="BC96" s="148">
        <v>92</v>
      </c>
      <c r="BD96" s="149"/>
      <c r="BE96" s="145"/>
      <c r="BF96" s="150"/>
      <c r="BG96" s="151">
        <v>46023</v>
      </c>
      <c r="BH96" s="153" t="s">
        <v>15</v>
      </c>
      <c r="BI96" s="153" t="s">
        <v>562</v>
      </c>
      <c r="CC96" s="41"/>
      <c r="CD96" s="41"/>
      <c r="CE96" s="41"/>
      <c r="CF96" s="41"/>
      <c r="CG96" s="41"/>
      <c r="CH96" s="41"/>
      <c r="CI96" s="41"/>
      <c r="CJ96" s="41"/>
      <c r="CK96" s="41"/>
      <c r="CL96" s="41"/>
      <c r="CM96" s="41"/>
      <c r="CN96" s="41"/>
      <c r="CO96" s="41"/>
      <c r="CP96" s="41"/>
      <c r="CQ96" s="41"/>
      <c r="CR96" s="41"/>
      <c r="CS96" s="41"/>
      <c r="CT96" s="41"/>
      <c r="CU96" s="41"/>
      <c r="CV96" s="41"/>
      <c r="CW96" s="41"/>
      <c r="CX96" s="41"/>
      <c r="CY96" s="41"/>
      <c r="CZ96" s="41"/>
      <c r="DA96" s="41"/>
      <c r="DB96" s="41"/>
      <c r="DC96" s="41"/>
      <c r="DD96" s="41"/>
      <c r="DE96" s="41"/>
      <c r="DF96" s="41"/>
      <c r="DG96" s="41"/>
      <c r="DH96" s="41"/>
      <c r="DI96" s="41"/>
      <c r="DJ96" s="41"/>
      <c r="DK96" s="41"/>
      <c r="DL96" s="41"/>
      <c r="DM96" s="41"/>
      <c r="DN96" s="41"/>
      <c r="DO96" s="41"/>
      <c r="DP96" s="41"/>
      <c r="DQ96" s="41"/>
      <c r="DR96" s="41"/>
      <c r="DS96" s="41"/>
      <c r="DT96" s="41"/>
      <c r="DU96" s="41"/>
      <c r="DV96" s="41"/>
      <c r="DW96" s="41"/>
      <c r="DX96" s="41"/>
      <c r="DY96" s="41"/>
      <c r="DZ96" s="41"/>
      <c r="EA96" s="41"/>
      <c r="EB96" s="41"/>
      <c r="EC96" s="41"/>
      <c r="ED96" s="41"/>
      <c r="EE96" s="41"/>
      <c r="EF96" s="41"/>
      <c r="EG96" s="41"/>
      <c r="EH96" s="41"/>
      <c r="EI96" s="41"/>
      <c r="EJ96" s="41"/>
      <c r="EK96" s="41"/>
      <c r="EL96" s="41"/>
      <c r="EM96" s="41"/>
      <c r="EN96" s="41"/>
      <c r="EO96" s="41"/>
      <c r="EP96" s="41"/>
      <c r="EQ96" s="41"/>
      <c r="ER96" s="41"/>
      <c r="ES96" s="41"/>
      <c r="ET96" s="41"/>
      <c r="EU96" s="41"/>
      <c r="EV96" s="41"/>
      <c r="EW96" s="41"/>
      <c r="EX96" s="41"/>
      <c r="EY96" s="41"/>
      <c r="EZ96" s="41"/>
      <c r="FA96" s="41"/>
      <c r="FB96" s="41"/>
      <c r="FC96" s="41"/>
      <c r="FD96" s="41"/>
      <c r="FE96" s="41"/>
      <c r="FF96" s="41"/>
      <c r="FG96" s="41"/>
      <c r="FH96" s="41"/>
      <c r="FI96" s="41"/>
      <c r="FJ96" s="41"/>
      <c r="FK96" s="41"/>
      <c r="FL96" s="41"/>
      <c r="FM96" s="41"/>
      <c r="FN96" s="41"/>
      <c r="FO96" s="41"/>
      <c r="FP96" s="41"/>
      <c r="FQ96" s="41"/>
      <c r="FR96" s="41"/>
      <c r="FS96" s="41"/>
      <c r="FT96" s="41"/>
      <c r="FU96" s="41"/>
      <c r="FV96" s="41"/>
      <c r="FW96" s="41"/>
      <c r="FX96" s="41"/>
      <c r="FY96" s="41"/>
      <c r="FZ96" s="41"/>
      <c r="GA96" s="41"/>
      <c r="GB96" s="41"/>
      <c r="GC96" s="41"/>
      <c r="GD96" s="41"/>
      <c r="GE96" s="41"/>
      <c r="GF96" s="41"/>
      <c r="GG96" s="41"/>
      <c r="GH96" s="41"/>
      <c r="GI96" s="41"/>
      <c r="GJ96" s="41"/>
      <c r="GK96" s="41"/>
      <c r="GL96" s="41"/>
      <c r="GM96" s="41"/>
      <c r="GN96" s="41"/>
      <c r="GO96" s="41"/>
      <c r="GP96" s="41"/>
      <c r="GQ96" s="41"/>
      <c r="GR96" s="41"/>
      <c r="GS96" s="41"/>
      <c r="GT96" s="41"/>
      <c r="GU96" s="41"/>
      <c r="GV96" s="41"/>
      <c r="GW96" s="41"/>
      <c r="GX96" s="41"/>
      <c r="GY96" s="41"/>
      <c r="GZ96" s="41"/>
      <c r="HA96" s="41"/>
      <c r="HB96" s="41"/>
      <c r="HC96" s="41"/>
      <c r="HD96" s="41"/>
      <c r="HE96" s="41"/>
      <c r="HF96" s="41"/>
      <c r="HG96" s="41"/>
      <c r="HH96" s="41"/>
      <c r="HI96" s="41"/>
      <c r="HJ96" s="41"/>
      <c r="HK96" s="41"/>
      <c r="HL96" s="41"/>
      <c r="HM96" s="41"/>
      <c r="HN96" s="41"/>
      <c r="HO96" s="41"/>
      <c r="HP96" s="41"/>
      <c r="HQ96" s="41"/>
      <c r="HR96" s="41"/>
      <c r="HS96" s="41"/>
      <c r="HT96" s="41"/>
      <c r="HU96" s="41"/>
      <c r="HV96" s="41"/>
      <c r="HW96" s="41"/>
      <c r="HX96" s="41"/>
      <c r="HY96" s="41"/>
      <c r="HZ96" s="41"/>
      <c r="IA96" s="41"/>
      <c r="IB96" s="41"/>
      <c r="IC96" s="41"/>
      <c r="ID96" s="41"/>
      <c r="IE96" s="41"/>
      <c r="IF96" s="41"/>
      <c r="IG96" s="41"/>
      <c r="IH96" s="41"/>
      <c r="II96" s="41"/>
      <c r="IJ96" s="41"/>
      <c r="IK96" s="41"/>
      <c r="IL96" s="41"/>
      <c r="IM96" s="41"/>
      <c r="IN96" s="41"/>
      <c r="IO96" s="41"/>
      <c r="IP96" s="41"/>
      <c r="IQ96" s="41"/>
      <c r="IR96" s="41"/>
      <c r="IS96" s="41"/>
      <c r="IT96" s="41"/>
      <c r="IU96" s="41"/>
      <c r="IV96" s="41"/>
      <c r="IW96" s="41"/>
      <c r="IX96" s="41"/>
      <c r="IY96" s="41"/>
      <c r="IZ96" s="41"/>
      <c r="JA96" s="41"/>
      <c r="JB96" s="41"/>
      <c r="JC96" s="41"/>
      <c r="JD96" s="41"/>
      <c r="JE96" s="41"/>
      <c r="JF96" s="41"/>
      <c r="JG96" s="41"/>
      <c r="JH96" s="41"/>
      <c r="JI96" s="41"/>
      <c r="JJ96" s="41"/>
      <c r="JK96" s="41"/>
      <c r="JL96" s="41"/>
      <c r="JM96" s="41"/>
      <c r="JN96" s="41"/>
      <c r="JO96" s="41"/>
      <c r="JP96" s="41"/>
      <c r="JQ96" s="41"/>
      <c r="JR96" s="41"/>
      <c r="JS96" s="41"/>
      <c r="JT96" s="41"/>
      <c r="JU96" s="41"/>
      <c r="JV96" s="41"/>
      <c r="JW96" s="41"/>
      <c r="JX96" s="41"/>
      <c r="JY96" s="41"/>
      <c r="JZ96" s="41"/>
      <c r="KA96" s="41"/>
      <c r="KB96" s="41"/>
      <c r="KC96" s="41"/>
      <c r="KD96" s="41"/>
      <c r="KE96" s="41"/>
      <c r="KF96" s="41"/>
      <c r="KG96" s="41"/>
      <c r="KH96" s="41"/>
      <c r="KI96" s="41"/>
      <c r="KJ96" s="41"/>
      <c r="KK96" s="41"/>
      <c r="KL96" s="41"/>
      <c r="KM96" s="41"/>
      <c r="KN96" s="41"/>
      <c r="KO96" s="41"/>
      <c r="KP96" s="41"/>
      <c r="KQ96" s="41"/>
      <c r="KR96" s="41"/>
      <c r="KS96" s="41"/>
      <c r="KT96" s="41"/>
      <c r="KU96" s="41"/>
      <c r="KV96" s="41"/>
      <c r="KW96" s="41"/>
      <c r="KX96" s="41"/>
      <c r="KY96" s="41"/>
      <c r="KZ96" s="41"/>
      <c r="LA96" s="41"/>
      <c r="LB96" s="41"/>
      <c r="LC96" s="41"/>
      <c r="LD96" s="41"/>
      <c r="LE96" s="41"/>
      <c r="LF96" s="41"/>
      <c r="LG96" s="41"/>
      <c r="LH96" s="41"/>
      <c r="LI96" s="41"/>
      <c r="LJ96" s="41"/>
      <c r="LK96" s="41"/>
      <c r="LL96" s="41"/>
      <c r="LM96" s="41"/>
      <c r="LN96" s="41"/>
      <c r="LO96" s="41"/>
      <c r="LP96" s="41"/>
      <c r="LQ96" s="41"/>
      <c r="LR96" s="41"/>
      <c r="LS96" s="41"/>
      <c r="LT96" s="41"/>
      <c r="LU96" s="41"/>
      <c r="LV96" s="41"/>
      <c r="LW96" s="41"/>
      <c r="LX96" s="41"/>
      <c r="LY96" s="41"/>
      <c r="LZ96" s="41"/>
      <c r="MA96" s="41"/>
      <c r="MB96" s="41"/>
      <c r="MC96" s="41"/>
      <c r="MD96" s="41"/>
      <c r="ME96" s="41"/>
      <c r="MF96" s="41"/>
      <c r="MG96" s="41"/>
      <c r="MH96" s="41"/>
      <c r="MI96" s="41"/>
      <c r="MJ96" s="41"/>
      <c r="MK96" s="41"/>
      <c r="ML96" s="41"/>
      <c r="MM96" s="41"/>
      <c r="MN96" s="41"/>
      <c r="MO96" s="41"/>
      <c r="MP96" s="41"/>
      <c r="MQ96" s="41"/>
      <c r="MR96" s="41"/>
      <c r="MS96" s="41"/>
      <c r="MT96" s="41"/>
      <c r="MU96" s="41"/>
      <c r="MV96" s="41"/>
      <c r="MW96" s="41"/>
      <c r="MX96" s="41"/>
      <c r="MY96" s="41"/>
      <c r="MZ96" s="41"/>
      <c r="NA96" s="41"/>
      <c r="NB96" s="41"/>
      <c r="NC96" s="41"/>
      <c r="ND96" s="41"/>
      <c r="NE96" s="41"/>
      <c r="NF96" s="41"/>
      <c r="NG96" s="41"/>
      <c r="NH96" s="41"/>
      <c r="NI96" s="41"/>
      <c r="NJ96" s="41"/>
      <c r="NK96" s="41"/>
      <c r="NL96" s="41"/>
      <c r="NM96" s="41"/>
      <c r="NN96" s="41"/>
      <c r="NO96" s="41"/>
      <c r="NP96" s="41"/>
      <c r="NQ96" s="41"/>
      <c r="NR96" s="41"/>
      <c r="NS96" s="41"/>
      <c r="NT96" s="41"/>
      <c r="NU96" s="41"/>
      <c r="NV96" s="41"/>
      <c r="NW96" s="41"/>
      <c r="NX96" s="41"/>
      <c r="NY96" s="41"/>
      <c r="NZ96" s="41"/>
      <c r="OA96" s="41"/>
      <c r="OB96" s="41"/>
      <c r="OC96" s="41"/>
      <c r="OD96" s="41"/>
      <c r="OE96" s="41"/>
      <c r="OF96" s="41"/>
      <c r="OG96" s="41"/>
      <c r="OH96" s="41"/>
      <c r="OI96" s="41"/>
      <c r="OJ96" s="41"/>
      <c r="OK96" s="41"/>
      <c r="OL96" s="41"/>
      <c r="OM96" s="41"/>
      <c r="ON96" s="41"/>
      <c r="OO96" s="41"/>
      <c r="OP96" s="41"/>
      <c r="OQ96" s="41"/>
      <c r="OR96" s="41"/>
      <c r="OS96" s="41"/>
      <c r="OT96" s="41"/>
      <c r="OU96" s="41"/>
      <c r="OV96" s="41"/>
      <c r="OW96" s="41"/>
      <c r="OX96" s="41"/>
      <c r="OY96" s="41"/>
      <c r="OZ96" s="41"/>
      <c r="PA96" s="41"/>
      <c r="PB96" s="41"/>
      <c r="PC96" s="41"/>
      <c r="PD96" s="41"/>
      <c r="PE96" s="41"/>
      <c r="PF96" s="41"/>
      <c r="PG96" s="41"/>
      <c r="PH96" s="41"/>
      <c r="PI96" s="41"/>
      <c r="PJ96" s="41"/>
      <c r="PK96" s="41"/>
      <c r="PL96" s="41"/>
      <c r="PM96" s="41"/>
      <c r="PN96" s="41"/>
      <c r="PO96" s="41"/>
      <c r="PP96" s="41"/>
      <c r="PQ96" s="41"/>
      <c r="PR96" s="41"/>
      <c r="PS96" s="41"/>
      <c r="PT96" s="41"/>
      <c r="PU96" s="41"/>
      <c r="PV96" s="41"/>
      <c r="PW96" s="41"/>
      <c r="PX96" s="41"/>
      <c r="PY96" s="41"/>
      <c r="PZ96" s="41"/>
      <c r="QA96" s="41"/>
      <c r="QB96" s="41"/>
      <c r="QC96" s="41"/>
      <c r="QD96" s="41"/>
      <c r="QE96" s="41"/>
      <c r="QF96" s="41"/>
      <c r="QG96" s="41"/>
      <c r="QH96" s="41"/>
      <c r="QI96" s="41"/>
      <c r="QJ96" s="41"/>
      <c r="QK96" s="41"/>
      <c r="QL96" s="41"/>
      <c r="QM96" s="41"/>
      <c r="QN96" s="41"/>
      <c r="QO96" s="41"/>
      <c r="QP96" s="41"/>
      <c r="QQ96" s="41"/>
      <c r="QR96" s="41"/>
      <c r="QS96" s="41"/>
      <c r="QT96" s="41"/>
      <c r="QU96" s="41"/>
      <c r="QV96" s="41"/>
      <c r="QW96" s="41"/>
      <c r="QX96" s="41"/>
      <c r="QY96" s="41"/>
      <c r="QZ96" s="41"/>
      <c r="RA96" s="41"/>
      <c r="RB96" s="41"/>
      <c r="RC96" s="41"/>
      <c r="RD96" s="41"/>
      <c r="RE96" s="41"/>
      <c r="RF96" s="41"/>
      <c r="RG96" s="41"/>
      <c r="RH96" s="41"/>
      <c r="RI96" s="41"/>
      <c r="RJ96" s="41"/>
      <c r="RK96" s="41"/>
      <c r="RL96" s="41"/>
      <c r="RM96" s="41"/>
      <c r="RN96" s="41"/>
      <c r="RO96" s="41"/>
      <c r="RP96" s="41"/>
      <c r="RQ96" s="41"/>
      <c r="RR96" s="41"/>
      <c r="RS96" s="41"/>
      <c r="RT96" s="41"/>
      <c r="RU96" s="41"/>
      <c r="RV96" s="41"/>
      <c r="RW96" s="41"/>
      <c r="RX96" s="41"/>
      <c r="RY96" s="41"/>
      <c r="RZ96" s="41"/>
      <c r="SA96" s="41"/>
      <c r="SB96" s="41"/>
      <c r="SC96" s="41"/>
      <c r="SD96" s="41"/>
      <c r="SE96" s="41"/>
      <c r="SF96" s="41"/>
      <c r="SG96" s="41"/>
      <c r="SH96" s="41"/>
      <c r="SI96" s="41"/>
      <c r="SJ96" s="41"/>
      <c r="SK96" s="41"/>
      <c r="SL96" s="41"/>
      <c r="SM96" s="41"/>
      <c r="SN96" s="41"/>
      <c r="SO96" s="41"/>
      <c r="SP96" s="41"/>
      <c r="SQ96" s="41"/>
      <c r="SR96" s="41"/>
      <c r="SS96" s="41"/>
      <c r="ST96" s="41"/>
      <c r="SU96" s="41"/>
      <c r="SV96" s="41"/>
      <c r="SW96" s="41"/>
      <c r="SX96" s="41"/>
      <c r="SY96" s="41"/>
      <c r="SZ96" s="41"/>
      <c r="TA96" s="41"/>
      <c r="TB96" s="41"/>
      <c r="TC96" s="41"/>
      <c r="TD96" s="41"/>
      <c r="TE96" s="41"/>
      <c r="TF96" s="41"/>
      <c r="TG96" s="41"/>
      <c r="TH96" s="41"/>
      <c r="TI96" s="41"/>
      <c r="TJ96" s="41"/>
      <c r="TK96" s="41"/>
      <c r="TL96" s="41"/>
      <c r="TM96" s="41"/>
      <c r="TN96" s="41"/>
      <c r="TO96" s="41"/>
      <c r="TP96" s="41"/>
      <c r="TQ96" s="41"/>
      <c r="TR96" s="41"/>
      <c r="TS96" s="41"/>
      <c r="TT96" s="41"/>
      <c r="TU96" s="41"/>
      <c r="TV96" s="41"/>
      <c r="TW96" s="41"/>
      <c r="TX96" s="41"/>
      <c r="TY96" s="41"/>
      <c r="TZ96" s="41"/>
      <c r="UA96" s="41"/>
      <c r="UB96" s="41"/>
      <c r="UC96" s="41"/>
      <c r="UD96" s="41"/>
      <c r="UE96" s="41"/>
      <c r="UF96" s="41"/>
      <c r="UG96" s="41"/>
      <c r="UH96" s="41"/>
      <c r="UI96" s="41"/>
      <c r="UJ96" s="41"/>
      <c r="UK96" s="41"/>
      <c r="UL96" s="41"/>
      <c r="UM96" s="41"/>
      <c r="UN96" s="41"/>
      <c r="UO96" s="41"/>
      <c r="UP96" s="41"/>
      <c r="UQ96" s="41"/>
      <c r="UR96" s="41"/>
      <c r="US96" s="41"/>
      <c r="UT96" s="41"/>
      <c r="UU96" s="41"/>
      <c r="UV96" s="41"/>
      <c r="UW96" s="41"/>
      <c r="UX96" s="41"/>
      <c r="UY96" s="41"/>
      <c r="UZ96" s="41"/>
      <c r="VA96" s="41"/>
      <c r="VB96" s="41"/>
      <c r="VC96" s="41"/>
      <c r="VD96" s="41"/>
      <c r="VE96" s="41"/>
      <c r="VF96" s="41"/>
      <c r="VG96" s="41"/>
      <c r="VH96" s="41"/>
      <c r="VI96" s="41"/>
      <c r="VJ96" s="41"/>
      <c r="VK96" s="41"/>
      <c r="VL96" s="41"/>
      <c r="VM96" s="41"/>
      <c r="VN96" s="41"/>
      <c r="VO96" s="41"/>
      <c r="VP96" s="41"/>
      <c r="VQ96" s="41"/>
      <c r="VR96" s="41"/>
      <c r="VS96" s="41"/>
      <c r="VT96" s="41"/>
      <c r="VU96" s="41"/>
      <c r="VV96" s="41"/>
      <c r="VW96" s="41"/>
      <c r="VX96" s="41"/>
      <c r="VY96" s="41"/>
      <c r="VZ96" s="41"/>
      <c r="WA96" s="41"/>
      <c r="WB96" s="41"/>
      <c r="WC96" s="41"/>
      <c r="WD96" s="41"/>
      <c r="WE96" s="41"/>
      <c r="WF96" s="41"/>
      <c r="WG96" s="41"/>
      <c r="WH96" s="41"/>
      <c r="WI96" s="41"/>
      <c r="WJ96" s="41"/>
      <c r="WK96" s="41"/>
      <c r="WL96" s="41"/>
      <c r="WM96" s="41"/>
      <c r="WN96" s="41"/>
      <c r="WO96" s="41"/>
      <c r="WP96" s="41"/>
      <c r="WQ96" s="41"/>
      <c r="WR96" s="41"/>
      <c r="WS96" s="41"/>
      <c r="WT96" s="41"/>
      <c r="WU96" s="41"/>
      <c r="WV96" s="41"/>
      <c r="WW96" s="41"/>
      <c r="WX96" s="41"/>
      <c r="WY96" s="41"/>
      <c r="WZ96" s="41"/>
      <c r="XA96" s="41"/>
      <c r="XB96" s="41"/>
      <c r="XC96" s="41"/>
      <c r="XD96" s="41"/>
      <c r="XE96" s="41"/>
      <c r="XF96" s="41"/>
      <c r="XG96" s="41"/>
      <c r="XH96" s="41"/>
      <c r="XI96" s="41"/>
      <c r="XJ96" s="41"/>
      <c r="XK96" s="41"/>
      <c r="XL96" s="41"/>
      <c r="XM96" s="41"/>
      <c r="XN96" s="41"/>
      <c r="XO96" s="41"/>
      <c r="XP96" s="41"/>
      <c r="XQ96" s="41"/>
      <c r="XR96" s="41"/>
      <c r="XS96" s="41"/>
      <c r="XT96" s="41"/>
      <c r="XU96" s="41"/>
      <c r="XV96" s="41"/>
      <c r="XW96" s="41"/>
      <c r="XX96" s="41"/>
      <c r="XY96" s="41"/>
      <c r="XZ96" s="41"/>
      <c r="YA96" s="41"/>
      <c r="YB96" s="41"/>
      <c r="YC96" s="41"/>
      <c r="YD96" s="41"/>
      <c r="YE96" s="41"/>
      <c r="YF96" s="41"/>
      <c r="YG96" s="41"/>
      <c r="YH96" s="41"/>
      <c r="YI96" s="41"/>
      <c r="YJ96" s="41"/>
      <c r="YK96" s="41"/>
      <c r="YL96" s="41"/>
      <c r="YM96" s="41"/>
      <c r="YN96" s="41"/>
      <c r="YO96" s="41"/>
      <c r="YP96" s="41"/>
      <c r="YQ96" s="41"/>
      <c r="YR96" s="41"/>
      <c r="YS96" s="41"/>
      <c r="YT96" s="41"/>
      <c r="YU96" s="41"/>
      <c r="YV96" s="41"/>
      <c r="YW96" s="41"/>
      <c r="YX96" s="41"/>
      <c r="YY96" s="41"/>
      <c r="YZ96" s="41"/>
      <c r="ZA96" s="41"/>
      <c r="ZB96" s="41"/>
      <c r="ZC96" s="41"/>
      <c r="ZD96" s="41"/>
      <c r="ZE96" s="41"/>
      <c r="ZF96" s="41"/>
      <c r="ZG96" s="41"/>
      <c r="ZH96" s="41"/>
      <c r="ZI96" s="41"/>
      <c r="ZJ96" s="41"/>
      <c r="ZK96" s="41"/>
      <c r="ZL96" s="41"/>
      <c r="ZM96" s="41"/>
      <c r="ZN96" s="41"/>
      <c r="ZO96" s="41"/>
      <c r="ZP96" s="41"/>
      <c r="ZQ96" s="41"/>
      <c r="ZR96" s="41"/>
      <c r="ZS96" s="41"/>
      <c r="ZT96" s="41"/>
      <c r="ZU96" s="41"/>
      <c r="ZV96" s="41"/>
      <c r="ZW96" s="41"/>
      <c r="ZX96" s="41"/>
      <c r="ZY96" s="41"/>
      <c r="ZZ96" s="41"/>
      <c r="AAA96" s="41"/>
      <c r="AAB96" s="41"/>
      <c r="AAC96" s="41"/>
    </row>
    <row r="97" spans="1:705" s="42" customFormat="1" ht="42" hidden="1" x14ac:dyDescent="0.3">
      <c r="A97" s="26">
        <v>93</v>
      </c>
      <c r="B97" s="137">
        <v>239926</v>
      </c>
      <c r="C97" s="138">
        <v>93</v>
      </c>
      <c r="D97" s="139">
        <v>45922</v>
      </c>
      <c r="E97" s="139">
        <f t="shared" si="13"/>
        <v>45921</v>
      </c>
      <c r="F97" s="139">
        <f t="shared" si="10"/>
        <v>45932</v>
      </c>
      <c r="G97" s="139">
        <v>45932</v>
      </c>
      <c r="H97" s="139">
        <v>45944</v>
      </c>
      <c r="I97" s="139" t="s">
        <v>75</v>
      </c>
      <c r="J97" s="140" t="s">
        <v>277</v>
      </c>
      <c r="K97" s="141">
        <f t="shared" si="14"/>
        <v>12</v>
      </c>
      <c r="L97" s="141">
        <v>1146320</v>
      </c>
      <c r="M97" s="140" t="s">
        <v>15</v>
      </c>
      <c r="N97" s="140">
        <v>804477</v>
      </c>
      <c r="O97" s="137" t="s">
        <v>246</v>
      </c>
      <c r="P97" s="143">
        <v>45931</v>
      </c>
      <c r="Q97" s="143">
        <v>45946</v>
      </c>
      <c r="R97" s="157" t="s">
        <v>211</v>
      </c>
      <c r="S97" s="144" t="s">
        <v>278</v>
      </c>
      <c r="T97" s="145">
        <v>1</v>
      </c>
      <c r="U97" s="137" t="s">
        <v>81</v>
      </c>
      <c r="V97" s="146">
        <v>8</v>
      </c>
      <c r="W97" s="146">
        <v>8</v>
      </c>
      <c r="X97" s="147">
        <v>0</v>
      </c>
      <c r="Y97" s="146">
        <v>0</v>
      </c>
      <c r="Z97" s="146">
        <v>0</v>
      </c>
      <c r="AA97" s="146">
        <v>0</v>
      </c>
      <c r="AB97" s="146">
        <v>5</v>
      </c>
      <c r="AC97" s="146">
        <v>5</v>
      </c>
      <c r="AD97" s="146">
        <v>0</v>
      </c>
      <c r="AE97" s="146">
        <v>0</v>
      </c>
      <c r="AF97" s="146">
        <v>0</v>
      </c>
      <c r="AG97" s="146">
        <v>0</v>
      </c>
      <c r="AH97" s="146">
        <v>1</v>
      </c>
      <c r="AI97" s="146">
        <v>1</v>
      </c>
      <c r="AJ97" s="146">
        <v>0</v>
      </c>
      <c r="AK97" s="146">
        <v>0</v>
      </c>
      <c r="AL97" s="146">
        <v>1</v>
      </c>
      <c r="AM97" s="146">
        <v>1</v>
      </c>
      <c r="AN97" s="146">
        <v>1</v>
      </c>
      <c r="AO97" s="146">
        <v>1</v>
      </c>
      <c r="AP97" s="146">
        <v>2</v>
      </c>
      <c r="AQ97" s="146">
        <v>2</v>
      </c>
      <c r="AR97" s="146">
        <v>0</v>
      </c>
      <c r="AS97" s="146">
        <v>0</v>
      </c>
      <c r="AT97" s="146">
        <v>1</v>
      </c>
      <c r="AU97" s="146">
        <v>1</v>
      </c>
      <c r="AV97" s="146">
        <v>0</v>
      </c>
      <c r="AW97" s="146">
        <v>0</v>
      </c>
      <c r="AX97" s="146">
        <f t="shared" si="11"/>
        <v>3195</v>
      </c>
      <c r="AY97" s="146">
        <f t="shared" si="12"/>
        <v>3195</v>
      </c>
      <c r="AZ97" s="140" t="s">
        <v>562</v>
      </c>
      <c r="BA97" s="137" t="s">
        <v>562</v>
      </c>
      <c r="BB97" s="137">
        <v>2</v>
      </c>
      <c r="BC97" s="148">
        <v>93</v>
      </c>
      <c r="BD97" s="149"/>
      <c r="BE97" s="145"/>
      <c r="BF97" s="150"/>
      <c r="BG97" s="151">
        <v>45931</v>
      </c>
      <c r="BH97" s="153" t="s">
        <v>535</v>
      </c>
      <c r="BI97" s="153" t="s">
        <v>562</v>
      </c>
      <c r="CC97" s="41"/>
      <c r="CD97" s="41"/>
      <c r="CE97" s="41"/>
      <c r="CF97" s="41"/>
      <c r="CG97" s="41"/>
      <c r="CH97" s="41"/>
      <c r="CI97" s="41"/>
      <c r="CJ97" s="41"/>
      <c r="CK97" s="41"/>
      <c r="CL97" s="41"/>
      <c r="CM97" s="41"/>
      <c r="CN97" s="41"/>
      <c r="CO97" s="41"/>
      <c r="CP97" s="41"/>
      <c r="CQ97" s="41"/>
      <c r="CR97" s="41"/>
      <c r="CS97" s="41"/>
      <c r="CT97" s="41"/>
      <c r="CU97" s="41"/>
      <c r="CV97" s="41"/>
      <c r="CW97" s="41"/>
      <c r="CX97" s="41"/>
      <c r="CY97" s="41"/>
      <c r="CZ97" s="41"/>
      <c r="DA97" s="41"/>
      <c r="DB97" s="41"/>
      <c r="DC97" s="41"/>
      <c r="DD97" s="41"/>
      <c r="DE97" s="41"/>
      <c r="DF97" s="41"/>
      <c r="DG97" s="41"/>
      <c r="DH97" s="41"/>
      <c r="DI97" s="41"/>
      <c r="DJ97" s="41"/>
      <c r="DK97" s="41"/>
      <c r="DL97" s="41"/>
      <c r="DM97" s="41"/>
      <c r="DN97" s="41"/>
      <c r="DO97" s="41"/>
      <c r="DP97" s="41"/>
      <c r="DQ97" s="41"/>
      <c r="DR97" s="41"/>
      <c r="DS97" s="41"/>
      <c r="DT97" s="41"/>
      <c r="DU97" s="41"/>
      <c r="DV97" s="41"/>
      <c r="DW97" s="41"/>
      <c r="DX97" s="41"/>
      <c r="DY97" s="41"/>
      <c r="DZ97" s="41"/>
      <c r="EA97" s="41"/>
      <c r="EB97" s="41"/>
      <c r="EC97" s="41"/>
      <c r="ED97" s="41"/>
      <c r="EE97" s="41"/>
      <c r="EF97" s="41"/>
      <c r="EG97" s="41"/>
      <c r="EH97" s="41"/>
      <c r="EI97" s="41"/>
      <c r="EJ97" s="41"/>
      <c r="EK97" s="41"/>
      <c r="EL97" s="41"/>
      <c r="EM97" s="41"/>
      <c r="EN97" s="41"/>
      <c r="EO97" s="41"/>
      <c r="EP97" s="41"/>
      <c r="EQ97" s="41"/>
      <c r="ER97" s="41"/>
      <c r="ES97" s="41"/>
      <c r="ET97" s="41"/>
      <c r="EU97" s="41"/>
      <c r="EV97" s="41"/>
      <c r="EW97" s="41"/>
      <c r="EX97" s="41"/>
      <c r="EY97" s="41"/>
      <c r="EZ97" s="41"/>
      <c r="FA97" s="41"/>
      <c r="FB97" s="41"/>
      <c r="FC97" s="41"/>
      <c r="FD97" s="41"/>
      <c r="FE97" s="41"/>
      <c r="FF97" s="41"/>
      <c r="FG97" s="41"/>
      <c r="FH97" s="41"/>
      <c r="FI97" s="41"/>
      <c r="FJ97" s="41"/>
      <c r="FK97" s="41"/>
      <c r="FL97" s="41"/>
      <c r="FM97" s="41"/>
      <c r="FN97" s="41"/>
      <c r="FO97" s="41"/>
      <c r="FP97" s="41"/>
      <c r="FQ97" s="41"/>
      <c r="FR97" s="41"/>
      <c r="FS97" s="41"/>
      <c r="FT97" s="41"/>
      <c r="FU97" s="41"/>
      <c r="FV97" s="41"/>
      <c r="FW97" s="41"/>
      <c r="FX97" s="41"/>
      <c r="FY97" s="41"/>
      <c r="FZ97" s="41"/>
      <c r="GA97" s="41"/>
      <c r="GB97" s="41"/>
      <c r="GC97" s="41"/>
      <c r="GD97" s="41"/>
      <c r="GE97" s="41"/>
      <c r="GF97" s="41"/>
      <c r="GG97" s="41"/>
      <c r="GH97" s="41"/>
      <c r="GI97" s="41"/>
      <c r="GJ97" s="41"/>
      <c r="GK97" s="41"/>
      <c r="GL97" s="41"/>
      <c r="GM97" s="41"/>
      <c r="GN97" s="41"/>
      <c r="GO97" s="41"/>
      <c r="GP97" s="41"/>
      <c r="GQ97" s="41"/>
      <c r="GR97" s="41"/>
      <c r="GS97" s="41"/>
      <c r="GT97" s="41"/>
      <c r="GU97" s="41"/>
      <c r="GV97" s="41"/>
      <c r="GW97" s="41"/>
      <c r="GX97" s="41"/>
      <c r="GY97" s="41"/>
      <c r="GZ97" s="41"/>
      <c r="HA97" s="41"/>
      <c r="HB97" s="41"/>
      <c r="HC97" s="41"/>
      <c r="HD97" s="41"/>
      <c r="HE97" s="41"/>
      <c r="HF97" s="41"/>
      <c r="HG97" s="41"/>
      <c r="HH97" s="41"/>
      <c r="HI97" s="41"/>
      <c r="HJ97" s="41"/>
      <c r="HK97" s="41"/>
      <c r="HL97" s="41"/>
      <c r="HM97" s="41"/>
      <c r="HN97" s="41"/>
      <c r="HO97" s="41"/>
      <c r="HP97" s="41"/>
      <c r="HQ97" s="41"/>
      <c r="HR97" s="41"/>
      <c r="HS97" s="41"/>
      <c r="HT97" s="41"/>
      <c r="HU97" s="41"/>
      <c r="HV97" s="41"/>
      <c r="HW97" s="41"/>
      <c r="HX97" s="41"/>
      <c r="HY97" s="41"/>
      <c r="HZ97" s="41"/>
      <c r="IA97" s="41"/>
      <c r="IB97" s="41"/>
      <c r="IC97" s="41"/>
      <c r="ID97" s="41"/>
      <c r="IE97" s="41"/>
      <c r="IF97" s="41"/>
      <c r="IG97" s="41"/>
      <c r="IH97" s="41"/>
      <c r="II97" s="41"/>
      <c r="IJ97" s="41"/>
      <c r="IK97" s="41"/>
      <c r="IL97" s="41"/>
      <c r="IM97" s="41"/>
      <c r="IN97" s="41"/>
      <c r="IO97" s="41"/>
      <c r="IP97" s="41"/>
      <c r="IQ97" s="41"/>
      <c r="IR97" s="41"/>
      <c r="IS97" s="41"/>
      <c r="IT97" s="41"/>
      <c r="IU97" s="41"/>
      <c r="IV97" s="41"/>
      <c r="IW97" s="41"/>
      <c r="IX97" s="41"/>
      <c r="IY97" s="41"/>
      <c r="IZ97" s="41"/>
      <c r="JA97" s="41"/>
      <c r="JB97" s="41"/>
      <c r="JC97" s="41"/>
      <c r="JD97" s="41"/>
      <c r="JE97" s="41"/>
      <c r="JF97" s="41"/>
      <c r="JG97" s="41"/>
      <c r="JH97" s="41"/>
      <c r="JI97" s="41"/>
      <c r="JJ97" s="41"/>
      <c r="JK97" s="41"/>
      <c r="JL97" s="41"/>
      <c r="JM97" s="41"/>
      <c r="JN97" s="41"/>
      <c r="JO97" s="41"/>
      <c r="JP97" s="41"/>
      <c r="JQ97" s="41"/>
      <c r="JR97" s="41"/>
      <c r="JS97" s="41"/>
      <c r="JT97" s="41"/>
      <c r="JU97" s="41"/>
      <c r="JV97" s="41"/>
      <c r="JW97" s="41"/>
      <c r="JX97" s="41"/>
      <c r="JY97" s="41"/>
      <c r="JZ97" s="41"/>
      <c r="KA97" s="41"/>
      <c r="KB97" s="41"/>
      <c r="KC97" s="41"/>
      <c r="KD97" s="41"/>
      <c r="KE97" s="41"/>
      <c r="KF97" s="41"/>
      <c r="KG97" s="41"/>
      <c r="KH97" s="41"/>
      <c r="KI97" s="41"/>
      <c r="KJ97" s="41"/>
      <c r="KK97" s="41"/>
      <c r="KL97" s="41"/>
      <c r="KM97" s="41"/>
      <c r="KN97" s="41"/>
      <c r="KO97" s="41"/>
      <c r="KP97" s="41"/>
      <c r="KQ97" s="41"/>
      <c r="KR97" s="41"/>
      <c r="KS97" s="41"/>
      <c r="KT97" s="41"/>
      <c r="KU97" s="41"/>
      <c r="KV97" s="41"/>
      <c r="KW97" s="41"/>
      <c r="KX97" s="41"/>
      <c r="KY97" s="41"/>
      <c r="KZ97" s="41"/>
      <c r="LA97" s="41"/>
      <c r="LB97" s="41"/>
      <c r="LC97" s="41"/>
      <c r="LD97" s="41"/>
      <c r="LE97" s="41"/>
      <c r="LF97" s="41"/>
      <c r="LG97" s="41"/>
      <c r="LH97" s="41"/>
      <c r="LI97" s="41"/>
      <c r="LJ97" s="41"/>
      <c r="LK97" s="41"/>
      <c r="LL97" s="41"/>
      <c r="LM97" s="41"/>
      <c r="LN97" s="41"/>
      <c r="LO97" s="41"/>
      <c r="LP97" s="41"/>
      <c r="LQ97" s="41"/>
      <c r="LR97" s="41"/>
      <c r="LS97" s="41"/>
      <c r="LT97" s="41"/>
      <c r="LU97" s="41"/>
      <c r="LV97" s="41"/>
      <c r="LW97" s="41"/>
      <c r="LX97" s="41"/>
      <c r="LY97" s="41"/>
      <c r="LZ97" s="41"/>
      <c r="MA97" s="41"/>
      <c r="MB97" s="41"/>
      <c r="MC97" s="41"/>
      <c r="MD97" s="41"/>
      <c r="ME97" s="41"/>
      <c r="MF97" s="41"/>
      <c r="MG97" s="41"/>
      <c r="MH97" s="41"/>
      <c r="MI97" s="41"/>
      <c r="MJ97" s="41"/>
      <c r="MK97" s="41"/>
      <c r="ML97" s="41"/>
      <c r="MM97" s="41"/>
      <c r="MN97" s="41"/>
      <c r="MO97" s="41"/>
      <c r="MP97" s="41"/>
      <c r="MQ97" s="41"/>
      <c r="MR97" s="41"/>
      <c r="MS97" s="41"/>
      <c r="MT97" s="41"/>
      <c r="MU97" s="41"/>
      <c r="MV97" s="41"/>
      <c r="MW97" s="41"/>
      <c r="MX97" s="41"/>
      <c r="MY97" s="41"/>
      <c r="MZ97" s="41"/>
      <c r="NA97" s="41"/>
      <c r="NB97" s="41"/>
      <c r="NC97" s="41"/>
      <c r="ND97" s="41"/>
      <c r="NE97" s="41"/>
      <c r="NF97" s="41"/>
      <c r="NG97" s="41"/>
      <c r="NH97" s="41"/>
      <c r="NI97" s="41"/>
      <c r="NJ97" s="41"/>
      <c r="NK97" s="41"/>
      <c r="NL97" s="41"/>
      <c r="NM97" s="41"/>
      <c r="NN97" s="41"/>
      <c r="NO97" s="41"/>
      <c r="NP97" s="41"/>
      <c r="NQ97" s="41"/>
      <c r="NR97" s="41"/>
      <c r="NS97" s="41"/>
      <c r="NT97" s="41"/>
      <c r="NU97" s="41"/>
      <c r="NV97" s="41"/>
      <c r="NW97" s="41"/>
      <c r="NX97" s="41"/>
      <c r="NY97" s="41"/>
      <c r="NZ97" s="41"/>
      <c r="OA97" s="41"/>
      <c r="OB97" s="41"/>
      <c r="OC97" s="41"/>
      <c r="OD97" s="41"/>
      <c r="OE97" s="41"/>
      <c r="OF97" s="41"/>
      <c r="OG97" s="41"/>
      <c r="OH97" s="41"/>
      <c r="OI97" s="41"/>
      <c r="OJ97" s="41"/>
      <c r="OK97" s="41"/>
      <c r="OL97" s="41"/>
      <c r="OM97" s="41"/>
      <c r="ON97" s="41"/>
      <c r="OO97" s="41"/>
      <c r="OP97" s="41"/>
      <c r="OQ97" s="41"/>
      <c r="OR97" s="41"/>
      <c r="OS97" s="41"/>
      <c r="OT97" s="41"/>
      <c r="OU97" s="41"/>
      <c r="OV97" s="41"/>
      <c r="OW97" s="41"/>
      <c r="OX97" s="41"/>
      <c r="OY97" s="41"/>
      <c r="OZ97" s="41"/>
      <c r="PA97" s="41"/>
      <c r="PB97" s="41"/>
      <c r="PC97" s="41"/>
      <c r="PD97" s="41"/>
      <c r="PE97" s="41"/>
      <c r="PF97" s="41"/>
      <c r="PG97" s="41"/>
      <c r="PH97" s="41"/>
      <c r="PI97" s="41"/>
      <c r="PJ97" s="41"/>
      <c r="PK97" s="41"/>
      <c r="PL97" s="41"/>
      <c r="PM97" s="41"/>
      <c r="PN97" s="41"/>
      <c r="PO97" s="41"/>
      <c r="PP97" s="41"/>
      <c r="PQ97" s="41"/>
      <c r="PR97" s="41"/>
      <c r="PS97" s="41"/>
      <c r="PT97" s="41"/>
      <c r="PU97" s="41"/>
      <c r="PV97" s="41"/>
      <c r="PW97" s="41"/>
      <c r="PX97" s="41"/>
      <c r="PY97" s="41"/>
      <c r="PZ97" s="41"/>
      <c r="QA97" s="41"/>
      <c r="QB97" s="41"/>
      <c r="QC97" s="41"/>
      <c r="QD97" s="41"/>
      <c r="QE97" s="41"/>
      <c r="QF97" s="41"/>
      <c r="QG97" s="41"/>
      <c r="QH97" s="41"/>
      <c r="QI97" s="41"/>
      <c r="QJ97" s="41"/>
      <c r="QK97" s="41"/>
      <c r="QL97" s="41"/>
      <c r="QM97" s="41"/>
      <c r="QN97" s="41"/>
      <c r="QO97" s="41"/>
      <c r="QP97" s="41"/>
      <c r="QQ97" s="41"/>
      <c r="QR97" s="41"/>
      <c r="QS97" s="41"/>
      <c r="QT97" s="41"/>
      <c r="QU97" s="41"/>
      <c r="QV97" s="41"/>
      <c r="QW97" s="41"/>
      <c r="QX97" s="41"/>
      <c r="QY97" s="41"/>
      <c r="QZ97" s="41"/>
      <c r="RA97" s="41"/>
      <c r="RB97" s="41"/>
      <c r="RC97" s="41"/>
      <c r="RD97" s="41"/>
      <c r="RE97" s="41"/>
      <c r="RF97" s="41"/>
      <c r="RG97" s="41"/>
      <c r="RH97" s="41"/>
      <c r="RI97" s="41"/>
      <c r="RJ97" s="41"/>
      <c r="RK97" s="41"/>
      <c r="RL97" s="41"/>
      <c r="RM97" s="41"/>
      <c r="RN97" s="41"/>
      <c r="RO97" s="41"/>
      <c r="RP97" s="41"/>
      <c r="RQ97" s="41"/>
      <c r="RR97" s="41"/>
      <c r="RS97" s="41"/>
      <c r="RT97" s="41"/>
      <c r="RU97" s="41"/>
      <c r="RV97" s="41"/>
      <c r="RW97" s="41"/>
      <c r="RX97" s="41"/>
      <c r="RY97" s="41"/>
      <c r="RZ97" s="41"/>
      <c r="SA97" s="41"/>
      <c r="SB97" s="41"/>
      <c r="SC97" s="41"/>
      <c r="SD97" s="41"/>
      <c r="SE97" s="41"/>
      <c r="SF97" s="41"/>
      <c r="SG97" s="41"/>
      <c r="SH97" s="41"/>
      <c r="SI97" s="41"/>
      <c r="SJ97" s="41"/>
      <c r="SK97" s="41"/>
      <c r="SL97" s="41"/>
      <c r="SM97" s="41"/>
      <c r="SN97" s="41"/>
      <c r="SO97" s="41"/>
      <c r="SP97" s="41"/>
      <c r="SQ97" s="41"/>
      <c r="SR97" s="41"/>
      <c r="SS97" s="41"/>
      <c r="ST97" s="41"/>
      <c r="SU97" s="41"/>
      <c r="SV97" s="41"/>
      <c r="SW97" s="41"/>
      <c r="SX97" s="41"/>
      <c r="SY97" s="41"/>
      <c r="SZ97" s="41"/>
      <c r="TA97" s="41"/>
      <c r="TB97" s="41"/>
      <c r="TC97" s="41"/>
      <c r="TD97" s="41"/>
      <c r="TE97" s="41"/>
      <c r="TF97" s="41"/>
      <c r="TG97" s="41"/>
      <c r="TH97" s="41"/>
      <c r="TI97" s="41"/>
      <c r="TJ97" s="41"/>
      <c r="TK97" s="41"/>
      <c r="TL97" s="41"/>
      <c r="TM97" s="41"/>
      <c r="TN97" s="41"/>
      <c r="TO97" s="41"/>
      <c r="TP97" s="41"/>
      <c r="TQ97" s="41"/>
      <c r="TR97" s="41"/>
      <c r="TS97" s="41"/>
      <c r="TT97" s="41"/>
      <c r="TU97" s="41"/>
      <c r="TV97" s="41"/>
      <c r="TW97" s="41"/>
      <c r="TX97" s="41"/>
      <c r="TY97" s="41"/>
      <c r="TZ97" s="41"/>
      <c r="UA97" s="41"/>
      <c r="UB97" s="41"/>
      <c r="UC97" s="41"/>
      <c r="UD97" s="41"/>
      <c r="UE97" s="41"/>
      <c r="UF97" s="41"/>
      <c r="UG97" s="41"/>
      <c r="UH97" s="41"/>
      <c r="UI97" s="41"/>
      <c r="UJ97" s="41"/>
      <c r="UK97" s="41"/>
      <c r="UL97" s="41"/>
      <c r="UM97" s="41"/>
      <c r="UN97" s="41"/>
      <c r="UO97" s="41"/>
      <c r="UP97" s="41"/>
      <c r="UQ97" s="41"/>
      <c r="UR97" s="41"/>
      <c r="US97" s="41"/>
      <c r="UT97" s="41"/>
      <c r="UU97" s="41"/>
      <c r="UV97" s="41"/>
      <c r="UW97" s="41"/>
      <c r="UX97" s="41"/>
      <c r="UY97" s="41"/>
      <c r="UZ97" s="41"/>
      <c r="VA97" s="41"/>
      <c r="VB97" s="41"/>
      <c r="VC97" s="41"/>
      <c r="VD97" s="41"/>
      <c r="VE97" s="41"/>
      <c r="VF97" s="41"/>
      <c r="VG97" s="41"/>
      <c r="VH97" s="41"/>
      <c r="VI97" s="41"/>
      <c r="VJ97" s="41"/>
      <c r="VK97" s="41"/>
      <c r="VL97" s="41"/>
      <c r="VM97" s="41"/>
      <c r="VN97" s="41"/>
      <c r="VO97" s="41"/>
      <c r="VP97" s="41"/>
      <c r="VQ97" s="41"/>
      <c r="VR97" s="41"/>
      <c r="VS97" s="41"/>
      <c r="VT97" s="41"/>
      <c r="VU97" s="41"/>
      <c r="VV97" s="41"/>
      <c r="VW97" s="41"/>
      <c r="VX97" s="41"/>
      <c r="VY97" s="41"/>
      <c r="VZ97" s="41"/>
      <c r="WA97" s="41"/>
      <c r="WB97" s="41"/>
      <c r="WC97" s="41"/>
      <c r="WD97" s="41"/>
      <c r="WE97" s="41"/>
      <c r="WF97" s="41"/>
      <c r="WG97" s="41"/>
      <c r="WH97" s="41"/>
      <c r="WI97" s="41"/>
      <c r="WJ97" s="41"/>
      <c r="WK97" s="41"/>
      <c r="WL97" s="41"/>
      <c r="WM97" s="41"/>
      <c r="WN97" s="41"/>
      <c r="WO97" s="41"/>
      <c r="WP97" s="41"/>
      <c r="WQ97" s="41"/>
      <c r="WR97" s="41"/>
      <c r="WS97" s="41"/>
      <c r="WT97" s="41"/>
      <c r="WU97" s="41"/>
      <c r="WV97" s="41"/>
      <c r="WW97" s="41"/>
      <c r="WX97" s="41"/>
      <c r="WY97" s="41"/>
      <c r="WZ97" s="41"/>
      <c r="XA97" s="41"/>
      <c r="XB97" s="41"/>
      <c r="XC97" s="41"/>
      <c r="XD97" s="41"/>
      <c r="XE97" s="41"/>
      <c r="XF97" s="41"/>
      <c r="XG97" s="41"/>
      <c r="XH97" s="41"/>
      <c r="XI97" s="41"/>
      <c r="XJ97" s="41"/>
      <c r="XK97" s="41"/>
      <c r="XL97" s="41"/>
      <c r="XM97" s="41"/>
      <c r="XN97" s="41"/>
      <c r="XO97" s="41"/>
      <c r="XP97" s="41"/>
      <c r="XQ97" s="41"/>
      <c r="XR97" s="41"/>
      <c r="XS97" s="41"/>
      <c r="XT97" s="41"/>
      <c r="XU97" s="41"/>
      <c r="XV97" s="41"/>
      <c r="XW97" s="41"/>
      <c r="XX97" s="41"/>
      <c r="XY97" s="41"/>
      <c r="XZ97" s="41"/>
      <c r="YA97" s="41"/>
      <c r="YB97" s="41"/>
      <c r="YC97" s="41"/>
      <c r="YD97" s="41"/>
      <c r="YE97" s="41"/>
      <c r="YF97" s="41"/>
      <c r="YG97" s="41"/>
      <c r="YH97" s="41"/>
      <c r="YI97" s="41"/>
      <c r="YJ97" s="41"/>
      <c r="YK97" s="41"/>
      <c r="YL97" s="41"/>
      <c r="YM97" s="41"/>
      <c r="YN97" s="41"/>
      <c r="YO97" s="41"/>
      <c r="YP97" s="41"/>
      <c r="YQ97" s="41"/>
      <c r="YR97" s="41"/>
      <c r="YS97" s="41"/>
      <c r="YT97" s="41"/>
      <c r="YU97" s="41"/>
      <c r="YV97" s="41"/>
      <c r="YW97" s="41"/>
      <c r="YX97" s="41"/>
      <c r="YY97" s="41"/>
      <c r="YZ97" s="41"/>
      <c r="ZA97" s="41"/>
      <c r="ZB97" s="41"/>
      <c r="ZC97" s="41"/>
      <c r="ZD97" s="41"/>
      <c r="ZE97" s="41"/>
      <c r="ZF97" s="41"/>
      <c r="ZG97" s="41"/>
      <c r="ZH97" s="41"/>
      <c r="ZI97" s="41"/>
      <c r="ZJ97" s="41"/>
      <c r="ZK97" s="41"/>
      <c r="ZL97" s="41"/>
      <c r="ZM97" s="41"/>
      <c r="ZN97" s="41"/>
      <c r="ZO97" s="41"/>
      <c r="ZP97" s="41"/>
      <c r="ZQ97" s="41"/>
      <c r="ZR97" s="41"/>
      <c r="ZS97" s="41"/>
      <c r="ZT97" s="41"/>
      <c r="ZU97" s="41"/>
      <c r="ZV97" s="41"/>
      <c r="ZW97" s="41"/>
      <c r="ZX97" s="41"/>
      <c r="ZY97" s="41"/>
      <c r="ZZ97" s="41"/>
      <c r="AAA97" s="41"/>
      <c r="AAB97" s="41"/>
      <c r="AAC97" s="41"/>
    </row>
    <row r="98" spans="1:705" s="42" customFormat="1" ht="42" x14ac:dyDescent="0.3">
      <c r="A98" s="26">
        <v>94</v>
      </c>
      <c r="B98" s="162">
        <v>239937</v>
      </c>
      <c r="C98" s="163">
        <v>94</v>
      </c>
      <c r="D98" s="164">
        <v>45923</v>
      </c>
      <c r="E98" s="164">
        <f t="shared" si="13"/>
        <v>45922</v>
      </c>
      <c r="F98" s="164">
        <f t="shared" si="10"/>
        <v>45933</v>
      </c>
      <c r="G98" s="164">
        <v>46014</v>
      </c>
      <c r="H98" s="164">
        <v>46105</v>
      </c>
      <c r="I98" s="164" t="s">
        <v>321</v>
      </c>
      <c r="J98" s="165" t="s">
        <v>279</v>
      </c>
      <c r="K98" s="166">
        <f t="shared" si="14"/>
        <v>172</v>
      </c>
      <c r="L98" s="166">
        <v>1146502</v>
      </c>
      <c r="M98" s="176" t="s">
        <v>535</v>
      </c>
      <c r="N98" s="165">
        <v>810947</v>
      </c>
      <c r="O98" s="165" t="s">
        <v>246</v>
      </c>
      <c r="P98" s="167">
        <v>46022</v>
      </c>
      <c r="Q98" s="167">
        <v>46198</v>
      </c>
      <c r="R98" s="177" t="s">
        <v>1235</v>
      </c>
      <c r="S98" s="168" t="s">
        <v>280</v>
      </c>
      <c r="T98" s="169">
        <v>1</v>
      </c>
      <c r="U98" s="162" t="s">
        <v>82</v>
      </c>
      <c r="V98" s="170">
        <v>107</v>
      </c>
      <c r="W98" s="170">
        <v>107</v>
      </c>
      <c r="X98" s="171">
        <v>0</v>
      </c>
      <c r="Y98" s="170"/>
      <c r="Z98" s="170">
        <v>0</v>
      </c>
      <c r="AA98" s="170">
        <v>0</v>
      </c>
      <c r="AB98" s="170">
        <v>107</v>
      </c>
      <c r="AC98" s="170">
        <v>107</v>
      </c>
      <c r="AD98" s="170">
        <v>0</v>
      </c>
      <c r="AE98" s="170">
        <v>0</v>
      </c>
      <c r="AF98" s="170">
        <v>0</v>
      </c>
      <c r="AG98" s="170">
        <v>0</v>
      </c>
      <c r="AH98" s="170">
        <v>0</v>
      </c>
      <c r="AI98" s="170"/>
      <c r="AJ98" s="170">
        <v>0</v>
      </c>
      <c r="AK98" s="170">
        <v>0</v>
      </c>
      <c r="AL98" s="170">
        <v>0</v>
      </c>
      <c r="AM98" s="170"/>
      <c r="AN98" s="170">
        <v>1</v>
      </c>
      <c r="AO98" s="170">
        <v>1</v>
      </c>
      <c r="AP98" s="170">
        <v>1</v>
      </c>
      <c r="AQ98" s="170">
        <v>1</v>
      </c>
      <c r="AR98" s="170">
        <v>0</v>
      </c>
      <c r="AS98" s="170">
        <v>0</v>
      </c>
      <c r="AT98" s="170">
        <v>0</v>
      </c>
      <c r="AU98" s="170">
        <v>0</v>
      </c>
      <c r="AV98" s="170">
        <v>0</v>
      </c>
      <c r="AW98" s="170">
        <v>0</v>
      </c>
      <c r="AX98" s="170">
        <f t="shared" si="11"/>
        <v>13209</v>
      </c>
      <c r="AY98" s="170">
        <f t="shared" si="12"/>
        <v>13209</v>
      </c>
      <c r="AZ98" s="165" t="s">
        <v>15</v>
      </c>
      <c r="BA98" s="162" t="s">
        <v>77</v>
      </c>
      <c r="BB98" s="162" t="s">
        <v>77</v>
      </c>
      <c r="BC98" s="172">
        <v>94</v>
      </c>
      <c r="BD98" s="173"/>
      <c r="BE98" s="169"/>
      <c r="BF98" s="174"/>
      <c r="BG98" s="178">
        <v>46088</v>
      </c>
      <c r="BH98" s="175" t="s">
        <v>77</v>
      </c>
      <c r="BI98" s="175" t="s">
        <v>77</v>
      </c>
      <c r="BK98" s="238"/>
      <c r="CC98" s="41"/>
      <c r="CD98" s="41"/>
      <c r="CE98" s="41"/>
      <c r="CF98" s="41"/>
      <c r="CG98" s="41"/>
      <c r="CH98" s="41"/>
      <c r="CI98" s="41"/>
      <c r="CJ98" s="41"/>
      <c r="CK98" s="41"/>
      <c r="CL98" s="41"/>
      <c r="CM98" s="41"/>
      <c r="CN98" s="41"/>
      <c r="CO98" s="41"/>
      <c r="CP98" s="41"/>
      <c r="CQ98" s="41"/>
      <c r="CR98" s="41"/>
      <c r="CS98" s="41"/>
      <c r="CT98" s="41"/>
      <c r="CU98" s="41"/>
      <c r="CV98" s="41"/>
      <c r="CW98" s="41"/>
      <c r="CX98" s="41"/>
      <c r="CY98" s="41"/>
      <c r="CZ98" s="41"/>
      <c r="DA98" s="41"/>
      <c r="DB98" s="41"/>
      <c r="DC98" s="41"/>
      <c r="DD98" s="41"/>
      <c r="DE98" s="41"/>
      <c r="DF98" s="41"/>
      <c r="DG98" s="41"/>
      <c r="DH98" s="41"/>
      <c r="DI98" s="41"/>
      <c r="DJ98" s="41"/>
      <c r="DK98" s="41"/>
      <c r="DL98" s="41"/>
      <c r="DM98" s="41"/>
      <c r="DN98" s="41"/>
      <c r="DO98" s="41"/>
      <c r="DP98" s="41"/>
      <c r="DQ98" s="41"/>
      <c r="DR98" s="41"/>
      <c r="DS98" s="41"/>
      <c r="DT98" s="41"/>
      <c r="DU98" s="41"/>
      <c r="DV98" s="41"/>
      <c r="DW98" s="41"/>
      <c r="DX98" s="41"/>
      <c r="DY98" s="41"/>
      <c r="DZ98" s="41"/>
      <c r="EA98" s="41"/>
      <c r="EB98" s="41"/>
      <c r="EC98" s="41"/>
      <c r="ED98" s="41"/>
      <c r="EE98" s="41"/>
      <c r="EF98" s="41"/>
      <c r="EG98" s="41"/>
      <c r="EH98" s="41"/>
      <c r="EI98" s="41"/>
      <c r="EJ98" s="41"/>
      <c r="EK98" s="41"/>
      <c r="EL98" s="41"/>
      <c r="EM98" s="41"/>
      <c r="EN98" s="41"/>
      <c r="EO98" s="41"/>
      <c r="EP98" s="41"/>
      <c r="EQ98" s="41"/>
      <c r="ER98" s="41"/>
      <c r="ES98" s="41"/>
      <c r="ET98" s="41"/>
      <c r="EU98" s="41"/>
      <c r="EV98" s="41"/>
      <c r="EW98" s="41"/>
      <c r="EX98" s="41"/>
      <c r="EY98" s="41"/>
      <c r="EZ98" s="41"/>
      <c r="FA98" s="41"/>
      <c r="FB98" s="41"/>
      <c r="FC98" s="41"/>
      <c r="FD98" s="41"/>
      <c r="FE98" s="41"/>
      <c r="FF98" s="41"/>
      <c r="FG98" s="41"/>
      <c r="FH98" s="41"/>
      <c r="FI98" s="41"/>
      <c r="FJ98" s="41"/>
      <c r="FK98" s="41"/>
      <c r="FL98" s="41"/>
      <c r="FM98" s="41"/>
      <c r="FN98" s="41"/>
      <c r="FO98" s="41"/>
      <c r="FP98" s="41"/>
      <c r="FQ98" s="41"/>
      <c r="FR98" s="41"/>
      <c r="FS98" s="41"/>
      <c r="FT98" s="41"/>
      <c r="FU98" s="41"/>
      <c r="FV98" s="41"/>
      <c r="FW98" s="41"/>
      <c r="FX98" s="41"/>
      <c r="FY98" s="41"/>
      <c r="FZ98" s="41"/>
      <c r="GA98" s="41"/>
      <c r="GB98" s="41"/>
      <c r="GC98" s="41"/>
      <c r="GD98" s="41"/>
      <c r="GE98" s="41"/>
      <c r="GF98" s="41"/>
      <c r="GG98" s="41"/>
      <c r="GH98" s="41"/>
      <c r="GI98" s="41"/>
      <c r="GJ98" s="41"/>
      <c r="GK98" s="41"/>
      <c r="GL98" s="41"/>
      <c r="GM98" s="41"/>
      <c r="GN98" s="41"/>
      <c r="GO98" s="41"/>
      <c r="GP98" s="41"/>
      <c r="GQ98" s="41"/>
      <c r="GR98" s="41"/>
      <c r="GS98" s="41"/>
      <c r="GT98" s="41"/>
      <c r="GU98" s="41"/>
      <c r="GV98" s="41"/>
      <c r="GW98" s="41"/>
      <c r="GX98" s="41"/>
      <c r="GY98" s="41"/>
      <c r="GZ98" s="41"/>
      <c r="HA98" s="41"/>
      <c r="HB98" s="41"/>
      <c r="HC98" s="41"/>
      <c r="HD98" s="41"/>
      <c r="HE98" s="41"/>
      <c r="HF98" s="41"/>
      <c r="HG98" s="41"/>
      <c r="HH98" s="41"/>
      <c r="HI98" s="41"/>
      <c r="HJ98" s="41"/>
      <c r="HK98" s="41"/>
      <c r="HL98" s="41"/>
      <c r="HM98" s="41"/>
      <c r="HN98" s="41"/>
      <c r="HO98" s="41"/>
      <c r="HP98" s="41"/>
      <c r="HQ98" s="41"/>
      <c r="HR98" s="41"/>
      <c r="HS98" s="41"/>
      <c r="HT98" s="41"/>
      <c r="HU98" s="41"/>
      <c r="HV98" s="41"/>
      <c r="HW98" s="41"/>
      <c r="HX98" s="41"/>
      <c r="HY98" s="41"/>
      <c r="HZ98" s="41"/>
      <c r="IA98" s="41"/>
      <c r="IB98" s="41"/>
      <c r="IC98" s="41"/>
      <c r="ID98" s="41"/>
      <c r="IE98" s="41"/>
      <c r="IF98" s="41"/>
      <c r="IG98" s="41"/>
      <c r="IH98" s="41"/>
      <c r="II98" s="41"/>
      <c r="IJ98" s="41"/>
      <c r="IK98" s="41"/>
      <c r="IL98" s="41"/>
      <c r="IM98" s="41"/>
      <c r="IN98" s="41"/>
      <c r="IO98" s="41"/>
      <c r="IP98" s="41"/>
      <c r="IQ98" s="41"/>
      <c r="IR98" s="41"/>
      <c r="IS98" s="41"/>
      <c r="IT98" s="41"/>
      <c r="IU98" s="41"/>
      <c r="IV98" s="41"/>
      <c r="IW98" s="41"/>
      <c r="IX98" s="41"/>
      <c r="IY98" s="41"/>
      <c r="IZ98" s="41"/>
      <c r="JA98" s="41"/>
      <c r="JB98" s="41"/>
      <c r="JC98" s="41"/>
      <c r="JD98" s="41"/>
      <c r="JE98" s="41"/>
      <c r="JF98" s="41"/>
      <c r="JG98" s="41"/>
      <c r="JH98" s="41"/>
      <c r="JI98" s="41"/>
      <c r="JJ98" s="41"/>
      <c r="JK98" s="41"/>
      <c r="JL98" s="41"/>
      <c r="JM98" s="41"/>
      <c r="JN98" s="41"/>
      <c r="JO98" s="41"/>
      <c r="JP98" s="41"/>
      <c r="JQ98" s="41"/>
      <c r="JR98" s="41"/>
      <c r="JS98" s="41"/>
      <c r="JT98" s="41"/>
      <c r="JU98" s="41"/>
      <c r="JV98" s="41"/>
      <c r="JW98" s="41"/>
      <c r="JX98" s="41"/>
      <c r="JY98" s="41"/>
      <c r="JZ98" s="41"/>
      <c r="KA98" s="41"/>
      <c r="KB98" s="41"/>
      <c r="KC98" s="41"/>
      <c r="KD98" s="41"/>
      <c r="KE98" s="41"/>
      <c r="KF98" s="41"/>
      <c r="KG98" s="41"/>
      <c r="KH98" s="41"/>
      <c r="KI98" s="41"/>
      <c r="KJ98" s="41"/>
      <c r="KK98" s="41"/>
      <c r="KL98" s="41"/>
      <c r="KM98" s="41"/>
      <c r="KN98" s="41"/>
      <c r="KO98" s="41"/>
      <c r="KP98" s="41"/>
      <c r="KQ98" s="41"/>
      <c r="KR98" s="41"/>
      <c r="KS98" s="41"/>
      <c r="KT98" s="41"/>
      <c r="KU98" s="41"/>
      <c r="KV98" s="41"/>
      <c r="KW98" s="41"/>
      <c r="KX98" s="41"/>
      <c r="KY98" s="41"/>
      <c r="KZ98" s="41"/>
      <c r="LA98" s="41"/>
      <c r="LB98" s="41"/>
      <c r="LC98" s="41"/>
      <c r="LD98" s="41"/>
      <c r="LE98" s="41"/>
      <c r="LF98" s="41"/>
      <c r="LG98" s="41"/>
      <c r="LH98" s="41"/>
      <c r="LI98" s="41"/>
      <c r="LJ98" s="41"/>
      <c r="LK98" s="41"/>
      <c r="LL98" s="41"/>
      <c r="LM98" s="41"/>
      <c r="LN98" s="41"/>
      <c r="LO98" s="41"/>
      <c r="LP98" s="41"/>
      <c r="LQ98" s="41"/>
      <c r="LR98" s="41"/>
      <c r="LS98" s="41"/>
      <c r="LT98" s="41"/>
      <c r="LU98" s="41"/>
      <c r="LV98" s="41"/>
      <c r="LW98" s="41"/>
      <c r="LX98" s="41"/>
      <c r="LY98" s="41"/>
      <c r="LZ98" s="41"/>
      <c r="MA98" s="41"/>
      <c r="MB98" s="41"/>
      <c r="MC98" s="41"/>
      <c r="MD98" s="41"/>
      <c r="ME98" s="41"/>
      <c r="MF98" s="41"/>
      <c r="MG98" s="41"/>
      <c r="MH98" s="41"/>
      <c r="MI98" s="41"/>
      <c r="MJ98" s="41"/>
      <c r="MK98" s="41"/>
      <c r="ML98" s="41"/>
      <c r="MM98" s="41"/>
      <c r="MN98" s="41"/>
      <c r="MO98" s="41"/>
      <c r="MP98" s="41"/>
      <c r="MQ98" s="41"/>
      <c r="MR98" s="41"/>
      <c r="MS98" s="41"/>
      <c r="MT98" s="41"/>
      <c r="MU98" s="41"/>
      <c r="MV98" s="41"/>
      <c r="MW98" s="41"/>
      <c r="MX98" s="41"/>
      <c r="MY98" s="41"/>
      <c r="MZ98" s="41"/>
      <c r="NA98" s="41"/>
      <c r="NB98" s="41"/>
      <c r="NC98" s="41"/>
      <c r="ND98" s="41"/>
      <c r="NE98" s="41"/>
      <c r="NF98" s="41"/>
      <c r="NG98" s="41"/>
      <c r="NH98" s="41"/>
      <c r="NI98" s="41"/>
      <c r="NJ98" s="41"/>
      <c r="NK98" s="41"/>
      <c r="NL98" s="41"/>
      <c r="NM98" s="41"/>
      <c r="NN98" s="41"/>
      <c r="NO98" s="41"/>
      <c r="NP98" s="41"/>
      <c r="NQ98" s="41"/>
      <c r="NR98" s="41"/>
      <c r="NS98" s="41"/>
      <c r="NT98" s="41"/>
      <c r="NU98" s="41"/>
      <c r="NV98" s="41"/>
      <c r="NW98" s="41"/>
      <c r="NX98" s="41"/>
      <c r="NY98" s="41"/>
      <c r="NZ98" s="41"/>
      <c r="OA98" s="41"/>
      <c r="OB98" s="41"/>
      <c r="OC98" s="41"/>
      <c r="OD98" s="41"/>
      <c r="OE98" s="41"/>
      <c r="OF98" s="41"/>
      <c r="OG98" s="41"/>
      <c r="OH98" s="41"/>
      <c r="OI98" s="41"/>
      <c r="OJ98" s="41"/>
      <c r="OK98" s="41"/>
      <c r="OL98" s="41"/>
      <c r="OM98" s="41"/>
      <c r="ON98" s="41"/>
      <c r="OO98" s="41"/>
      <c r="OP98" s="41"/>
      <c r="OQ98" s="41"/>
      <c r="OR98" s="41"/>
      <c r="OS98" s="41"/>
      <c r="OT98" s="41"/>
      <c r="OU98" s="41"/>
      <c r="OV98" s="41"/>
      <c r="OW98" s="41"/>
      <c r="OX98" s="41"/>
      <c r="OY98" s="41"/>
      <c r="OZ98" s="41"/>
      <c r="PA98" s="41"/>
      <c r="PB98" s="41"/>
      <c r="PC98" s="41"/>
      <c r="PD98" s="41"/>
      <c r="PE98" s="41"/>
      <c r="PF98" s="41"/>
      <c r="PG98" s="41"/>
      <c r="PH98" s="41"/>
      <c r="PI98" s="41"/>
      <c r="PJ98" s="41"/>
      <c r="PK98" s="41"/>
      <c r="PL98" s="41"/>
      <c r="PM98" s="41"/>
      <c r="PN98" s="41"/>
      <c r="PO98" s="41"/>
      <c r="PP98" s="41"/>
      <c r="PQ98" s="41"/>
      <c r="PR98" s="41"/>
      <c r="PS98" s="41"/>
      <c r="PT98" s="41"/>
      <c r="PU98" s="41"/>
      <c r="PV98" s="41"/>
      <c r="PW98" s="41"/>
      <c r="PX98" s="41"/>
      <c r="PY98" s="41"/>
      <c r="PZ98" s="41"/>
      <c r="QA98" s="41"/>
      <c r="QB98" s="41"/>
      <c r="QC98" s="41"/>
      <c r="QD98" s="41"/>
      <c r="QE98" s="41"/>
      <c r="QF98" s="41"/>
      <c r="QG98" s="41"/>
      <c r="QH98" s="41"/>
      <c r="QI98" s="41"/>
      <c r="QJ98" s="41"/>
      <c r="QK98" s="41"/>
      <c r="QL98" s="41"/>
      <c r="QM98" s="41"/>
      <c r="QN98" s="41"/>
      <c r="QO98" s="41"/>
      <c r="QP98" s="41"/>
      <c r="QQ98" s="41"/>
      <c r="QR98" s="41"/>
      <c r="QS98" s="41"/>
      <c r="QT98" s="41"/>
      <c r="QU98" s="41"/>
      <c r="QV98" s="41"/>
      <c r="QW98" s="41"/>
      <c r="QX98" s="41"/>
      <c r="QY98" s="41"/>
      <c r="QZ98" s="41"/>
      <c r="RA98" s="41"/>
      <c r="RB98" s="41"/>
      <c r="RC98" s="41"/>
      <c r="RD98" s="41"/>
      <c r="RE98" s="41"/>
      <c r="RF98" s="41"/>
      <c r="RG98" s="41"/>
      <c r="RH98" s="41"/>
      <c r="RI98" s="41"/>
      <c r="RJ98" s="41"/>
      <c r="RK98" s="41"/>
      <c r="RL98" s="41"/>
      <c r="RM98" s="41"/>
      <c r="RN98" s="41"/>
      <c r="RO98" s="41"/>
      <c r="RP98" s="41"/>
      <c r="RQ98" s="41"/>
      <c r="RR98" s="41"/>
      <c r="RS98" s="41"/>
      <c r="RT98" s="41"/>
      <c r="RU98" s="41"/>
      <c r="RV98" s="41"/>
      <c r="RW98" s="41"/>
      <c r="RX98" s="41"/>
      <c r="RY98" s="41"/>
      <c r="RZ98" s="41"/>
      <c r="SA98" s="41"/>
      <c r="SB98" s="41"/>
      <c r="SC98" s="41"/>
      <c r="SD98" s="41"/>
      <c r="SE98" s="41"/>
      <c r="SF98" s="41"/>
      <c r="SG98" s="41"/>
      <c r="SH98" s="41"/>
      <c r="SI98" s="41"/>
      <c r="SJ98" s="41"/>
      <c r="SK98" s="41"/>
      <c r="SL98" s="41"/>
      <c r="SM98" s="41"/>
      <c r="SN98" s="41"/>
      <c r="SO98" s="41"/>
      <c r="SP98" s="41"/>
      <c r="SQ98" s="41"/>
      <c r="SR98" s="41"/>
      <c r="SS98" s="41"/>
      <c r="ST98" s="41"/>
      <c r="SU98" s="41"/>
      <c r="SV98" s="41"/>
      <c r="SW98" s="41"/>
      <c r="SX98" s="41"/>
      <c r="SY98" s="41"/>
      <c r="SZ98" s="41"/>
      <c r="TA98" s="41"/>
      <c r="TB98" s="41"/>
      <c r="TC98" s="41"/>
      <c r="TD98" s="41"/>
      <c r="TE98" s="41"/>
      <c r="TF98" s="41"/>
      <c r="TG98" s="41"/>
      <c r="TH98" s="41"/>
      <c r="TI98" s="41"/>
      <c r="TJ98" s="41"/>
      <c r="TK98" s="41"/>
      <c r="TL98" s="41"/>
      <c r="TM98" s="41"/>
      <c r="TN98" s="41"/>
      <c r="TO98" s="41"/>
      <c r="TP98" s="41"/>
      <c r="TQ98" s="41"/>
      <c r="TR98" s="41"/>
      <c r="TS98" s="41"/>
      <c r="TT98" s="41"/>
      <c r="TU98" s="41"/>
      <c r="TV98" s="41"/>
      <c r="TW98" s="41"/>
      <c r="TX98" s="41"/>
      <c r="TY98" s="41"/>
      <c r="TZ98" s="41"/>
      <c r="UA98" s="41"/>
      <c r="UB98" s="41"/>
      <c r="UC98" s="41"/>
      <c r="UD98" s="41"/>
      <c r="UE98" s="41"/>
      <c r="UF98" s="41"/>
      <c r="UG98" s="41"/>
      <c r="UH98" s="41"/>
      <c r="UI98" s="41"/>
      <c r="UJ98" s="41"/>
      <c r="UK98" s="41"/>
      <c r="UL98" s="41"/>
      <c r="UM98" s="41"/>
      <c r="UN98" s="41"/>
      <c r="UO98" s="41"/>
      <c r="UP98" s="41"/>
      <c r="UQ98" s="41"/>
      <c r="UR98" s="41"/>
      <c r="US98" s="41"/>
      <c r="UT98" s="41"/>
      <c r="UU98" s="41"/>
      <c r="UV98" s="41"/>
      <c r="UW98" s="41"/>
      <c r="UX98" s="41"/>
      <c r="UY98" s="41"/>
      <c r="UZ98" s="41"/>
      <c r="VA98" s="41"/>
      <c r="VB98" s="41"/>
      <c r="VC98" s="41"/>
      <c r="VD98" s="41"/>
      <c r="VE98" s="41"/>
      <c r="VF98" s="41"/>
      <c r="VG98" s="41"/>
      <c r="VH98" s="41"/>
      <c r="VI98" s="41"/>
      <c r="VJ98" s="41"/>
      <c r="VK98" s="41"/>
      <c r="VL98" s="41"/>
      <c r="VM98" s="41"/>
      <c r="VN98" s="41"/>
      <c r="VO98" s="41"/>
      <c r="VP98" s="41"/>
      <c r="VQ98" s="41"/>
      <c r="VR98" s="41"/>
      <c r="VS98" s="41"/>
      <c r="VT98" s="41"/>
      <c r="VU98" s="41"/>
      <c r="VV98" s="41"/>
      <c r="VW98" s="41"/>
      <c r="VX98" s="41"/>
      <c r="VY98" s="41"/>
      <c r="VZ98" s="41"/>
      <c r="WA98" s="41"/>
      <c r="WB98" s="41"/>
      <c r="WC98" s="41"/>
      <c r="WD98" s="41"/>
      <c r="WE98" s="41"/>
      <c r="WF98" s="41"/>
      <c r="WG98" s="41"/>
      <c r="WH98" s="41"/>
      <c r="WI98" s="41"/>
      <c r="WJ98" s="41"/>
      <c r="WK98" s="41"/>
      <c r="WL98" s="41"/>
      <c r="WM98" s="41"/>
      <c r="WN98" s="41"/>
      <c r="WO98" s="41"/>
      <c r="WP98" s="41"/>
      <c r="WQ98" s="41"/>
      <c r="WR98" s="41"/>
      <c r="WS98" s="41"/>
      <c r="WT98" s="41"/>
      <c r="WU98" s="41"/>
      <c r="WV98" s="41"/>
      <c r="WW98" s="41"/>
      <c r="WX98" s="41"/>
      <c r="WY98" s="41"/>
      <c r="WZ98" s="41"/>
      <c r="XA98" s="41"/>
      <c r="XB98" s="41"/>
      <c r="XC98" s="41"/>
      <c r="XD98" s="41"/>
      <c r="XE98" s="41"/>
      <c r="XF98" s="41"/>
      <c r="XG98" s="41"/>
      <c r="XH98" s="41"/>
      <c r="XI98" s="41"/>
      <c r="XJ98" s="41"/>
      <c r="XK98" s="41"/>
      <c r="XL98" s="41"/>
      <c r="XM98" s="41"/>
      <c r="XN98" s="41"/>
      <c r="XO98" s="41"/>
      <c r="XP98" s="41"/>
      <c r="XQ98" s="41"/>
      <c r="XR98" s="41"/>
      <c r="XS98" s="41"/>
      <c r="XT98" s="41"/>
      <c r="XU98" s="41"/>
      <c r="XV98" s="41"/>
      <c r="XW98" s="41"/>
      <c r="XX98" s="41"/>
      <c r="XY98" s="41"/>
      <c r="XZ98" s="41"/>
      <c r="YA98" s="41"/>
      <c r="YB98" s="41"/>
      <c r="YC98" s="41"/>
      <c r="YD98" s="41"/>
      <c r="YE98" s="41"/>
      <c r="YF98" s="41"/>
      <c r="YG98" s="41"/>
      <c r="YH98" s="41"/>
      <c r="YI98" s="41"/>
      <c r="YJ98" s="41"/>
      <c r="YK98" s="41"/>
      <c r="YL98" s="41"/>
      <c r="YM98" s="41"/>
      <c r="YN98" s="41"/>
      <c r="YO98" s="41"/>
      <c r="YP98" s="41"/>
      <c r="YQ98" s="41"/>
      <c r="YR98" s="41"/>
      <c r="YS98" s="41"/>
      <c r="YT98" s="41"/>
      <c r="YU98" s="41"/>
      <c r="YV98" s="41"/>
      <c r="YW98" s="41"/>
      <c r="YX98" s="41"/>
      <c r="YY98" s="41"/>
      <c r="YZ98" s="41"/>
      <c r="ZA98" s="41"/>
      <c r="ZB98" s="41"/>
      <c r="ZC98" s="41"/>
      <c r="ZD98" s="41"/>
      <c r="ZE98" s="41"/>
      <c r="ZF98" s="41"/>
      <c r="ZG98" s="41"/>
      <c r="ZH98" s="41"/>
      <c r="ZI98" s="41"/>
      <c r="ZJ98" s="41"/>
      <c r="ZK98" s="41"/>
      <c r="ZL98" s="41"/>
      <c r="ZM98" s="41"/>
      <c r="ZN98" s="41"/>
      <c r="ZO98" s="41"/>
      <c r="ZP98" s="41"/>
      <c r="ZQ98" s="41"/>
      <c r="ZR98" s="41"/>
      <c r="ZS98" s="41"/>
      <c r="ZT98" s="41"/>
      <c r="ZU98" s="41"/>
      <c r="ZV98" s="41"/>
      <c r="ZW98" s="41"/>
      <c r="ZX98" s="41"/>
      <c r="ZY98" s="41"/>
      <c r="ZZ98" s="41"/>
      <c r="AAA98" s="41"/>
      <c r="AAB98" s="41"/>
      <c r="AAC98" s="41"/>
    </row>
    <row r="99" spans="1:705" s="42" customFormat="1" ht="42" hidden="1" x14ac:dyDescent="0.3">
      <c r="A99" s="26">
        <v>95</v>
      </c>
      <c r="B99" s="137">
        <v>239938</v>
      </c>
      <c r="C99" s="138">
        <v>95</v>
      </c>
      <c r="D99" s="139">
        <v>45923</v>
      </c>
      <c r="E99" s="139">
        <f t="shared" si="13"/>
        <v>45922</v>
      </c>
      <c r="F99" s="139">
        <f t="shared" si="10"/>
        <v>45933</v>
      </c>
      <c r="G99" s="139">
        <v>46014</v>
      </c>
      <c r="H99" s="139">
        <v>46113</v>
      </c>
      <c r="I99" s="139" t="s">
        <v>321</v>
      </c>
      <c r="J99" s="140" t="s">
        <v>281</v>
      </c>
      <c r="K99" s="141">
        <f t="shared" si="14"/>
        <v>180</v>
      </c>
      <c r="L99" s="141">
        <v>1146504</v>
      </c>
      <c r="M99" s="142" t="s">
        <v>15</v>
      </c>
      <c r="N99" s="140" t="s">
        <v>1030</v>
      </c>
      <c r="O99" s="137" t="s">
        <v>246</v>
      </c>
      <c r="P99" s="143">
        <v>46020</v>
      </c>
      <c r="Q99" s="143">
        <v>46198</v>
      </c>
      <c r="R99" s="157" t="s">
        <v>211</v>
      </c>
      <c r="S99" s="144" t="s">
        <v>282</v>
      </c>
      <c r="T99" s="145">
        <v>1</v>
      </c>
      <c r="U99" s="137" t="s">
        <v>82</v>
      </c>
      <c r="V99" s="146">
        <v>114</v>
      </c>
      <c r="W99" s="146">
        <v>114</v>
      </c>
      <c r="X99" s="147">
        <v>0</v>
      </c>
      <c r="Y99" s="146">
        <v>0</v>
      </c>
      <c r="Z99" s="146">
        <v>40</v>
      </c>
      <c r="AA99" s="146">
        <v>40</v>
      </c>
      <c r="AB99" s="146">
        <v>38</v>
      </c>
      <c r="AC99" s="146">
        <v>38</v>
      </c>
      <c r="AD99" s="146">
        <v>0</v>
      </c>
      <c r="AE99" s="146">
        <v>0</v>
      </c>
      <c r="AF99" s="146">
        <v>0</v>
      </c>
      <c r="AG99" s="146">
        <v>0</v>
      </c>
      <c r="AH99" s="146">
        <v>0</v>
      </c>
      <c r="AI99" s="146">
        <v>0</v>
      </c>
      <c r="AJ99" s="146">
        <v>0</v>
      </c>
      <c r="AK99" s="146">
        <v>0</v>
      </c>
      <c r="AL99" s="146">
        <v>2</v>
      </c>
      <c r="AM99" s="146">
        <v>2</v>
      </c>
      <c r="AN99" s="146">
        <v>2</v>
      </c>
      <c r="AO99" s="146">
        <v>2</v>
      </c>
      <c r="AP99" s="146">
        <v>0</v>
      </c>
      <c r="AQ99" s="146">
        <v>0</v>
      </c>
      <c r="AR99" s="146">
        <v>0</v>
      </c>
      <c r="AS99" s="146">
        <v>0</v>
      </c>
      <c r="AT99" s="146">
        <v>0</v>
      </c>
      <c r="AU99" s="146">
        <v>0</v>
      </c>
      <c r="AV99" s="146">
        <v>0</v>
      </c>
      <c r="AW99" s="146">
        <v>0</v>
      </c>
      <c r="AX99" s="146">
        <f t="shared" si="11"/>
        <v>11826</v>
      </c>
      <c r="AY99" s="146">
        <f t="shared" si="12"/>
        <v>11826</v>
      </c>
      <c r="AZ99" s="137" t="s">
        <v>562</v>
      </c>
      <c r="BA99" s="137" t="s">
        <v>562</v>
      </c>
      <c r="BB99" s="137">
        <v>10</v>
      </c>
      <c r="BC99" s="148">
        <v>95</v>
      </c>
      <c r="BD99" s="149"/>
      <c r="BE99" s="145"/>
      <c r="BF99" s="150"/>
      <c r="BG99" s="188">
        <v>46106</v>
      </c>
      <c r="BH99" s="153" t="s">
        <v>15</v>
      </c>
      <c r="BI99" s="153" t="s">
        <v>562</v>
      </c>
      <c r="CC99" s="41"/>
      <c r="CD99" s="41"/>
      <c r="CE99" s="41"/>
      <c r="CF99" s="41"/>
      <c r="CG99" s="41"/>
      <c r="CH99" s="41"/>
      <c r="CI99" s="41"/>
      <c r="CJ99" s="41"/>
      <c r="CK99" s="41"/>
      <c r="CL99" s="41"/>
      <c r="CM99" s="41"/>
      <c r="CN99" s="41"/>
      <c r="CO99" s="41"/>
      <c r="CP99" s="41"/>
      <c r="CQ99" s="41"/>
      <c r="CR99" s="41"/>
      <c r="CS99" s="41"/>
      <c r="CT99" s="41"/>
      <c r="CU99" s="41"/>
      <c r="CV99" s="41"/>
      <c r="CW99" s="41"/>
      <c r="CX99" s="41"/>
      <c r="CY99" s="41"/>
      <c r="CZ99" s="41"/>
      <c r="DA99" s="41"/>
      <c r="DB99" s="41"/>
      <c r="DC99" s="41"/>
      <c r="DD99" s="41"/>
      <c r="DE99" s="41"/>
      <c r="DF99" s="41"/>
      <c r="DG99" s="41"/>
      <c r="DH99" s="41"/>
      <c r="DI99" s="41"/>
      <c r="DJ99" s="41"/>
      <c r="DK99" s="41"/>
      <c r="DL99" s="41"/>
      <c r="DM99" s="41"/>
      <c r="DN99" s="41"/>
      <c r="DO99" s="41"/>
      <c r="DP99" s="41"/>
      <c r="DQ99" s="41"/>
      <c r="DR99" s="41"/>
      <c r="DS99" s="41"/>
      <c r="DT99" s="41"/>
      <c r="DU99" s="41"/>
      <c r="DV99" s="41"/>
      <c r="DW99" s="41"/>
      <c r="DX99" s="41"/>
      <c r="DY99" s="41"/>
      <c r="DZ99" s="41"/>
      <c r="EA99" s="41"/>
      <c r="EB99" s="41"/>
      <c r="EC99" s="41"/>
      <c r="ED99" s="41"/>
      <c r="EE99" s="41"/>
      <c r="EF99" s="41"/>
      <c r="EG99" s="41"/>
      <c r="EH99" s="41"/>
      <c r="EI99" s="41"/>
      <c r="EJ99" s="41"/>
      <c r="EK99" s="41"/>
      <c r="EL99" s="41"/>
      <c r="EM99" s="41"/>
      <c r="EN99" s="41"/>
      <c r="EO99" s="41"/>
      <c r="EP99" s="41"/>
      <c r="EQ99" s="41"/>
      <c r="ER99" s="41"/>
      <c r="ES99" s="41"/>
      <c r="ET99" s="41"/>
      <c r="EU99" s="41"/>
      <c r="EV99" s="41"/>
      <c r="EW99" s="41"/>
      <c r="EX99" s="41"/>
      <c r="EY99" s="41"/>
      <c r="EZ99" s="41"/>
      <c r="FA99" s="41"/>
      <c r="FB99" s="41"/>
      <c r="FC99" s="41"/>
      <c r="FD99" s="41"/>
      <c r="FE99" s="41"/>
      <c r="FF99" s="41"/>
      <c r="FG99" s="41"/>
      <c r="FH99" s="41"/>
      <c r="FI99" s="41"/>
      <c r="FJ99" s="41"/>
      <c r="FK99" s="41"/>
      <c r="FL99" s="41"/>
      <c r="FM99" s="41"/>
      <c r="FN99" s="41"/>
      <c r="FO99" s="41"/>
      <c r="FP99" s="41"/>
      <c r="FQ99" s="41"/>
      <c r="FR99" s="41"/>
      <c r="FS99" s="41"/>
      <c r="FT99" s="41"/>
      <c r="FU99" s="41"/>
      <c r="FV99" s="41"/>
      <c r="FW99" s="41"/>
      <c r="FX99" s="41"/>
      <c r="FY99" s="41"/>
      <c r="FZ99" s="41"/>
      <c r="GA99" s="41"/>
      <c r="GB99" s="41"/>
      <c r="GC99" s="41"/>
      <c r="GD99" s="41"/>
      <c r="GE99" s="41"/>
      <c r="GF99" s="41"/>
      <c r="GG99" s="41"/>
      <c r="GH99" s="41"/>
      <c r="GI99" s="41"/>
      <c r="GJ99" s="41"/>
      <c r="GK99" s="41"/>
      <c r="GL99" s="41"/>
      <c r="GM99" s="41"/>
      <c r="GN99" s="41"/>
      <c r="GO99" s="41"/>
      <c r="GP99" s="41"/>
      <c r="GQ99" s="41"/>
      <c r="GR99" s="41"/>
      <c r="GS99" s="41"/>
      <c r="GT99" s="41"/>
      <c r="GU99" s="41"/>
      <c r="GV99" s="41"/>
      <c r="GW99" s="41"/>
      <c r="GX99" s="41"/>
      <c r="GY99" s="41"/>
      <c r="GZ99" s="41"/>
      <c r="HA99" s="41"/>
      <c r="HB99" s="41"/>
      <c r="HC99" s="41"/>
      <c r="HD99" s="41"/>
      <c r="HE99" s="41"/>
      <c r="HF99" s="41"/>
      <c r="HG99" s="41"/>
      <c r="HH99" s="41"/>
      <c r="HI99" s="41"/>
      <c r="HJ99" s="41"/>
      <c r="HK99" s="41"/>
      <c r="HL99" s="41"/>
      <c r="HM99" s="41"/>
      <c r="HN99" s="41"/>
      <c r="HO99" s="41"/>
      <c r="HP99" s="41"/>
      <c r="HQ99" s="41"/>
      <c r="HR99" s="41"/>
      <c r="HS99" s="41"/>
      <c r="HT99" s="41"/>
      <c r="HU99" s="41"/>
      <c r="HV99" s="41"/>
      <c r="HW99" s="41"/>
      <c r="HX99" s="41"/>
      <c r="HY99" s="41"/>
      <c r="HZ99" s="41"/>
      <c r="IA99" s="41"/>
      <c r="IB99" s="41"/>
      <c r="IC99" s="41"/>
      <c r="ID99" s="41"/>
      <c r="IE99" s="41"/>
      <c r="IF99" s="41"/>
      <c r="IG99" s="41"/>
      <c r="IH99" s="41"/>
      <c r="II99" s="41"/>
      <c r="IJ99" s="41"/>
      <c r="IK99" s="41"/>
      <c r="IL99" s="41"/>
      <c r="IM99" s="41"/>
      <c r="IN99" s="41"/>
      <c r="IO99" s="41"/>
      <c r="IP99" s="41"/>
      <c r="IQ99" s="41"/>
      <c r="IR99" s="41"/>
      <c r="IS99" s="41"/>
      <c r="IT99" s="41"/>
      <c r="IU99" s="41"/>
      <c r="IV99" s="41"/>
      <c r="IW99" s="41"/>
      <c r="IX99" s="41"/>
      <c r="IY99" s="41"/>
      <c r="IZ99" s="41"/>
      <c r="JA99" s="41"/>
      <c r="JB99" s="41"/>
      <c r="JC99" s="41"/>
      <c r="JD99" s="41"/>
      <c r="JE99" s="41"/>
      <c r="JF99" s="41"/>
      <c r="JG99" s="41"/>
      <c r="JH99" s="41"/>
      <c r="JI99" s="41"/>
      <c r="JJ99" s="41"/>
      <c r="JK99" s="41"/>
      <c r="JL99" s="41"/>
      <c r="JM99" s="41"/>
      <c r="JN99" s="41"/>
      <c r="JO99" s="41"/>
      <c r="JP99" s="41"/>
      <c r="JQ99" s="41"/>
      <c r="JR99" s="41"/>
      <c r="JS99" s="41"/>
      <c r="JT99" s="41"/>
      <c r="JU99" s="41"/>
      <c r="JV99" s="41"/>
      <c r="JW99" s="41"/>
      <c r="JX99" s="41"/>
      <c r="JY99" s="41"/>
      <c r="JZ99" s="41"/>
      <c r="KA99" s="41"/>
      <c r="KB99" s="41"/>
      <c r="KC99" s="41"/>
      <c r="KD99" s="41"/>
      <c r="KE99" s="41"/>
      <c r="KF99" s="41"/>
      <c r="KG99" s="41"/>
      <c r="KH99" s="41"/>
      <c r="KI99" s="41"/>
      <c r="KJ99" s="41"/>
      <c r="KK99" s="41"/>
      <c r="KL99" s="41"/>
      <c r="KM99" s="41"/>
      <c r="KN99" s="41"/>
      <c r="KO99" s="41"/>
      <c r="KP99" s="41"/>
      <c r="KQ99" s="41"/>
      <c r="KR99" s="41"/>
      <c r="KS99" s="41"/>
      <c r="KT99" s="41"/>
      <c r="KU99" s="41"/>
      <c r="KV99" s="41"/>
      <c r="KW99" s="41"/>
      <c r="KX99" s="41"/>
      <c r="KY99" s="41"/>
      <c r="KZ99" s="41"/>
      <c r="LA99" s="41"/>
      <c r="LB99" s="41"/>
      <c r="LC99" s="41"/>
      <c r="LD99" s="41"/>
      <c r="LE99" s="41"/>
      <c r="LF99" s="41"/>
      <c r="LG99" s="41"/>
      <c r="LH99" s="41"/>
      <c r="LI99" s="41"/>
      <c r="LJ99" s="41"/>
      <c r="LK99" s="41"/>
      <c r="LL99" s="41"/>
      <c r="LM99" s="41"/>
      <c r="LN99" s="41"/>
      <c r="LO99" s="41"/>
      <c r="LP99" s="41"/>
      <c r="LQ99" s="41"/>
      <c r="LR99" s="41"/>
      <c r="LS99" s="41"/>
      <c r="LT99" s="41"/>
      <c r="LU99" s="41"/>
      <c r="LV99" s="41"/>
      <c r="LW99" s="41"/>
      <c r="LX99" s="41"/>
      <c r="LY99" s="41"/>
      <c r="LZ99" s="41"/>
      <c r="MA99" s="41"/>
      <c r="MB99" s="41"/>
      <c r="MC99" s="41"/>
      <c r="MD99" s="41"/>
      <c r="ME99" s="41"/>
      <c r="MF99" s="41"/>
      <c r="MG99" s="41"/>
      <c r="MH99" s="41"/>
      <c r="MI99" s="41"/>
      <c r="MJ99" s="41"/>
      <c r="MK99" s="41"/>
      <c r="ML99" s="41"/>
      <c r="MM99" s="41"/>
      <c r="MN99" s="41"/>
      <c r="MO99" s="41"/>
      <c r="MP99" s="41"/>
      <c r="MQ99" s="41"/>
      <c r="MR99" s="41"/>
      <c r="MS99" s="41"/>
      <c r="MT99" s="41"/>
      <c r="MU99" s="41"/>
      <c r="MV99" s="41"/>
      <c r="MW99" s="41"/>
      <c r="MX99" s="41"/>
      <c r="MY99" s="41"/>
      <c r="MZ99" s="41"/>
      <c r="NA99" s="41"/>
      <c r="NB99" s="41"/>
      <c r="NC99" s="41"/>
      <c r="ND99" s="41"/>
      <c r="NE99" s="41"/>
      <c r="NF99" s="41"/>
      <c r="NG99" s="41"/>
      <c r="NH99" s="41"/>
      <c r="NI99" s="41"/>
      <c r="NJ99" s="41"/>
      <c r="NK99" s="41"/>
      <c r="NL99" s="41"/>
      <c r="NM99" s="41"/>
      <c r="NN99" s="41"/>
      <c r="NO99" s="41"/>
      <c r="NP99" s="41"/>
      <c r="NQ99" s="41"/>
      <c r="NR99" s="41"/>
      <c r="NS99" s="41"/>
      <c r="NT99" s="41"/>
      <c r="NU99" s="41"/>
      <c r="NV99" s="41"/>
      <c r="NW99" s="41"/>
      <c r="NX99" s="41"/>
      <c r="NY99" s="41"/>
      <c r="NZ99" s="41"/>
      <c r="OA99" s="41"/>
      <c r="OB99" s="41"/>
      <c r="OC99" s="41"/>
      <c r="OD99" s="41"/>
      <c r="OE99" s="41"/>
      <c r="OF99" s="41"/>
      <c r="OG99" s="41"/>
      <c r="OH99" s="41"/>
      <c r="OI99" s="41"/>
      <c r="OJ99" s="41"/>
      <c r="OK99" s="41"/>
      <c r="OL99" s="41"/>
      <c r="OM99" s="41"/>
      <c r="ON99" s="41"/>
      <c r="OO99" s="41"/>
      <c r="OP99" s="41"/>
      <c r="OQ99" s="41"/>
      <c r="OR99" s="41"/>
      <c r="OS99" s="41"/>
      <c r="OT99" s="41"/>
      <c r="OU99" s="41"/>
      <c r="OV99" s="41"/>
      <c r="OW99" s="41"/>
      <c r="OX99" s="41"/>
      <c r="OY99" s="41"/>
      <c r="OZ99" s="41"/>
      <c r="PA99" s="41"/>
      <c r="PB99" s="41"/>
      <c r="PC99" s="41"/>
      <c r="PD99" s="41"/>
      <c r="PE99" s="41"/>
      <c r="PF99" s="41"/>
      <c r="PG99" s="41"/>
      <c r="PH99" s="41"/>
      <c r="PI99" s="41"/>
      <c r="PJ99" s="41"/>
      <c r="PK99" s="41"/>
      <c r="PL99" s="41"/>
      <c r="PM99" s="41"/>
      <c r="PN99" s="41"/>
      <c r="PO99" s="41"/>
      <c r="PP99" s="41"/>
      <c r="PQ99" s="41"/>
      <c r="PR99" s="41"/>
      <c r="PS99" s="41"/>
      <c r="PT99" s="41"/>
      <c r="PU99" s="41"/>
      <c r="PV99" s="41"/>
      <c r="PW99" s="41"/>
      <c r="PX99" s="41"/>
      <c r="PY99" s="41"/>
      <c r="PZ99" s="41"/>
      <c r="QA99" s="41"/>
      <c r="QB99" s="41"/>
      <c r="QC99" s="41"/>
      <c r="QD99" s="41"/>
      <c r="QE99" s="41"/>
      <c r="QF99" s="41"/>
      <c r="QG99" s="41"/>
      <c r="QH99" s="41"/>
      <c r="QI99" s="41"/>
      <c r="QJ99" s="41"/>
      <c r="QK99" s="41"/>
      <c r="QL99" s="41"/>
      <c r="QM99" s="41"/>
      <c r="QN99" s="41"/>
      <c r="QO99" s="41"/>
      <c r="QP99" s="41"/>
      <c r="QQ99" s="41"/>
      <c r="QR99" s="41"/>
      <c r="QS99" s="41"/>
      <c r="QT99" s="41"/>
      <c r="QU99" s="41"/>
      <c r="QV99" s="41"/>
      <c r="QW99" s="41"/>
      <c r="QX99" s="41"/>
      <c r="QY99" s="41"/>
      <c r="QZ99" s="41"/>
      <c r="RA99" s="41"/>
      <c r="RB99" s="41"/>
      <c r="RC99" s="41"/>
      <c r="RD99" s="41"/>
      <c r="RE99" s="41"/>
      <c r="RF99" s="41"/>
      <c r="RG99" s="41"/>
      <c r="RH99" s="41"/>
      <c r="RI99" s="41"/>
      <c r="RJ99" s="41"/>
      <c r="RK99" s="41"/>
      <c r="RL99" s="41"/>
      <c r="RM99" s="41"/>
      <c r="RN99" s="41"/>
      <c r="RO99" s="41"/>
      <c r="RP99" s="41"/>
      <c r="RQ99" s="41"/>
      <c r="RR99" s="41"/>
      <c r="RS99" s="41"/>
      <c r="RT99" s="41"/>
      <c r="RU99" s="41"/>
      <c r="RV99" s="41"/>
      <c r="RW99" s="41"/>
      <c r="RX99" s="41"/>
      <c r="RY99" s="41"/>
      <c r="RZ99" s="41"/>
      <c r="SA99" s="41"/>
      <c r="SB99" s="41"/>
      <c r="SC99" s="41"/>
      <c r="SD99" s="41"/>
      <c r="SE99" s="41"/>
      <c r="SF99" s="41"/>
      <c r="SG99" s="41"/>
      <c r="SH99" s="41"/>
      <c r="SI99" s="41"/>
      <c r="SJ99" s="41"/>
      <c r="SK99" s="41"/>
      <c r="SL99" s="41"/>
      <c r="SM99" s="41"/>
      <c r="SN99" s="41"/>
      <c r="SO99" s="41"/>
      <c r="SP99" s="41"/>
      <c r="SQ99" s="41"/>
      <c r="SR99" s="41"/>
      <c r="SS99" s="41"/>
      <c r="ST99" s="41"/>
      <c r="SU99" s="41"/>
      <c r="SV99" s="41"/>
      <c r="SW99" s="41"/>
      <c r="SX99" s="41"/>
      <c r="SY99" s="41"/>
      <c r="SZ99" s="41"/>
      <c r="TA99" s="41"/>
      <c r="TB99" s="41"/>
      <c r="TC99" s="41"/>
      <c r="TD99" s="41"/>
      <c r="TE99" s="41"/>
      <c r="TF99" s="41"/>
      <c r="TG99" s="41"/>
      <c r="TH99" s="41"/>
      <c r="TI99" s="41"/>
      <c r="TJ99" s="41"/>
      <c r="TK99" s="41"/>
      <c r="TL99" s="41"/>
      <c r="TM99" s="41"/>
      <c r="TN99" s="41"/>
      <c r="TO99" s="41"/>
      <c r="TP99" s="41"/>
      <c r="TQ99" s="41"/>
      <c r="TR99" s="41"/>
      <c r="TS99" s="41"/>
      <c r="TT99" s="41"/>
      <c r="TU99" s="41"/>
      <c r="TV99" s="41"/>
      <c r="TW99" s="41"/>
      <c r="TX99" s="41"/>
      <c r="TY99" s="41"/>
      <c r="TZ99" s="41"/>
      <c r="UA99" s="41"/>
      <c r="UB99" s="41"/>
      <c r="UC99" s="41"/>
      <c r="UD99" s="41"/>
      <c r="UE99" s="41"/>
      <c r="UF99" s="41"/>
      <c r="UG99" s="41"/>
      <c r="UH99" s="41"/>
      <c r="UI99" s="41"/>
      <c r="UJ99" s="41"/>
      <c r="UK99" s="41"/>
      <c r="UL99" s="41"/>
      <c r="UM99" s="41"/>
      <c r="UN99" s="41"/>
      <c r="UO99" s="41"/>
      <c r="UP99" s="41"/>
      <c r="UQ99" s="41"/>
      <c r="UR99" s="41"/>
      <c r="US99" s="41"/>
      <c r="UT99" s="41"/>
      <c r="UU99" s="41"/>
      <c r="UV99" s="41"/>
      <c r="UW99" s="41"/>
      <c r="UX99" s="41"/>
      <c r="UY99" s="41"/>
      <c r="UZ99" s="41"/>
      <c r="VA99" s="41"/>
      <c r="VB99" s="41"/>
      <c r="VC99" s="41"/>
      <c r="VD99" s="41"/>
      <c r="VE99" s="41"/>
      <c r="VF99" s="41"/>
      <c r="VG99" s="41"/>
      <c r="VH99" s="41"/>
      <c r="VI99" s="41"/>
      <c r="VJ99" s="41"/>
      <c r="VK99" s="41"/>
      <c r="VL99" s="41"/>
      <c r="VM99" s="41"/>
      <c r="VN99" s="41"/>
      <c r="VO99" s="41"/>
      <c r="VP99" s="41"/>
      <c r="VQ99" s="41"/>
      <c r="VR99" s="41"/>
      <c r="VS99" s="41"/>
      <c r="VT99" s="41"/>
      <c r="VU99" s="41"/>
      <c r="VV99" s="41"/>
      <c r="VW99" s="41"/>
      <c r="VX99" s="41"/>
      <c r="VY99" s="41"/>
      <c r="VZ99" s="41"/>
      <c r="WA99" s="41"/>
      <c r="WB99" s="41"/>
      <c r="WC99" s="41"/>
      <c r="WD99" s="41"/>
      <c r="WE99" s="41"/>
      <c r="WF99" s="41"/>
      <c r="WG99" s="41"/>
      <c r="WH99" s="41"/>
      <c r="WI99" s="41"/>
      <c r="WJ99" s="41"/>
      <c r="WK99" s="41"/>
      <c r="WL99" s="41"/>
      <c r="WM99" s="41"/>
      <c r="WN99" s="41"/>
      <c r="WO99" s="41"/>
      <c r="WP99" s="41"/>
      <c r="WQ99" s="41"/>
      <c r="WR99" s="41"/>
      <c r="WS99" s="41"/>
      <c r="WT99" s="41"/>
      <c r="WU99" s="41"/>
      <c r="WV99" s="41"/>
      <c r="WW99" s="41"/>
      <c r="WX99" s="41"/>
      <c r="WY99" s="41"/>
      <c r="WZ99" s="41"/>
      <c r="XA99" s="41"/>
      <c r="XB99" s="41"/>
      <c r="XC99" s="41"/>
      <c r="XD99" s="41"/>
      <c r="XE99" s="41"/>
      <c r="XF99" s="41"/>
      <c r="XG99" s="41"/>
      <c r="XH99" s="41"/>
      <c r="XI99" s="41"/>
      <c r="XJ99" s="41"/>
      <c r="XK99" s="41"/>
      <c r="XL99" s="41"/>
      <c r="XM99" s="41"/>
      <c r="XN99" s="41"/>
      <c r="XO99" s="41"/>
      <c r="XP99" s="41"/>
      <c r="XQ99" s="41"/>
      <c r="XR99" s="41"/>
      <c r="XS99" s="41"/>
      <c r="XT99" s="41"/>
      <c r="XU99" s="41"/>
      <c r="XV99" s="41"/>
      <c r="XW99" s="41"/>
      <c r="XX99" s="41"/>
      <c r="XY99" s="41"/>
      <c r="XZ99" s="41"/>
      <c r="YA99" s="41"/>
      <c r="YB99" s="41"/>
      <c r="YC99" s="41"/>
      <c r="YD99" s="41"/>
      <c r="YE99" s="41"/>
      <c r="YF99" s="41"/>
      <c r="YG99" s="41"/>
      <c r="YH99" s="41"/>
      <c r="YI99" s="41"/>
      <c r="YJ99" s="41"/>
      <c r="YK99" s="41"/>
      <c r="YL99" s="41"/>
      <c r="YM99" s="41"/>
      <c r="YN99" s="41"/>
      <c r="YO99" s="41"/>
      <c r="YP99" s="41"/>
      <c r="YQ99" s="41"/>
      <c r="YR99" s="41"/>
      <c r="YS99" s="41"/>
      <c r="YT99" s="41"/>
      <c r="YU99" s="41"/>
      <c r="YV99" s="41"/>
      <c r="YW99" s="41"/>
      <c r="YX99" s="41"/>
      <c r="YY99" s="41"/>
      <c r="YZ99" s="41"/>
      <c r="ZA99" s="41"/>
      <c r="ZB99" s="41"/>
      <c r="ZC99" s="41"/>
      <c r="ZD99" s="41"/>
      <c r="ZE99" s="41"/>
      <c r="ZF99" s="41"/>
      <c r="ZG99" s="41"/>
      <c r="ZH99" s="41"/>
      <c r="ZI99" s="41"/>
      <c r="ZJ99" s="41"/>
      <c r="ZK99" s="41"/>
      <c r="ZL99" s="41"/>
      <c r="ZM99" s="41"/>
      <c r="ZN99" s="41"/>
      <c r="ZO99" s="41"/>
      <c r="ZP99" s="41"/>
      <c r="ZQ99" s="41"/>
      <c r="ZR99" s="41"/>
      <c r="ZS99" s="41"/>
      <c r="ZT99" s="41"/>
      <c r="ZU99" s="41"/>
      <c r="ZV99" s="41"/>
      <c r="ZW99" s="41"/>
      <c r="ZX99" s="41"/>
      <c r="ZY99" s="41"/>
      <c r="ZZ99" s="41"/>
      <c r="AAA99" s="41"/>
      <c r="AAB99" s="41"/>
      <c r="AAC99" s="41"/>
    </row>
    <row r="100" spans="1:705" s="42" customFormat="1" ht="42" hidden="1" x14ac:dyDescent="0.3">
      <c r="A100" s="26">
        <v>96</v>
      </c>
      <c r="B100" s="137">
        <v>239966</v>
      </c>
      <c r="C100" s="138">
        <v>96</v>
      </c>
      <c r="D100" s="139">
        <v>45923</v>
      </c>
      <c r="E100" s="139">
        <f t="shared" si="13"/>
        <v>45922</v>
      </c>
      <c r="F100" s="139">
        <f t="shared" si="10"/>
        <v>45933</v>
      </c>
      <c r="G100" s="139">
        <v>45933</v>
      </c>
      <c r="H100" s="139">
        <v>45925</v>
      </c>
      <c r="I100" s="139" t="s">
        <v>75</v>
      </c>
      <c r="J100" s="140" t="s">
        <v>283</v>
      </c>
      <c r="K100" s="141">
        <f t="shared" si="14"/>
        <v>-8</v>
      </c>
      <c r="L100" s="141">
        <v>1146629</v>
      </c>
      <c r="M100" s="140" t="s">
        <v>15</v>
      </c>
      <c r="N100" s="140" t="s">
        <v>251</v>
      </c>
      <c r="O100" s="140" t="s">
        <v>251</v>
      </c>
      <c r="P100" s="143" t="s">
        <v>213</v>
      </c>
      <c r="Q100" s="143" t="s">
        <v>213</v>
      </c>
      <c r="R100" s="157" t="s">
        <v>211</v>
      </c>
      <c r="S100" s="144" t="s">
        <v>143</v>
      </c>
      <c r="T100" s="145">
        <v>1</v>
      </c>
      <c r="U100" s="137" t="s">
        <v>98</v>
      </c>
      <c r="V100" s="146">
        <v>0</v>
      </c>
      <c r="W100" s="146"/>
      <c r="X100" s="147">
        <v>0</v>
      </c>
      <c r="Y100" s="146">
        <v>0</v>
      </c>
      <c r="Z100" s="146">
        <v>0</v>
      </c>
      <c r="AA100" s="146">
        <v>0</v>
      </c>
      <c r="AB100" s="146">
        <v>0</v>
      </c>
      <c r="AC100" s="146"/>
      <c r="AD100" s="146">
        <v>0</v>
      </c>
      <c r="AE100" s="146">
        <v>0</v>
      </c>
      <c r="AF100" s="146">
        <v>0</v>
      </c>
      <c r="AG100" s="146">
        <v>0</v>
      </c>
      <c r="AH100" s="146">
        <v>1</v>
      </c>
      <c r="AI100" s="146">
        <v>1</v>
      </c>
      <c r="AJ100" s="146">
        <v>0</v>
      </c>
      <c r="AK100" s="146">
        <v>0</v>
      </c>
      <c r="AL100" s="146">
        <v>0</v>
      </c>
      <c r="AM100" s="146">
        <v>0</v>
      </c>
      <c r="AN100" s="146">
        <v>0</v>
      </c>
      <c r="AO100" s="146">
        <v>0</v>
      </c>
      <c r="AP100" s="146">
        <v>0</v>
      </c>
      <c r="AQ100" s="146"/>
      <c r="AR100" s="146">
        <v>0</v>
      </c>
      <c r="AS100" s="146">
        <v>0</v>
      </c>
      <c r="AT100" s="146">
        <v>1</v>
      </c>
      <c r="AU100" s="146">
        <v>1</v>
      </c>
      <c r="AV100" s="146">
        <v>0</v>
      </c>
      <c r="AW100" s="146">
        <v>0</v>
      </c>
      <c r="AX100" s="146">
        <f t="shared" si="11"/>
        <v>520</v>
      </c>
      <c r="AY100" s="146">
        <f t="shared" si="12"/>
        <v>520</v>
      </c>
      <c r="AZ100" s="140" t="s">
        <v>562</v>
      </c>
      <c r="BA100" s="137" t="s">
        <v>562</v>
      </c>
      <c r="BB100" s="137">
        <v>5</v>
      </c>
      <c r="BC100" s="148">
        <v>96</v>
      </c>
      <c r="BD100" s="149"/>
      <c r="BE100" s="145"/>
      <c r="BF100" s="150"/>
      <c r="BG100" s="151">
        <v>45901</v>
      </c>
      <c r="BH100" s="153" t="s">
        <v>15</v>
      </c>
      <c r="BI100" s="153" t="s">
        <v>562</v>
      </c>
      <c r="CC100" s="41"/>
      <c r="CD100" s="41"/>
      <c r="CE100" s="41"/>
      <c r="CF100" s="41"/>
      <c r="CG100" s="41"/>
      <c r="CH100" s="41"/>
      <c r="CI100" s="41"/>
      <c r="CJ100" s="41"/>
      <c r="CK100" s="41"/>
      <c r="CL100" s="41"/>
      <c r="CM100" s="41"/>
      <c r="CN100" s="41"/>
      <c r="CO100" s="41"/>
      <c r="CP100" s="41"/>
      <c r="CQ100" s="41"/>
      <c r="CR100" s="41"/>
      <c r="CS100" s="41"/>
      <c r="CT100" s="41"/>
      <c r="CU100" s="41"/>
      <c r="CV100" s="41"/>
      <c r="CW100" s="41"/>
      <c r="CX100" s="41"/>
      <c r="CY100" s="41"/>
      <c r="CZ100" s="41"/>
      <c r="DA100" s="41"/>
      <c r="DB100" s="41"/>
      <c r="DC100" s="41"/>
      <c r="DD100" s="41"/>
      <c r="DE100" s="41"/>
      <c r="DF100" s="41"/>
      <c r="DG100" s="41"/>
      <c r="DH100" s="41"/>
      <c r="DI100" s="41"/>
      <c r="DJ100" s="41"/>
      <c r="DK100" s="41"/>
      <c r="DL100" s="41"/>
      <c r="DM100" s="41"/>
      <c r="DN100" s="41"/>
      <c r="DO100" s="41"/>
      <c r="DP100" s="41"/>
      <c r="DQ100" s="41"/>
      <c r="DR100" s="41"/>
      <c r="DS100" s="41"/>
      <c r="DT100" s="41"/>
      <c r="DU100" s="41"/>
      <c r="DV100" s="41"/>
      <c r="DW100" s="41"/>
      <c r="DX100" s="41"/>
      <c r="DY100" s="41"/>
      <c r="DZ100" s="41"/>
      <c r="EA100" s="41"/>
      <c r="EB100" s="41"/>
      <c r="EC100" s="41"/>
      <c r="ED100" s="41"/>
      <c r="EE100" s="41"/>
      <c r="EF100" s="41"/>
      <c r="EG100" s="41"/>
      <c r="EH100" s="41"/>
      <c r="EI100" s="41"/>
      <c r="EJ100" s="41"/>
      <c r="EK100" s="41"/>
      <c r="EL100" s="41"/>
      <c r="EM100" s="41"/>
      <c r="EN100" s="41"/>
      <c r="EO100" s="41"/>
      <c r="EP100" s="41"/>
      <c r="EQ100" s="41"/>
      <c r="ER100" s="41"/>
      <c r="ES100" s="41"/>
      <c r="ET100" s="41"/>
      <c r="EU100" s="41"/>
      <c r="EV100" s="41"/>
      <c r="EW100" s="41"/>
      <c r="EX100" s="41"/>
      <c r="EY100" s="41"/>
      <c r="EZ100" s="41"/>
      <c r="FA100" s="41"/>
      <c r="FB100" s="41"/>
      <c r="FC100" s="41"/>
      <c r="FD100" s="41"/>
      <c r="FE100" s="41"/>
      <c r="FF100" s="41"/>
      <c r="FG100" s="41"/>
      <c r="FH100" s="41"/>
      <c r="FI100" s="41"/>
      <c r="FJ100" s="41"/>
      <c r="FK100" s="41"/>
      <c r="FL100" s="41"/>
      <c r="FM100" s="41"/>
      <c r="FN100" s="41"/>
      <c r="FO100" s="41"/>
      <c r="FP100" s="41"/>
      <c r="FQ100" s="41"/>
      <c r="FR100" s="41"/>
      <c r="FS100" s="41"/>
      <c r="FT100" s="41"/>
      <c r="FU100" s="41"/>
      <c r="FV100" s="41"/>
      <c r="FW100" s="41"/>
      <c r="FX100" s="41"/>
      <c r="FY100" s="41"/>
      <c r="FZ100" s="41"/>
      <c r="GA100" s="41"/>
      <c r="GB100" s="41"/>
      <c r="GC100" s="41"/>
      <c r="GD100" s="41"/>
      <c r="GE100" s="41"/>
      <c r="GF100" s="41"/>
      <c r="GG100" s="41"/>
      <c r="GH100" s="41"/>
      <c r="GI100" s="41"/>
      <c r="GJ100" s="41"/>
      <c r="GK100" s="41"/>
      <c r="GL100" s="41"/>
      <c r="GM100" s="41"/>
      <c r="GN100" s="41"/>
      <c r="GO100" s="41"/>
      <c r="GP100" s="41"/>
      <c r="GQ100" s="41"/>
      <c r="GR100" s="41"/>
      <c r="GS100" s="41"/>
      <c r="GT100" s="41"/>
      <c r="GU100" s="41"/>
      <c r="GV100" s="41"/>
      <c r="GW100" s="41"/>
      <c r="GX100" s="41"/>
      <c r="GY100" s="41"/>
      <c r="GZ100" s="41"/>
      <c r="HA100" s="41"/>
      <c r="HB100" s="41"/>
      <c r="HC100" s="41"/>
      <c r="HD100" s="41"/>
      <c r="HE100" s="41"/>
      <c r="HF100" s="41"/>
      <c r="HG100" s="41"/>
      <c r="HH100" s="41"/>
      <c r="HI100" s="41"/>
      <c r="HJ100" s="41"/>
      <c r="HK100" s="41"/>
      <c r="HL100" s="41"/>
      <c r="HM100" s="41"/>
      <c r="HN100" s="41"/>
      <c r="HO100" s="41"/>
      <c r="HP100" s="41"/>
      <c r="HQ100" s="41"/>
      <c r="HR100" s="41"/>
      <c r="HS100" s="41"/>
      <c r="HT100" s="41"/>
      <c r="HU100" s="41"/>
      <c r="HV100" s="41"/>
      <c r="HW100" s="41"/>
      <c r="HX100" s="41"/>
      <c r="HY100" s="41"/>
      <c r="HZ100" s="41"/>
      <c r="IA100" s="41"/>
      <c r="IB100" s="41"/>
      <c r="IC100" s="41"/>
      <c r="ID100" s="41"/>
      <c r="IE100" s="41"/>
      <c r="IF100" s="41"/>
      <c r="IG100" s="41"/>
      <c r="IH100" s="41"/>
      <c r="II100" s="41"/>
      <c r="IJ100" s="41"/>
      <c r="IK100" s="41"/>
      <c r="IL100" s="41"/>
      <c r="IM100" s="41"/>
      <c r="IN100" s="41"/>
      <c r="IO100" s="41"/>
      <c r="IP100" s="41"/>
      <c r="IQ100" s="41"/>
      <c r="IR100" s="41"/>
      <c r="IS100" s="41"/>
      <c r="IT100" s="41"/>
      <c r="IU100" s="41"/>
      <c r="IV100" s="41"/>
      <c r="IW100" s="41"/>
      <c r="IX100" s="41"/>
      <c r="IY100" s="41"/>
      <c r="IZ100" s="41"/>
      <c r="JA100" s="41"/>
      <c r="JB100" s="41"/>
      <c r="JC100" s="41"/>
      <c r="JD100" s="41"/>
      <c r="JE100" s="41"/>
      <c r="JF100" s="41"/>
      <c r="JG100" s="41"/>
      <c r="JH100" s="41"/>
      <c r="JI100" s="41"/>
      <c r="JJ100" s="41"/>
      <c r="JK100" s="41"/>
      <c r="JL100" s="41"/>
      <c r="JM100" s="41"/>
      <c r="JN100" s="41"/>
      <c r="JO100" s="41"/>
      <c r="JP100" s="41"/>
      <c r="JQ100" s="41"/>
      <c r="JR100" s="41"/>
      <c r="JS100" s="41"/>
      <c r="JT100" s="41"/>
      <c r="JU100" s="41"/>
      <c r="JV100" s="41"/>
      <c r="JW100" s="41"/>
      <c r="JX100" s="41"/>
      <c r="JY100" s="41"/>
      <c r="JZ100" s="41"/>
      <c r="KA100" s="41"/>
      <c r="KB100" s="41"/>
      <c r="KC100" s="41"/>
      <c r="KD100" s="41"/>
      <c r="KE100" s="41"/>
      <c r="KF100" s="41"/>
      <c r="KG100" s="41"/>
      <c r="KH100" s="41"/>
      <c r="KI100" s="41"/>
      <c r="KJ100" s="41"/>
      <c r="KK100" s="41"/>
      <c r="KL100" s="41"/>
      <c r="KM100" s="41"/>
      <c r="KN100" s="41"/>
      <c r="KO100" s="41"/>
      <c r="KP100" s="41"/>
      <c r="KQ100" s="41"/>
      <c r="KR100" s="41"/>
      <c r="KS100" s="41"/>
      <c r="KT100" s="41"/>
      <c r="KU100" s="41"/>
      <c r="KV100" s="41"/>
      <c r="KW100" s="41"/>
      <c r="KX100" s="41"/>
      <c r="KY100" s="41"/>
      <c r="KZ100" s="41"/>
      <c r="LA100" s="41"/>
      <c r="LB100" s="41"/>
      <c r="LC100" s="41"/>
      <c r="LD100" s="41"/>
      <c r="LE100" s="41"/>
      <c r="LF100" s="41"/>
      <c r="LG100" s="41"/>
      <c r="LH100" s="41"/>
      <c r="LI100" s="41"/>
      <c r="LJ100" s="41"/>
      <c r="LK100" s="41"/>
      <c r="LL100" s="41"/>
      <c r="LM100" s="41"/>
      <c r="LN100" s="41"/>
      <c r="LO100" s="41"/>
      <c r="LP100" s="41"/>
      <c r="LQ100" s="41"/>
      <c r="LR100" s="41"/>
      <c r="LS100" s="41"/>
      <c r="LT100" s="41"/>
      <c r="LU100" s="41"/>
      <c r="LV100" s="41"/>
      <c r="LW100" s="41"/>
      <c r="LX100" s="41"/>
      <c r="LY100" s="41"/>
      <c r="LZ100" s="41"/>
      <c r="MA100" s="41"/>
      <c r="MB100" s="41"/>
      <c r="MC100" s="41"/>
      <c r="MD100" s="41"/>
      <c r="ME100" s="41"/>
      <c r="MF100" s="41"/>
      <c r="MG100" s="41"/>
      <c r="MH100" s="41"/>
      <c r="MI100" s="41"/>
      <c r="MJ100" s="41"/>
      <c r="MK100" s="41"/>
      <c r="ML100" s="41"/>
      <c r="MM100" s="41"/>
      <c r="MN100" s="41"/>
      <c r="MO100" s="41"/>
      <c r="MP100" s="41"/>
      <c r="MQ100" s="41"/>
      <c r="MR100" s="41"/>
      <c r="MS100" s="41"/>
      <c r="MT100" s="41"/>
      <c r="MU100" s="41"/>
      <c r="MV100" s="41"/>
      <c r="MW100" s="41"/>
      <c r="MX100" s="41"/>
      <c r="MY100" s="41"/>
      <c r="MZ100" s="41"/>
      <c r="NA100" s="41"/>
      <c r="NB100" s="41"/>
      <c r="NC100" s="41"/>
      <c r="ND100" s="41"/>
      <c r="NE100" s="41"/>
      <c r="NF100" s="41"/>
      <c r="NG100" s="41"/>
      <c r="NH100" s="41"/>
      <c r="NI100" s="41"/>
      <c r="NJ100" s="41"/>
      <c r="NK100" s="41"/>
      <c r="NL100" s="41"/>
      <c r="NM100" s="41"/>
      <c r="NN100" s="41"/>
      <c r="NO100" s="41"/>
      <c r="NP100" s="41"/>
      <c r="NQ100" s="41"/>
      <c r="NR100" s="41"/>
      <c r="NS100" s="41"/>
      <c r="NT100" s="41"/>
      <c r="NU100" s="41"/>
      <c r="NV100" s="41"/>
      <c r="NW100" s="41"/>
      <c r="NX100" s="41"/>
      <c r="NY100" s="41"/>
      <c r="NZ100" s="41"/>
      <c r="OA100" s="41"/>
      <c r="OB100" s="41"/>
      <c r="OC100" s="41"/>
      <c r="OD100" s="41"/>
      <c r="OE100" s="41"/>
      <c r="OF100" s="41"/>
      <c r="OG100" s="41"/>
      <c r="OH100" s="41"/>
      <c r="OI100" s="41"/>
      <c r="OJ100" s="41"/>
      <c r="OK100" s="41"/>
      <c r="OL100" s="41"/>
      <c r="OM100" s="41"/>
      <c r="ON100" s="41"/>
      <c r="OO100" s="41"/>
      <c r="OP100" s="41"/>
      <c r="OQ100" s="41"/>
      <c r="OR100" s="41"/>
      <c r="OS100" s="41"/>
      <c r="OT100" s="41"/>
      <c r="OU100" s="41"/>
      <c r="OV100" s="41"/>
      <c r="OW100" s="41"/>
      <c r="OX100" s="41"/>
      <c r="OY100" s="41"/>
      <c r="OZ100" s="41"/>
      <c r="PA100" s="41"/>
      <c r="PB100" s="41"/>
      <c r="PC100" s="41"/>
      <c r="PD100" s="41"/>
      <c r="PE100" s="41"/>
      <c r="PF100" s="41"/>
      <c r="PG100" s="41"/>
      <c r="PH100" s="41"/>
      <c r="PI100" s="41"/>
      <c r="PJ100" s="41"/>
      <c r="PK100" s="41"/>
      <c r="PL100" s="41"/>
      <c r="PM100" s="41"/>
      <c r="PN100" s="41"/>
      <c r="PO100" s="41"/>
      <c r="PP100" s="41"/>
      <c r="PQ100" s="41"/>
      <c r="PR100" s="41"/>
      <c r="PS100" s="41"/>
      <c r="PT100" s="41"/>
      <c r="PU100" s="41"/>
      <c r="PV100" s="41"/>
      <c r="PW100" s="41"/>
      <c r="PX100" s="41"/>
      <c r="PY100" s="41"/>
      <c r="PZ100" s="41"/>
      <c r="QA100" s="41"/>
      <c r="QB100" s="41"/>
      <c r="QC100" s="41"/>
      <c r="QD100" s="41"/>
      <c r="QE100" s="41"/>
      <c r="QF100" s="41"/>
      <c r="QG100" s="41"/>
      <c r="QH100" s="41"/>
      <c r="QI100" s="41"/>
      <c r="QJ100" s="41"/>
      <c r="QK100" s="41"/>
      <c r="QL100" s="41"/>
      <c r="QM100" s="41"/>
      <c r="QN100" s="41"/>
      <c r="QO100" s="41"/>
      <c r="QP100" s="41"/>
      <c r="QQ100" s="41"/>
      <c r="QR100" s="41"/>
      <c r="QS100" s="41"/>
      <c r="QT100" s="41"/>
      <c r="QU100" s="41"/>
      <c r="QV100" s="41"/>
      <c r="QW100" s="41"/>
      <c r="QX100" s="41"/>
      <c r="QY100" s="41"/>
      <c r="QZ100" s="41"/>
      <c r="RA100" s="41"/>
      <c r="RB100" s="41"/>
      <c r="RC100" s="41"/>
      <c r="RD100" s="41"/>
      <c r="RE100" s="41"/>
      <c r="RF100" s="41"/>
      <c r="RG100" s="41"/>
      <c r="RH100" s="41"/>
      <c r="RI100" s="41"/>
      <c r="RJ100" s="41"/>
      <c r="RK100" s="41"/>
      <c r="RL100" s="41"/>
      <c r="RM100" s="41"/>
      <c r="RN100" s="41"/>
      <c r="RO100" s="41"/>
      <c r="RP100" s="41"/>
      <c r="RQ100" s="41"/>
      <c r="RR100" s="41"/>
      <c r="RS100" s="41"/>
      <c r="RT100" s="41"/>
      <c r="RU100" s="41"/>
      <c r="RV100" s="41"/>
      <c r="RW100" s="41"/>
      <c r="RX100" s="41"/>
      <c r="RY100" s="41"/>
      <c r="RZ100" s="41"/>
      <c r="SA100" s="41"/>
      <c r="SB100" s="41"/>
      <c r="SC100" s="41"/>
      <c r="SD100" s="41"/>
      <c r="SE100" s="41"/>
      <c r="SF100" s="41"/>
      <c r="SG100" s="41"/>
      <c r="SH100" s="41"/>
      <c r="SI100" s="41"/>
      <c r="SJ100" s="41"/>
      <c r="SK100" s="41"/>
      <c r="SL100" s="41"/>
      <c r="SM100" s="41"/>
      <c r="SN100" s="41"/>
      <c r="SO100" s="41"/>
      <c r="SP100" s="41"/>
      <c r="SQ100" s="41"/>
      <c r="SR100" s="41"/>
      <c r="SS100" s="41"/>
      <c r="ST100" s="41"/>
      <c r="SU100" s="41"/>
      <c r="SV100" s="41"/>
      <c r="SW100" s="41"/>
      <c r="SX100" s="41"/>
      <c r="SY100" s="41"/>
      <c r="SZ100" s="41"/>
      <c r="TA100" s="41"/>
      <c r="TB100" s="41"/>
      <c r="TC100" s="41"/>
      <c r="TD100" s="41"/>
      <c r="TE100" s="41"/>
      <c r="TF100" s="41"/>
      <c r="TG100" s="41"/>
      <c r="TH100" s="41"/>
      <c r="TI100" s="41"/>
      <c r="TJ100" s="41"/>
      <c r="TK100" s="41"/>
      <c r="TL100" s="41"/>
      <c r="TM100" s="41"/>
      <c r="TN100" s="41"/>
      <c r="TO100" s="41"/>
      <c r="TP100" s="41"/>
      <c r="TQ100" s="41"/>
      <c r="TR100" s="41"/>
      <c r="TS100" s="41"/>
      <c r="TT100" s="41"/>
      <c r="TU100" s="41"/>
      <c r="TV100" s="41"/>
      <c r="TW100" s="41"/>
      <c r="TX100" s="41"/>
      <c r="TY100" s="41"/>
      <c r="TZ100" s="41"/>
      <c r="UA100" s="41"/>
      <c r="UB100" s="41"/>
      <c r="UC100" s="41"/>
      <c r="UD100" s="41"/>
      <c r="UE100" s="41"/>
      <c r="UF100" s="41"/>
      <c r="UG100" s="41"/>
      <c r="UH100" s="41"/>
      <c r="UI100" s="41"/>
      <c r="UJ100" s="41"/>
      <c r="UK100" s="41"/>
      <c r="UL100" s="41"/>
      <c r="UM100" s="41"/>
      <c r="UN100" s="41"/>
      <c r="UO100" s="41"/>
      <c r="UP100" s="41"/>
      <c r="UQ100" s="41"/>
      <c r="UR100" s="41"/>
      <c r="US100" s="41"/>
      <c r="UT100" s="41"/>
      <c r="UU100" s="41"/>
      <c r="UV100" s="41"/>
      <c r="UW100" s="41"/>
      <c r="UX100" s="41"/>
      <c r="UY100" s="41"/>
      <c r="UZ100" s="41"/>
      <c r="VA100" s="41"/>
      <c r="VB100" s="41"/>
      <c r="VC100" s="41"/>
      <c r="VD100" s="41"/>
      <c r="VE100" s="41"/>
      <c r="VF100" s="41"/>
      <c r="VG100" s="41"/>
      <c r="VH100" s="41"/>
      <c r="VI100" s="41"/>
      <c r="VJ100" s="41"/>
      <c r="VK100" s="41"/>
      <c r="VL100" s="41"/>
      <c r="VM100" s="41"/>
      <c r="VN100" s="41"/>
      <c r="VO100" s="41"/>
      <c r="VP100" s="41"/>
      <c r="VQ100" s="41"/>
      <c r="VR100" s="41"/>
      <c r="VS100" s="41"/>
      <c r="VT100" s="41"/>
      <c r="VU100" s="41"/>
      <c r="VV100" s="41"/>
      <c r="VW100" s="41"/>
      <c r="VX100" s="41"/>
      <c r="VY100" s="41"/>
      <c r="VZ100" s="41"/>
      <c r="WA100" s="41"/>
      <c r="WB100" s="41"/>
      <c r="WC100" s="41"/>
      <c r="WD100" s="41"/>
      <c r="WE100" s="41"/>
      <c r="WF100" s="41"/>
      <c r="WG100" s="41"/>
      <c r="WH100" s="41"/>
      <c r="WI100" s="41"/>
      <c r="WJ100" s="41"/>
      <c r="WK100" s="41"/>
      <c r="WL100" s="41"/>
      <c r="WM100" s="41"/>
      <c r="WN100" s="41"/>
      <c r="WO100" s="41"/>
      <c r="WP100" s="41"/>
      <c r="WQ100" s="41"/>
      <c r="WR100" s="41"/>
      <c r="WS100" s="41"/>
      <c r="WT100" s="41"/>
      <c r="WU100" s="41"/>
      <c r="WV100" s="41"/>
      <c r="WW100" s="41"/>
      <c r="WX100" s="41"/>
      <c r="WY100" s="41"/>
      <c r="WZ100" s="41"/>
      <c r="XA100" s="41"/>
      <c r="XB100" s="41"/>
      <c r="XC100" s="41"/>
      <c r="XD100" s="41"/>
      <c r="XE100" s="41"/>
      <c r="XF100" s="41"/>
      <c r="XG100" s="41"/>
      <c r="XH100" s="41"/>
      <c r="XI100" s="41"/>
      <c r="XJ100" s="41"/>
      <c r="XK100" s="41"/>
      <c r="XL100" s="41"/>
      <c r="XM100" s="41"/>
      <c r="XN100" s="41"/>
      <c r="XO100" s="41"/>
      <c r="XP100" s="41"/>
      <c r="XQ100" s="41"/>
      <c r="XR100" s="41"/>
      <c r="XS100" s="41"/>
      <c r="XT100" s="41"/>
      <c r="XU100" s="41"/>
      <c r="XV100" s="41"/>
      <c r="XW100" s="41"/>
      <c r="XX100" s="41"/>
      <c r="XY100" s="41"/>
      <c r="XZ100" s="41"/>
      <c r="YA100" s="41"/>
      <c r="YB100" s="41"/>
      <c r="YC100" s="41"/>
      <c r="YD100" s="41"/>
      <c r="YE100" s="41"/>
      <c r="YF100" s="41"/>
      <c r="YG100" s="41"/>
      <c r="YH100" s="41"/>
      <c r="YI100" s="41"/>
      <c r="YJ100" s="41"/>
      <c r="YK100" s="41"/>
      <c r="YL100" s="41"/>
      <c r="YM100" s="41"/>
      <c r="YN100" s="41"/>
      <c r="YO100" s="41"/>
      <c r="YP100" s="41"/>
      <c r="YQ100" s="41"/>
      <c r="YR100" s="41"/>
      <c r="YS100" s="41"/>
      <c r="YT100" s="41"/>
      <c r="YU100" s="41"/>
      <c r="YV100" s="41"/>
      <c r="YW100" s="41"/>
      <c r="YX100" s="41"/>
      <c r="YY100" s="41"/>
      <c r="YZ100" s="41"/>
      <c r="ZA100" s="41"/>
      <c r="ZB100" s="41"/>
      <c r="ZC100" s="41"/>
      <c r="ZD100" s="41"/>
      <c r="ZE100" s="41"/>
      <c r="ZF100" s="41"/>
      <c r="ZG100" s="41"/>
      <c r="ZH100" s="41"/>
      <c r="ZI100" s="41"/>
      <c r="ZJ100" s="41"/>
      <c r="ZK100" s="41"/>
      <c r="ZL100" s="41"/>
      <c r="ZM100" s="41"/>
      <c r="ZN100" s="41"/>
      <c r="ZO100" s="41"/>
      <c r="ZP100" s="41"/>
      <c r="ZQ100" s="41"/>
      <c r="ZR100" s="41"/>
      <c r="ZS100" s="41"/>
      <c r="ZT100" s="41"/>
      <c r="ZU100" s="41"/>
      <c r="ZV100" s="41"/>
      <c r="ZW100" s="41"/>
      <c r="ZX100" s="41"/>
      <c r="ZY100" s="41"/>
      <c r="ZZ100" s="41"/>
      <c r="AAA100" s="41"/>
      <c r="AAB100" s="41"/>
      <c r="AAC100" s="41"/>
    </row>
    <row r="101" spans="1:705" s="42" customFormat="1" ht="42" hidden="1" x14ac:dyDescent="0.3">
      <c r="A101" s="26">
        <v>97</v>
      </c>
      <c r="B101" s="137">
        <v>239967</v>
      </c>
      <c r="C101" s="138">
        <v>97</v>
      </c>
      <c r="D101" s="139">
        <v>45923</v>
      </c>
      <c r="E101" s="139">
        <f t="shared" si="13"/>
        <v>45922</v>
      </c>
      <c r="F101" s="139">
        <f t="shared" ref="F101:F132" si="15">D101+10</f>
        <v>45933</v>
      </c>
      <c r="G101" s="139">
        <v>45933</v>
      </c>
      <c r="H101" s="139">
        <v>45935</v>
      </c>
      <c r="I101" s="139" t="s">
        <v>75</v>
      </c>
      <c r="J101" s="140" t="s">
        <v>284</v>
      </c>
      <c r="K101" s="141">
        <f t="shared" si="14"/>
        <v>2</v>
      </c>
      <c r="L101" s="142">
        <v>1146636</v>
      </c>
      <c r="M101" s="140" t="s">
        <v>15</v>
      </c>
      <c r="N101" s="140">
        <v>804177</v>
      </c>
      <c r="O101" s="137" t="s">
        <v>246</v>
      </c>
      <c r="P101" s="143">
        <v>45929</v>
      </c>
      <c r="Q101" s="143">
        <v>45943</v>
      </c>
      <c r="R101" s="157" t="s">
        <v>211</v>
      </c>
      <c r="S101" s="144" t="s">
        <v>285</v>
      </c>
      <c r="T101" s="145">
        <v>1</v>
      </c>
      <c r="U101" s="137" t="s">
        <v>169</v>
      </c>
      <c r="V101" s="146">
        <v>5</v>
      </c>
      <c r="W101" s="146">
        <v>5</v>
      </c>
      <c r="X101" s="147">
        <v>0</v>
      </c>
      <c r="Y101" s="146">
        <v>0</v>
      </c>
      <c r="Z101" s="146">
        <v>0</v>
      </c>
      <c r="AA101" s="146">
        <v>0</v>
      </c>
      <c r="AB101" s="146">
        <v>5</v>
      </c>
      <c r="AC101" s="146">
        <v>5</v>
      </c>
      <c r="AD101" s="146">
        <v>0</v>
      </c>
      <c r="AE101" s="146">
        <v>0</v>
      </c>
      <c r="AF101" s="146">
        <v>0</v>
      </c>
      <c r="AG101" s="146">
        <v>0</v>
      </c>
      <c r="AH101" s="146">
        <v>1</v>
      </c>
      <c r="AI101" s="146">
        <v>1</v>
      </c>
      <c r="AJ101" s="146">
        <v>0</v>
      </c>
      <c r="AK101" s="146">
        <v>0</v>
      </c>
      <c r="AL101" s="146">
        <v>0</v>
      </c>
      <c r="AM101" s="146">
        <v>0</v>
      </c>
      <c r="AN101" s="146">
        <v>0</v>
      </c>
      <c r="AO101" s="146">
        <v>0</v>
      </c>
      <c r="AP101" s="146">
        <v>1</v>
      </c>
      <c r="AQ101" s="146">
        <v>1</v>
      </c>
      <c r="AR101" s="146">
        <v>0</v>
      </c>
      <c r="AS101" s="146">
        <v>0</v>
      </c>
      <c r="AT101" s="146">
        <v>0</v>
      </c>
      <c r="AU101" s="146"/>
      <c r="AV101" s="146">
        <v>1</v>
      </c>
      <c r="AW101" s="146">
        <v>1</v>
      </c>
      <c r="AX101" s="146">
        <f t="shared" ref="AX101:AX116" si="16">(V101*60)+(X101*80)+(Z101*38)+(AB101*57)+(AD101*75)+(AF101*155)+(AH101*170)+(AJ101*375)+(AL101*590)+(AN101*60)+(AP101*630)+(AR101*400)+(AT101*350)+(AV101*950)</f>
        <v>2335</v>
      </c>
      <c r="AY101" s="146">
        <f t="shared" ref="AY101:AY116" si="17">(W101*60)+(Y101*80)+(AA101*38)+(AC101*57)+(AE101*75)+(AG101*155)+(AI101*170)+(AK101*375)+(AM101*590)+(AO101*60)+(AQ101*630)+(AS101*400)+(AU101*350)+(AW101*950)</f>
        <v>2335</v>
      </c>
      <c r="AZ101" s="140" t="s">
        <v>562</v>
      </c>
      <c r="BA101" s="137" t="s">
        <v>562</v>
      </c>
      <c r="BB101" s="137">
        <v>2</v>
      </c>
      <c r="BC101" s="148">
        <v>97</v>
      </c>
      <c r="BD101" s="149"/>
      <c r="BE101" s="145"/>
      <c r="BF101" s="150"/>
      <c r="BG101" s="151">
        <v>45931</v>
      </c>
      <c r="BH101" s="153" t="s">
        <v>535</v>
      </c>
      <c r="BI101" s="153" t="s">
        <v>562</v>
      </c>
      <c r="CC101" s="41"/>
      <c r="CD101" s="41"/>
      <c r="CE101" s="41"/>
      <c r="CF101" s="41"/>
      <c r="CG101" s="41"/>
      <c r="CH101" s="41"/>
      <c r="CI101" s="41"/>
      <c r="CJ101" s="41"/>
      <c r="CK101" s="41"/>
      <c r="CL101" s="41"/>
      <c r="CM101" s="41"/>
      <c r="CN101" s="41"/>
      <c r="CO101" s="41"/>
      <c r="CP101" s="41"/>
      <c r="CQ101" s="41"/>
      <c r="CR101" s="41"/>
      <c r="CS101" s="41"/>
      <c r="CT101" s="41"/>
      <c r="CU101" s="41"/>
      <c r="CV101" s="41"/>
      <c r="CW101" s="41"/>
      <c r="CX101" s="41"/>
      <c r="CY101" s="41"/>
      <c r="CZ101" s="41"/>
      <c r="DA101" s="41"/>
      <c r="DB101" s="41"/>
      <c r="DC101" s="41"/>
      <c r="DD101" s="41"/>
      <c r="DE101" s="41"/>
      <c r="DF101" s="41"/>
      <c r="DG101" s="41"/>
      <c r="DH101" s="41"/>
      <c r="DI101" s="41"/>
      <c r="DJ101" s="41"/>
      <c r="DK101" s="41"/>
      <c r="DL101" s="41"/>
      <c r="DM101" s="41"/>
      <c r="DN101" s="41"/>
      <c r="DO101" s="41"/>
      <c r="DP101" s="41"/>
      <c r="DQ101" s="41"/>
      <c r="DR101" s="41"/>
      <c r="DS101" s="41"/>
      <c r="DT101" s="41"/>
      <c r="DU101" s="41"/>
      <c r="DV101" s="41"/>
      <c r="DW101" s="41"/>
      <c r="DX101" s="41"/>
      <c r="DY101" s="41"/>
      <c r="DZ101" s="41"/>
      <c r="EA101" s="41"/>
      <c r="EB101" s="41"/>
      <c r="EC101" s="41"/>
      <c r="ED101" s="41"/>
      <c r="EE101" s="41"/>
      <c r="EF101" s="41"/>
      <c r="EG101" s="41"/>
      <c r="EH101" s="41"/>
      <c r="EI101" s="41"/>
      <c r="EJ101" s="41"/>
      <c r="EK101" s="41"/>
      <c r="EL101" s="41"/>
      <c r="EM101" s="41"/>
      <c r="EN101" s="41"/>
      <c r="EO101" s="41"/>
      <c r="EP101" s="41"/>
      <c r="EQ101" s="41"/>
      <c r="ER101" s="41"/>
      <c r="ES101" s="41"/>
      <c r="ET101" s="41"/>
      <c r="EU101" s="41"/>
      <c r="EV101" s="41"/>
      <c r="EW101" s="41"/>
      <c r="EX101" s="41"/>
      <c r="EY101" s="41"/>
      <c r="EZ101" s="41"/>
      <c r="FA101" s="41"/>
      <c r="FB101" s="41"/>
      <c r="FC101" s="41"/>
      <c r="FD101" s="41"/>
      <c r="FE101" s="41"/>
      <c r="FF101" s="41"/>
      <c r="FG101" s="41"/>
      <c r="FH101" s="41"/>
      <c r="FI101" s="41"/>
      <c r="FJ101" s="41"/>
      <c r="FK101" s="41"/>
      <c r="FL101" s="41"/>
      <c r="FM101" s="41"/>
      <c r="FN101" s="41"/>
      <c r="FO101" s="41"/>
      <c r="FP101" s="41"/>
      <c r="FQ101" s="41"/>
      <c r="FR101" s="41"/>
      <c r="FS101" s="41"/>
      <c r="FT101" s="41"/>
      <c r="FU101" s="41"/>
      <c r="FV101" s="41"/>
      <c r="FW101" s="41"/>
      <c r="FX101" s="41"/>
      <c r="FY101" s="41"/>
      <c r="FZ101" s="41"/>
      <c r="GA101" s="41"/>
      <c r="GB101" s="41"/>
      <c r="GC101" s="41"/>
      <c r="GD101" s="41"/>
      <c r="GE101" s="41"/>
      <c r="GF101" s="41"/>
      <c r="GG101" s="41"/>
      <c r="GH101" s="41"/>
      <c r="GI101" s="41"/>
      <c r="GJ101" s="41"/>
      <c r="GK101" s="41"/>
      <c r="GL101" s="41"/>
      <c r="GM101" s="41"/>
      <c r="GN101" s="41"/>
      <c r="GO101" s="41"/>
      <c r="GP101" s="41"/>
      <c r="GQ101" s="41"/>
      <c r="GR101" s="41"/>
      <c r="GS101" s="41"/>
      <c r="GT101" s="41"/>
      <c r="GU101" s="41"/>
      <c r="GV101" s="41"/>
      <c r="GW101" s="41"/>
      <c r="GX101" s="41"/>
      <c r="GY101" s="41"/>
      <c r="GZ101" s="41"/>
      <c r="HA101" s="41"/>
      <c r="HB101" s="41"/>
      <c r="HC101" s="41"/>
      <c r="HD101" s="41"/>
      <c r="HE101" s="41"/>
      <c r="HF101" s="41"/>
      <c r="HG101" s="41"/>
      <c r="HH101" s="41"/>
      <c r="HI101" s="41"/>
      <c r="HJ101" s="41"/>
      <c r="HK101" s="41"/>
      <c r="HL101" s="41"/>
      <c r="HM101" s="41"/>
      <c r="HN101" s="41"/>
      <c r="HO101" s="41"/>
      <c r="HP101" s="41"/>
      <c r="HQ101" s="41"/>
      <c r="HR101" s="41"/>
      <c r="HS101" s="41"/>
      <c r="HT101" s="41"/>
      <c r="HU101" s="41"/>
      <c r="HV101" s="41"/>
      <c r="HW101" s="41"/>
      <c r="HX101" s="41"/>
      <c r="HY101" s="41"/>
      <c r="HZ101" s="41"/>
      <c r="IA101" s="41"/>
      <c r="IB101" s="41"/>
      <c r="IC101" s="41"/>
      <c r="ID101" s="41"/>
      <c r="IE101" s="41"/>
      <c r="IF101" s="41"/>
      <c r="IG101" s="41"/>
      <c r="IH101" s="41"/>
      <c r="II101" s="41"/>
      <c r="IJ101" s="41"/>
      <c r="IK101" s="41"/>
      <c r="IL101" s="41"/>
      <c r="IM101" s="41"/>
      <c r="IN101" s="41"/>
      <c r="IO101" s="41"/>
      <c r="IP101" s="41"/>
      <c r="IQ101" s="41"/>
      <c r="IR101" s="41"/>
      <c r="IS101" s="41"/>
      <c r="IT101" s="41"/>
      <c r="IU101" s="41"/>
      <c r="IV101" s="41"/>
      <c r="IW101" s="41"/>
      <c r="IX101" s="41"/>
      <c r="IY101" s="41"/>
      <c r="IZ101" s="41"/>
      <c r="JA101" s="41"/>
      <c r="JB101" s="41"/>
      <c r="JC101" s="41"/>
      <c r="JD101" s="41"/>
      <c r="JE101" s="41"/>
      <c r="JF101" s="41"/>
      <c r="JG101" s="41"/>
      <c r="JH101" s="41"/>
      <c r="JI101" s="41"/>
      <c r="JJ101" s="41"/>
      <c r="JK101" s="41"/>
      <c r="JL101" s="41"/>
      <c r="JM101" s="41"/>
      <c r="JN101" s="41"/>
      <c r="JO101" s="41"/>
      <c r="JP101" s="41"/>
      <c r="JQ101" s="41"/>
      <c r="JR101" s="41"/>
      <c r="JS101" s="41"/>
      <c r="JT101" s="41"/>
      <c r="JU101" s="41"/>
      <c r="JV101" s="41"/>
      <c r="JW101" s="41"/>
      <c r="JX101" s="41"/>
      <c r="JY101" s="41"/>
      <c r="JZ101" s="41"/>
      <c r="KA101" s="41"/>
      <c r="KB101" s="41"/>
      <c r="KC101" s="41"/>
      <c r="KD101" s="41"/>
      <c r="KE101" s="41"/>
      <c r="KF101" s="41"/>
      <c r="KG101" s="41"/>
      <c r="KH101" s="41"/>
      <c r="KI101" s="41"/>
      <c r="KJ101" s="41"/>
      <c r="KK101" s="41"/>
      <c r="KL101" s="41"/>
      <c r="KM101" s="41"/>
      <c r="KN101" s="41"/>
      <c r="KO101" s="41"/>
      <c r="KP101" s="41"/>
      <c r="KQ101" s="41"/>
      <c r="KR101" s="41"/>
      <c r="KS101" s="41"/>
      <c r="KT101" s="41"/>
      <c r="KU101" s="41"/>
      <c r="KV101" s="41"/>
      <c r="KW101" s="41"/>
      <c r="KX101" s="41"/>
      <c r="KY101" s="41"/>
      <c r="KZ101" s="41"/>
      <c r="LA101" s="41"/>
      <c r="LB101" s="41"/>
      <c r="LC101" s="41"/>
      <c r="LD101" s="41"/>
      <c r="LE101" s="41"/>
      <c r="LF101" s="41"/>
      <c r="LG101" s="41"/>
      <c r="LH101" s="41"/>
      <c r="LI101" s="41"/>
      <c r="LJ101" s="41"/>
      <c r="LK101" s="41"/>
      <c r="LL101" s="41"/>
      <c r="LM101" s="41"/>
      <c r="LN101" s="41"/>
      <c r="LO101" s="41"/>
      <c r="LP101" s="41"/>
      <c r="LQ101" s="41"/>
      <c r="LR101" s="41"/>
      <c r="LS101" s="41"/>
      <c r="LT101" s="41"/>
      <c r="LU101" s="41"/>
      <c r="LV101" s="41"/>
      <c r="LW101" s="41"/>
      <c r="LX101" s="41"/>
      <c r="LY101" s="41"/>
      <c r="LZ101" s="41"/>
      <c r="MA101" s="41"/>
      <c r="MB101" s="41"/>
      <c r="MC101" s="41"/>
      <c r="MD101" s="41"/>
      <c r="ME101" s="41"/>
      <c r="MF101" s="41"/>
      <c r="MG101" s="41"/>
      <c r="MH101" s="41"/>
      <c r="MI101" s="41"/>
      <c r="MJ101" s="41"/>
      <c r="MK101" s="41"/>
      <c r="ML101" s="41"/>
      <c r="MM101" s="41"/>
      <c r="MN101" s="41"/>
      <c r="MO101" s="41"/>
      <c r="MP101" s="41"/>
      <c r="MQ101" s="41"/>
      <c r="MR101" s="41"/>
      <c r="MS101" s="41"/>
      <c r="MT101" s="41"/>
      <c r="MU101" s="41"/>
      <c r="MV101" s="41"/>
      <c r="MW101" s="41"/>
      <c r="MX101" s="41"/>
      <c r="MY101" s="41"/>
      <c r="MZ101" s="41"/>
      <c r="NA101" s="41"/>
      <c r="NB101" s="41"/>
      <c r="NC101" s="41"/>
      <c r="ND101" s="41"/>
      <c r="NE101" s="41"/>
      <c r="NF101" s="41"/>
      <c r="NG101" s="41"/>
      <c r="NH101" s="41"/>
      <c r="NI101" s="41"/>
      <c r="NJ101" s="41"/>
      <c r="NK101" s="41"/>
      <c r="NL101" s="41"/>
      <c r="NM101" s="41"/>
      <c r="NN101" s="41"/>
      <c r="NO101" s="41"/>
      <c r="NP101" s="41"/>
      <c r="NQ101" s="41"/>
      <c r="NR101" s="41"/>
      <c r="NS101" s="41"/>
      <c r="NT101" s="41"/>
      <c r="NU101" s="41"/>
      <c r="NV101" s="41"/>
      <c r="NW101" s="41"/>
      <c r="NX101" s="41"/>
      <c r="NY101" s="41"/>
      <c r="NZ101" s="41"/>
      <c r="OA101" s="41"/>
      <c r="OB101" s="41"/>
      <c r="OC101" s="41"/>
      <c r="OD101" s="41"/>
      <c r="OE101" s="41"/>
      <c r="OF101" s="41"/>
      <c r="OG101" s="41"/>
      <c r="OH101" s="41"/>
      <c r="OI101" s="41"/>
      <c r="OJ101" s="41"/>
      <c r="OK101" s="41"/>
      <c r="OL101" s="41"/>
      <c r="OM101" s="41"/>
      <c r="ON101" s="41"/>
      <c r="OO101" s="41"/>
      <c r="OP101" s="41"/>
      <c r="OQ101" s="41"/>
      <c r="OR101" s="41"/>
      <c r="OS101" s="41"/>
      <c r="OT101" s="41"/>
      <c r="OU101" s="41"/>
      <c r="OV101" s="41"/>
      <c r="OW101" s="41"/>
      <c r="OX101" s="41"/>
      <c r="OY101" s="41"/>
      <c r="OZ101" s="41"/>
      <c r="PA101" s="41"/>
      <c r="PB101" s="41"/>
      <c r="PC101" s="41"/>
      <c r="PD101" s="41"/>
      <c r="PE101" s="41"/>
      <c r="PF101" s="41"/>
      <c r="PG101" s="41"/>
      <c r="PH101" s="41"/>
      <c r="PI101" s="41"/>
      <c r="PJ101" s="41"/>
      <c r="PK101" s="41"/>
      <c r="PL101" s="41"/>
      <c r="PM101" s="41"/>
      <c r="PN101" s="41"/>
      <c r="PO101" s="41"/>
      <c r="PP101" s="41"/>
      <c r="PQ101" s="41"/>
      <c r="PR101" s="41"/>
      <c r="PS101" s="41"/>
      <c r="PT101" s="41"/>
      <c r="PU101" s="41"/>
      <c r="PV101" s="41"/>
      <c r="PW101" s="41"/>
      <c r="PX101" s="41"/>
      <c r="PY101" s="41"/>
      <c r="PZ101" s="41"/>
      <c r="QA101" s="41"/>
      <c r="QB101" s="41"/>
      <c r="QC101" s="41"/>
      <c r="QD101" s="41"/>
      <c r="QE101" s="41"/>
      <c r="QF101" s="41"/>
      <c r="QG101" s="41"/>
      <c r="QH101" s="41"/>
      <c r="QI101" s="41"/>
      <c r="QJ101" s="41"/>
      <c r="QK101" s="41"/>
      <c r="QL101" s="41"/>
      <c r="QM101" s="41"/>
      <c r="QN101" s="41"/>
      <c r="QO101" s="41"/>
      <c r="QP101" s="41"/>
      <c r="QQ101" s="41"/>
      <c r="QR101" s="41"/>
      <c r="QS101" s="41"/>
      <c r="QT101" s="41"/>
      <c r="QU101" s="41"/>
      <c r="QV101" s="41"/>
      <c r="QW101" s="41"/>
      <c r="QX101" s="41"/>
      <c r="QY101" s="41"/>
      <c r="QZ101" s="41"/>
      <c r="RA101" s="41"/>
      <c r="RB101" s="41"/>
      <c r="RC101" s="41"/>
      <c r="RD101" s="41"/>
      <c r="RE101" s="41"/>
      <c r="RF101" s="41"/>
      <c r="RG101" s="41"/>
      <c r="RH101" s="41"/>
      <c r="RI101" s="41"/>
      <c r="RJ101" s="41"/>
      <c r="RK101" s="41"/>
      <c r="RL101" s="41"/>
      <c r="RM101" s="41"/>
      <c r="RN101" s="41"/>
      <c r="RO101" s="41"/>
      <c r="RP101" s="41"/>
      <c r="RQ101" s="41"/>
      <c r="RR101" s="41"/>
      <c r="RS101" s="41"/>
      <c r="RT101" s="41"/>
      <c r="RU101" s="41"/>
      <c r="RV101" s="41"/>
      <c r="RW101" s="41"/>
      <c r="RX101" s="41"/>
      <c r="RY101" s="41"/>
      <c r="RZ101" s="41"/>
      <c r="SA101" s="41"/>
      <c r="SB101" s="41"/>
      <c r="SC101" s="41"/>
      <c r="SD101" s="41"/>
      <c r="SE101" s="41"/>
      <c r="SF101" s="41"/>
      <c r="SG101" s="41"/>
      <c r="SH101" s="41"/>
      <c r="SI101" s="41"/>
      <c r="SJ101" s="41"/>
      <c r="SK101" s="41"/>
      <c r="SL101" s="41"/>
      <c r="SM101" s="41"/>
      <c r="SN101" s="41"/>
      <c r="SO101" s="41"/>
      <c r="SP101" s="41"/>
      <c r="SQ101" s="41"/>
      <c r="SR101" s="41"/>
      <c r="SS101" s="41"/>
      <c r="ST101" s="41"/>
      <c r="SU101" s="41"/>
      <c r="SV101" s="41"/>
      <c r="SW101" s="41"/>
      <c r="SX101" s="41"/>
      <c r="SY101" s="41"/>
      <c r="SZ101" s="41"/>
      <c r="TA101" s="41"/>
      <c r="TB101" s="41"/>
      <c r="TC101" s="41"/>
      <c r="TD101" s="41"/>
      <c r="TE101" s="41"/>
      <c r="TF101" s="41"/>
      <c r="TG101" s="41"/>
      <c r="TH101" s="41"/>
      <c r="TI101" s="41"/>
      <c r="TJ101" s="41"/>
      <c r="TK101" s="41"/>
      <c r="TL101" s="41"/>
      <c r="TM101" s="41"/>
      <c r="TN101" s="41"/>
      <c r="TO101" s="41"/>
      <c r="TP101" s="41"/>
      <c r="TQ101" s="41"/>
      <c r="TR101" s="41"/>
      <c r="TS101" s="41"/>
      <c r="TT101" s="41"/>
      <c r="TU101" s="41"/>
      <c r="TV101" s="41"/>
      <c r="TW101" s="41"/>
      <c r="TX101" s="41"/>
      <c r="TY101" s="41"/>
      <c r="TZ101" s="41"/>
      <c r="UA101" s="41"/>
      <c r="UB101" s="41"/>
      <c r="UC101" s="41"/>
      <c r="UD101" s="41"/>
      <c r="UE101" s="41"/>
      <c r="UF101" s="41"/>
      <c r="UG101" s="41"/>
      <c r="UH101" s="41"/>
      <c r="UI101" s="41"/>
      <c r="UJ101" s="41"/>
      <c r="UK101" s="41"/>
      <c r="UL101" s="41"/>
      <c r="UM101" s="41"/>
      <c r="UN101" s="41"/>
      <c r="UO101" s="41"/>
      <c r="UP101" s="41"/>
      <c r="UQ101" s="41"/>
      <c r="UR101" s="41"/>
      <c r="US101" s="41"/>
      <c r="UT101" s="41"/>
      <c r="UU101" s="41"/>
      <c r="UV101" s="41"/>
      <c r="UW101" s="41"/>
      <c r="UX101" s="41"/>
      <c r="UY101" s="41"/>
      <c r="UZ101" s="41"/>
      <c r="VA101" s="41"/>
      <c r="VB101" s="41"/>
      <c r="VC101" s="41"/>
      <c r="VD101" s="41"/>
      <c r="VE101" s="41"/>
      <c r="VF101" s="41"/>
      <c r="VG101" s="41"/>
      <c r="VH101" s="41"/>
      <c r="VI101" s="41"/>
      <c r="VJ101" s="41"/>
      <c r="VK101" s="41"/>
      <c r="VL101" s="41"/>
      <c r="VM101" s="41"/>
      <c r="VN101" s="41"/>
      <c r="VO101" s="41"/>
      <c r="VP101" s="41"/>
      <c r="VQ101" s="41"/>
      <c r="VR101" s="41"/>
      <c r="VS101" s="41"/>
      <c r="VT101" s="41"/>
      <c r="VU101" s="41"/>
      <c r="VV101" s="41"/>
      <c r="VW101" s="41"/>
      <c r="VX101" s="41"/>
      <c r="VY101" s="41"/>
      <c r="VZ101" s="41"/>
      <c r="WA101" s="41"/>
      <c r="WB101" s="41"/>
      <c r="WC101" s="41"/>
      <c r="WD101" s="41"/>
      <c r="WE101" s="41"/>
      <c r="WF101" s="41"/>
      <c r="WG101" s="41"/>
      <c r="WH101" s="41"/>
      <c r="WI101" s="41"/>
      <c r="WJ101" s="41"/>
      <c r="WK101" s="41"/>
      <c r="WL101" s="41"/>
      <c r="WM101" s="41"/>
      <c r="WN101" s="41"/>
      <c r="WO101" s="41"/>
      <c r="WP101" s="41"/>
      <c r="WQ101" s="41"/>
      <c r="WR101" s="41"/>
      <c r="WS101" s="41"/>
      <c r="WT101" s="41"/>
      <c r="WU101" s="41"/>
      <c r="WV101" s="41"/>
      <c r="WW101" s="41"/>
      <c r="WX101" s="41"/>
      <c r="WY101" s="41"/>
      <c r="WZ101" s="41"/>
      <c r="XA101" s="41"/>
      <c r="XB101" s="41"/>
      <c r="XC101" s="41"/>
      <c r="XD101" s="41"/>
      <c r="XE101" s="41"/>
      <c r="XF101" s="41"/>
      <c r="XG101" s="41"/>
      <c r="XH101" s="41"/>
      <c r="XI101" s="41"/>
      <c r="XJ101" s="41"/>
      <c r="XK101" s="41"/>
      <c r="XL101" s="41"/>
      <c r="XM101" s="41"/>
      <c r="XN101" s="41"/>
      <c r="XO101" s="41"/>
      <c r="XP101" s="41"/>
      <c r="XQ101" s="41"/>
      <c r="XR101" s="41"/>
      <c r="XS101" s="41"/>
      <c r="XT101" s="41"/>
      <c r="XU101" s="41"/>
      <c r="XV101" s="41"/>
      <c r="XW101" s="41"/>
      <c r="XX101" s="41"/>
      <c r="XY101" s="41"/>
      <c r="XZ101" s="41"/>
      <c r="YA101" s="41"/>
      <c r="YB101" s="41"/>
      <c r="YC101" s="41"/>
      <c r="YD101" s="41"/>
      <c r="YE101" s="41"/>
      <c r="YF101" s="41"/>
      <c r="YG101" s="41"/>
      <c r="YH101" s="41"/>
      <c r="YI101" s="41"/>
      <c r="YJ101" s="41"/>
      <c r="YK101" s="41"/>
      <c r="YL101" s="41"/>
      <c r="YM101" s="41"/>
      <c r="YN101" s="41"/>
      <c r="YO101" s="41"/>
      <c r="YP101" s="41"/>
      <c r="YQ101" s="41"/>
      <c r="YR101" s="41"/>
      <c r="YS101" s="41"/>
      <c r="YT101" s="41"/>
      <c r="YU101" s="41"/>
      <c r="YV101" s="41"/>
      <c r="YW101" s="41"/>
      <c r="YX101" s="41"/>
      <c r="YY101" s="41"/>
      <c r="YZ101" s="41"/>
      <c r="ZA101" s="41"/>
      <c r="ZB101" s="41"/>
      <c r="ZC101" s="41"/>
      <c r="ZD101" s="41"/>
      <c r="ZE101" s="41"/>
      <c r="ZF101" s="41"/>
      <c r="ZG101" s="41"/>
      <c r="ZH101" s="41"/>
      <c r="ZI101" s="41"/>
      <c r="ZJ101" s="41"/>
      <c r="ZK101" s="41"/>
      <c r="ZL101" s="41"/>
      <c r="ZM101" s="41"/>
      <c r="ZN101" s="41"/>
      <c r="ZO101" s="41"/>
      <c r="ZP101" s="41"/>
      <c r="ZQ101" s="41"/>
      <c r="ZR101" s="41"/>
      <c r="ZS101" s="41"/>
      <c r="ZT101" s="41"/>
      <c r="ZU101" s="41"/>
      <c r="ZV101" s="41"/>
      <c r="ZW101" s="41"/>
      <c r="ZX101" s="41"/>
      <c r="ZY101" s="41"/>
      <c r="ZZ101" s="41"/>
      <c r="AAA101" s="41"/>
      <c r="AAB101" s="41"/>
      <c r="AAC101" s="41"/>
    </row>
    <row r="102" spans="1:705" s="42" customFormat="1" ht="42" hidden="1" x14ac:dyDescent="0.3">
      <c r="A102" s="26">
        <v>98</v>
      </c>
      <c r="B102" s="137">
        <v>239972</v>
      </c>
      <c r="C102" s="138">
        <v>98</v>
      </c>
      <c r="D102" s="139">
        <v>45923</v>
      </c>
      <c r="E102" s="139">
        <f t="shared" si="13"/>
        <v>45922</v>
      </c>
      <c r="F102" s="139">
        <f t="shared" si="15"/>
        <v>45933</v>
      </c>
      <c r="G102" s="139">
        <v>46014</v>
      </c>
      <c r="H102" s="139">
        <v>46068</v>
      </c>
      <c r="I102" s="139" t="s">
        <v>321</v>
      </c>
      <c r="J102" s="140" t="s">
        <v>286</v>
      </c>
      <c r="K102" s="141">
        <f t="shared" si="14"/>
        <v>135</v>
      </c>
      <c r="L102" s="141">
        <v>1146821</v>
      </c>
      <c r="M102" s="140" t="s">
        <v>15</v>
      </c>
      <c r="N102" s="140">
        <v>810947</v>
      </c>
      <c r="O102" s="140" t="s">
        <v>246</v>
      </c>
      <c r="P102" s="143">
        <v>46022</v>
      </c>
      <c r="Q102" s="143">
        <v>46198</v>
      </c>
      <c r="R102" s="157" t="s">
        <v>211</v>
      </c>
      <c r="S102" s="144" t="s">
        <v>287</v>
      </c>
      <c r="T102" s="145">
        <v>1</v>
      </c>
      <c r="U102" s="137" t="s">
        <v>82</v>
      </c>
      <c r="V102" s="146">
        <v>98</v>
      </c>
      <c r="W102" s="146">
        <v>98</v>
      </c>
      <c r="X102" s="147">
        <v>0</v>
      </c>
      <c r="Y102" s="146">
        <v>0</v>
      </c>
      <c r="Z102" s="146">
        <v>0</v>
      </c>
      <c r="AA102" s="146">
        <v>0</v>
      </c>
      <c r="AB102" s="146">
        <v>98</v>
      </c>
      <c r="AC102" s="146">
        <v>98</v>
      </c>
      <c r="AD102" s="146">
        <v>0</v>
      </c>
      <c r="AE102" s="146">
        <v>0</v>
      </c>
      <c r="AF102" s="146">
        <v>0</v>
      </c>
      <c r="AG102" s="146">
        <v>0</v>
      </c>
      <c r="AH102" s="146">
        <v>2</v>
      </c>
      <c r="AI102" s="146">
        <v>2</v>
      </c>
      <c r="AJ102" s="146">
        <v>0</v>
      </c>
      <c r="AK102" s="146">
        <v>0</v>
      </c>
      <c r="AL102" s="146">
        <v>0</v>
      </c>
      <c r="AM102" s="146"/>
      <c r="AN102" s="146">
        <v>3</v>
      </c>
      <c r="AO102" s="146">
        <v>3</v>
      </c>
      <c r="AP102" s="146">
        <v>3</v>
      </c>
      <c r="AQ102" s="146">
        <v>3</v>
      </c>
      <c r="AR102" s="146">
        <v>0</v>
      </c>
      <c r="AS102" s="146">
        <v>0</v>
      </c>
      <c r="AT102" s="146">
        <v>0</v>
      </c>
      <c r="AU102" s="146">
        <v>0</v>
      </c>
      <c r="AV102" s="146">
        <v>0</v>
      </c>
      <c r="AW102" s="146">
        <v>0</v>
      </c>
      <c r="AX102" s="146">
        <f t="shared" si="16"/>
        <v>13876</v>
      </c>
      <c r="AY102" s="146">
        <f t="shared" si="17"/>
        <v>13876</v>
      </c>
      <c r="AZ102" s="137" t="s">
        <v>562</v>
      </c>
      <c r="BA102" s="140" t="s">
        <v>562</v>
      </c>
      <c r="BB102" s="137">
        <v>7</v>
      </c>
      <c r="BC102" s="148">
        <v>98</v>
      </c>
      <c r="BD102" s="149"/>
      <c r="BE102" s="145"/>
      <c r="BF102" s="150"/>
      <c r="BG102" s="151">
        <v>46054</v>
      </c>
      <c r="BH102" s="153" t="s">
        <v>15</v>
      </c>
      <c r="BI102" s="153" t="s">
        <v>562</v>
      </c>
      <c r="CC102" s="41"/>
      <c r="CD102" s="41"/>
      <c r="CE102" s="41"/>
      <c r="CF102" s="41"/>
      <c r="CG102" s="41"/>
      <c r="CH102" s="41"/>
      <c r="CI102" s="41"/>
      <c r="CJ102" s="41"/>
      <c r="CK102" s="41"/>
      <c r="CL102" s="41"/>
      <c r="CM102" s="41"/>
      <c r="CN102" s="41"/>
      <c r="CO102" s="41"/>
      <c r="CP102" s="41"/>
      <c r="CQ102" s="41"/>
      <c r="CR102" s="41"/>
      <c r="CS102" s="41"/>
      <c r="CT102" s="41"/>
      <c r="CU102" s="41"/>
      <c r="CV102" s="41"/>
      <c r="CW102" s="41"/>
      <c r="CX102" s="41"/>
      <c r="CY102" s="41"/>
      <c r="CZ102" s="41"/>
      <c r="DA102" s="41"/>
      <c r="DB102" s="41"/>
      <c r="DC102" s="41"/>
      <c r="DD102" s="41"/>
      <c r="DE102" s="41"/>
      <c r="DF102" s="41"/>
      <c r="DG102" s="41"/>
      <c r="DH102" s="41"/>
      <c r="DI102" s="41"/>
      <c r="DJ102" s="41"/>
      <c r="DK102" s="41"/>
      <c r="DL102" s="41"/>
      <c r="DM102" s="41"/>
      <c r="DN102" s="41"/>
      <c r="DO102" s="41"/>
      <c r="DP102" s="41"/>
      <c r="DQ102" s="41"/>
      <c r="DR102" s="41"/>
      <c r="DS102" s="41"/>
      <c r="DT102" s="41"/>
      <c r="DU102" s="41"/>
      <c r="DV102" s="41"/>
      <c r="DW102" s="41"/>
      <c r="DX102" s="41"/>
      <c r="DY102" s="41"/>
      <c r="DZ102" s="41"/>
      <c r="EA102" s="41"/>
      <c r="EB102" s="41"/>
      <c r="EC102" s="41"/>
      <c r="ED102" s="41"/>
      <c r="EE102" s="41"/>
      <c r="EF102" s="41"/>
      <c r="EG102" s="41"/>
      <c r="EH102" s="41"/>
      <c r="EI102" s="41"/>
      <c r="EJ102" s="41"/>
      <c r="EK102" s="41"/>
      <c r="EL102" s="41"/>
      <c r="EM102" s="41"/>
      <c r="EN102" s="41"/>
      <c r="EO102" s="41"/>
      <c r="EP102" s="41"/>
      <c r="EQ102" s="41"/>
      <c r="ER102" s="41"/>
      <c r="ES102" s="41"/>
      <c r="ET102" s="41"/>
      <c r="EU102" s="41"/>
      <c r="EV102" s="41"/>
      <c r="EW102" s="41"/>
      <c r="EX102" s="41"/>
      <c r="EY102" s="41"/>
      <c r="EZ102" s="41"/>
      <c r="FA102" s="41"/>
      <c r="FB102" s="41"/>
      <c r="FC102" s="41"/>
      <c r="FD102" s="41"/>
      <c r="FE102" s="41"/>
      <c r="FF102" s="41"/>
      <c r="FG102" s="41"/>
      <c r="FH102" s="41"/>
      <c r="FI102" s="41"/>
      <c r="FJ102" s="41"/>
      <c r="FK102" s="41"/>
      <c r="FL102" s="41"/>
      <c r="FM102" s="41"/>
      <c r="FN102" s="41"/>
      <c r="FO102" s="41"/>
      <c r="FP102" s="41"/>
      <c r="FQ102" s="41"/>
      <c r="FR102" s="41"/>
      <c r="FS102" s="41"/>
      <c r="FT102" s="41"/>
      <c r="FU102" s="41"/>
      <c r="FV102" s="41"/>
      <c r="FW102" s="41"/>
      <c r="FX102" s="41"/>
      <c r="FY102" s="41"/>
      <c r="FZ102" s="41"/>
      <c r="GA102" s="41"/>
      <c r="GB102" s="41"/>
      <c r="GC102" s="41"/>
      <c r="GD102" s="41"/>
      <c r="GE102" s="41"/>
      <c r="GF102" s="41"/>
      <c r="GG102" s="41"/>
      <c r="GH102" s="41"/>
      <c r="GI102" s="41"/>
      <c r="GJ102" s="41"/>
      <c r="GK102" s="41"/>
      <c r="GL102" s="41"/>
      <c r="GM102" s="41"/>
      <c r="GN102" s="41"/>
      <c r="GO102" s="41"/>
      <c r="GP102" s="41"/>
      <c r="GQ102" s="41"/>
      <c r="GR102" s="41"/>
      <c r="GS102" s="41"/>
      <c r="GT102" s="41"/>
      <c r="GU102" s="41"/>
      <c r="GV102" s="41"/>
      <c r="GW102" s="41"/>
      <c r="GX102" s="41"/>
      <c r="GY102" s="41"/>
      <c r="GZ102" s="41"/>
      <c r="HA102" s="41"/>
      <c r="HB102" s="41"/>
      <c r="HC102" s="41"/>
      <c r="HD102" s="41"/>
      <c r="HE102" s="41"/>
      <c r="HF102" s="41"/>
      <c r="HG102" s="41"/>
      <c r="HH102" s="41"/>
      <c r="HI102" s="41"/>
      <c r="HJ102" s="41"/>
      <c r="HK102" s="41"/>
      <c r="HL102" s="41"/>
      <c r="HM102" s="41"/>
      <c r="HN102" s="41"/>
      <c r="HO102" s="41"/>
      <c r="HP102" s="41"/>
      <c r="HQ102" s="41"/>
      <c r="HR102" s="41"/>
      <c r="HS102" s="41"/>
      <c r="HT102" s="41"/>
      <c r="HU102" s="41"/>
      <c r="HV102" s="41"/>
      <c r="HW102" s="41"/>
      <c r="HX102" s="41"/>
      <c r="HY102" s="41"/>
      <c r="HZ102" s="41"/>
      <c r="IA102" s="41"/>
      <c r="IB102" s="41"/>
      <c r="IC102" s="41"/>
      <c r="ID102" s="41"/>
      <c r="IE102" s="41"/>
      <c r="IF102" s="41"/>
      <c r="IG102" s="41"/>
      <c r="IH102" s="41"/>
      <c r="II102" s="41"/>
      <c r="IJ102" s="41"/>
      <c r="IK102" s="41"/>
      <c r="IL102" s="41"/>
      <c r="IM102" s="41"/>
      <c r="IN102" s="41"/>
      <c r="IO102" s="41"/>
      <c r="IP102" s="41"/>
      <c r="IQ102" s="41"/>
      <c r="IR102" s="41"/>
      <c r="IS102" s="41"/>
      <c r="IT102" s="41"/>
      <c r="IU102" s="41"/>
      <c r="IV102" s="41"/>
      <c r="IW102" s="41"/>
      <c r="IX102" s="41"/>
      <c r="IY102" s="41"/>
      <c r="IZ102" s="41"/>
      <c r="JA102" s="41"/>
      <c r="JB102" s="41"/>
      <c r="JC102" s="41"/>
      <c r="JD102" s="41"/>
      <c r="JE102" s="41"/>
      <c r="JF102" s="41"/>
      <c r="JG102" s="41"/>
      <c r="JH102" s="41"/>
      <c r="JI102" s="41"/>
      <c r="JJ102" s="41"/>
      <c r="JK102" s="41"/>
      <c r="JL102" s="41"/>
      <c r="JM102" s="41"/>
      <c r="JN102" s="41"/>
      <c r="JO102" s="41"/>
      <c r="JP102" s="41"/>
      <c r="JQ102" s="41"/>
      <c r="JR102" s="41"/>
      <c r="JS102" s="41"/>
      <c r="JT102" s="41"/>
      <c r="JU102" s="41"/>
      <c r="JV102" s="41"/>
      <c r="JW102" s="41"/>
      <c r="JX102" s="41"/>
      <c r="JY102" s="41"/>
      <c r="JZ102" s="41"/>
      <c r="KA102" s="41"/>
      <c r="KB102" s="41"/>
      <c r="KC102" s="41"/>
      <c r="KD102" s="41"/>
      <c r="KE102" s="41"/>
      <c r="KF102" s="41"/>
      <c r="KG102" s="41"/>
      <c r="KH102" s="41"/>
      <c r="KI102" s="41"/>
      <c r="KJ102" s="41"/>
      <c r="KK102" s="41"/>
      <c r="KL102" s="41"/>
      <c r="KM102" s="41"/>
      <c r="KN102" s="41"/>
      <c r="KO102" s="41"/>
      <c r="KP102" s="41"/>
      <c r="KQ102" s="41"/>
      <c r="KR102" s="41"/>
      <c r="KS102" s="41"/>
      <c r="KT102" s="41"/>
      <c r="KU102" s="41"/>
      <c r="KV102" s="41"/>
      <c r="KW102" s="41"/>
      <c r="KX102" s="41"/>
      <c r="KY102" s="41"/>
      <c r="KZ102" s="41"/>
      <c r="LA102" s="41"/>
      <c r="LB102" s="41"/>
      <c r="LC102" s="41"/>
      <c r="LD102" s="41"/>
      <c r="LE102" s="41"/>
      <c r="LF102" s="41"/>
      <c r="LG102" s="41"/>
      <c r="LH102" s="41"/>
      <c r="LI102" s="41"/>
      <c r="LJ102" s="41"/>
      <c r="LK102" s="41"/>
      <c r="LL102" s="41"/>
      <c r="LM102" s="41"/>
      <c r="LN102" s="41"/>
      <c r="LO102" s="41"/>
      <c r="LP102" s="41"/>
      <c r="LQ102" s="41"/>
      <c r="LR102" s="41"/>
      <c r="LS102" s="41"/>
      <c r="LT102" s="41"/>
      <c r="LU102" s="41"/>
      <c r="LV102" s="41"/>
      <c r="LW102" s="41"/>
      <c r="LX102" s="41"/>
      <c r="LY102" s="41"/>
      <c r="LZ102" s="41"/>
      <c r="MA102" s="41"/>
      <c r="MB102" s="41"/>
      <c r="MC102" s="41"/>
      <c r="MD102" s="41"/>
      <c r="ME102" s="41"/>
      <c r="MF102" s="41"/>
      <c r="MG102" s="41"/>
      <c r="MH102" s="41"/>
      <c r="MI102" s="41"/>
      <c r="MJ102" s="41"/>
      <c r="MK102" s="41"/>
      <c r="ML102" s="41"/>
      <c r="MM102" s="41"/>
      <c r="MN102" s="41"/>
      <c r="MO102" s="41"/>
      <c r="MP102" s="41"/>
      <c r="MQ102" s="41"/>
      <c r="MR102" s="41"/>
      <c r="MS102" s="41"/>
      <c r="MT102" s="41"/>
      <c r="MU102" s="41"/>
      <c r="MV102" s="41"/>
      <c r="MW102" s="41"/>
      <c r="MX102" s="41"/>
      <c r="MY102" s="41"/>
      <c r="MZ102" s="41"/>
      <c r="NA102" s="41"/>
      <c r="NB102" s="41"/>
      <c r="NC102" s="41"/>
      <c r="ND102" s="41"/>
      <c r="NE102" s="41"/>
      <c r="NF102" s="41"/>
      <c r="NG102" s="41"/>
      <c r="NH102" s="41"/>
      <c r="NI102" s="41"/>
      <c r="NJ102" s="41"/>
      <c r="NK102" s="41"/>
      <c r="NL102" s="41"/>
      <c r="NM102" s="41"/>
      <c r="NN102" s="41"/>
      <c r="NO102" s="41"/>
      <c r="NP102" s="41"/>
      <c r="NQ102" s="41"/>
      <c r="NR102" s="41"/>
      <c r="NS102" s="41"/>
      <c r="NT102" s="41"/>
      <c r="NU102" s="41"/>
      <c r="NV102" s="41"/>
      <c r="NW102" s="41"/>
      <c r="NX102" s="41"/>
      <c r="NY102" s="41"/>
      <c r="NZ102" s="41"/>
      <c r="OA102" s="41"/>
      <c r="OB102" s="41"/>
      <c r="OC102" s="41"/>
      <c r="OD102" s="41"/>
      <c r="OE102" s="41"/>
      <c r="OF102" s="41"/>
      <c r="OG102" s="41"/>
      <c r="OH102" s="41"/>
      <c r="OI102" s="41"/>
      <c r="OJ102" s="41"/>
      <c r="OK102" s="41"/>
      <c r="OL102" s="41"/>
      <c r="OM102" s="41"/>
      <c r="ON102" s="41"/>
      <c r="OO102" s="41"/>
      <c r="OP102" s="41"/>
      <c r="OQ102" s="41"/>
      <c r="OR102" s="41"/>
      <c r="OS102" s="41"/>
      <c r="OT102" s="41"/>
      <c r="OU102" s="41"/>
      <c r="OV102" s="41"/>
      <c r="OW102" s="41"/>
      <c r="OX102" s="41"/>
      <c r="OY102" s="41"/>
      <c r="OZ102" s="41"/>
      <c r="PA102" s="41"/>
      <c r="PB102" s="41"/>
      <c r="PC102" s="41"/>
      <c r="PD102" s="41"/>
      <c r="PE102" s="41"/>
      <c r="PF102" s="41"/>
      <c r="PG102" s="41"/>
      <c r="PH102" s="41"/>
      <c r="PI102" s="41"/>
      <c r="PJ102" s="41"/>
      <c r="PK102" s="41"/>
      <c r="PL102" s="41"/>
      <c r="PM102" s="41"/>
      <c r="PN102" s="41"/>
      <c r="PO102" s="41"/>
      <c r="PP102" s="41"/>
      <c r="PQ102" s="41"/>
      <c r="PR102" s="41"/>
      <c r="PS102" s="41"/>
      <c r="PT102" s="41"/>
      <c r="PU102" s="41"/>
      <c r="PV102" s="41"/>
      <c r="PW102" s="41"/>
      <c r="PX102" s="41"/>
      <c r="PY102" s="41"/>
      <c r="PZ102" s="41"/>
      <c r="QA102" s="41"/>
      <c r="QB102" s="41"/>
      <c r="QC102" s="41"/>
      <c r="QD102" s="41"/>
      <c r="QE102" s="41"/>
      <c r="QF102" s="41"/>
      <c r="QG102" s="41"/>
      <c r="QH102" s="41"/>
      <c r="QI102" s="41"/>
      <c r="QJ102" s="41"/>
      <c r="QK102" s="41"/>
      <c r="QL102" s="41"/>
      <c r="QM102" s="41"/>
      <c r="QN102" s="41"/>
      <c r="QO102" s="41"/>
      <c r="QP102" s="41"/>
      <c r="QQ102" s="41"/>
      <c r="QR102" s="41"/>
      <c r="QS102" s="41"/>
      <c r="QT102" s="41"/>
      <c r="QU102" s="41"/>
      <c r="QV102" s="41"/>
      <c r="QW102" s="41"/>
      <c r="QX102" s="41"/>
      <c r="QY102" s="41"/>
      <c r="QZ102" s="41"/>
      <c r="RA102" s="41"/>
      <c r="RB102" s="41"/>
      <c r="RC102" s="41"/>
      <c r="RD102" s="41"/>
      <c r="RE102" s="41"/>
      <c r="RF102" s="41"/>
      <c r="RG102" s="41"/>
      <c r="RH102" s="41"/>
      <c r="RI102" s="41"/>
      <c r="RJ102" s="41"/>
      <c r="RK102" s="41"/>
      <c r="RL102" s="41"/>
      <c r="RM102" s="41"/>
      <c r="RN102" s="41"/>
      <c r="RO102" s="41"/>
      <c r="RP102" s="41"/>
      <c r="RQ102" s="41"/>
      <c r="RR102" s="41"/>
      <c r="RS102" s="41"/>
      <c r="RT102" s="41"/>
      <c r="RU102" s="41"/>
      <c r="RV102" s="41"/>
      <c r="RW102" s="41"/>
      <c r="RX102" s="41"/>
      <c r="RY102" s="41"/>
      <c r="RZ102" s="41"/>
      <c r="SA102" s="41"/>
      <c r="SB102" s="41"/>
      <c r="SC102" s="41"/>
      <c r="SD102" s="41"/>
      <c r="SE102" s="41"/>
      <c r="SF102" s="41"/>
      <c r="SG102" s="41"/>
      <c r="SH102" s="41"/>
      <c r="SI102" s="41"/>
      <c r="SJ102" s="41"/>
      <c r="SK102" s="41"/>
      <c r="SL102" s="41"/>
      <c r="SM102" s="41"/>
      <c r="SN102" s="41"/>
      <c r="SO102" s="41"/>
      <c r="SP102" s="41"/>
      <c r="SQ102" s="41"/>
      <c r="SR102" s="41"/>
      <c r="SS102" s="41"/>
      <c r="ST102" s="41"/>
      <c r="SU102" s="41"/>
      <c r="SV102" s="41"/>
      <c r="SW102" s="41"/>
      <c r="SX102" s="41"/>
      <c r="SY102" s="41"/>
      <c r="SZ102" s="41"/>
      <c r="TA102" s="41"/>
      <c r="TB102" s="41"/>
      <c r="TC102" s="41"/>
      <c r="TD102" s="41"/>
      <c r="TE102" s="41"/>
      <c r="TF102" s="41"/>
      <c r="TG102" s="41"/>
      <c r="TH102" s="41"/>
      <c r="TI102" s="41"/>
      <c r="TJ102" s="41"/>
      <c r="TK102" s="41"/>
      <c r="TL102" s="41"/>
      <c r="TM102" s="41"/>
      <c r="TN102" s="41"/>
      <c r="TO102" s="41"/>
      <c r="TP102" s="41"/>
      <c r="TQ102" s="41"/>
      <c r="TR102" s="41"/>
      <c r="TS102" s="41"/>
      <c r="TT102" s="41"/>
      <c r="TU102" s="41"/>
      <c r="TV102" s="41"/>
      <c r="TW102" s="41"/>
      <c r="TX102" s="41"/>
      <c r="TY102" s="41"/>
      <c r="TZ102" s="41"/>
      <c r="UA102" s="41"/>
      <c r="UB102" s="41"/>
      <c r="UC102" s="41"/>
      <c r="UD102" s="41"/>
      <c r="UE102" s="41"/>
      <c r="UF102" s="41"/>
      <c r="UG102" s="41"/>
      <c r="UH102" s="41"/>
      <c r="UI102" s="41"/>
      <c r="UJ102" s="41"/>
      <c r="UK102" s="41"/>
      <c r="UL102" s="41"/>
      <c r="UM102" s="41"/>
      <c r="UN102" s="41"/>
      <c r="UO102" s="41"/>
      <c r="UP102" s="41"/>
      <c r="UQ102" s="41"/>
      <c r="UR102" s="41"/>
      <c r="US102" s="41"/>
      <c r="UT102" s="41"/>
      <c r="UU102" s="41"/>
      <c r="UV102" s="41"/>
      <c r="UW102" s="41"/>
      <c r="UX102" s="41"/>
      <c r="UY102" s="41"/>
      <c r="UZ102" s="41"/>
      <c r="VA102" s="41"/>
      <c r="VB102" s="41"/>
      <c r="VC102" s="41"/>
      <c r="VD102" s="41"/>
      <c r="VE102" s="41"/>
      <c r="VF102" s="41"/>
      <c r="VG102" s="41"/>
      <c r="VH102" s="41"/>
      <c r="VI102" s="41"/>
      <c r="VJ102" s="41"/>
      <c r="VK102" s="41"/>
      <c r="VL102" s="41"/>
      <c r="VM102" s="41"/>
      <c r="VN102" s="41"/>
      <c r="VO102" s="41"/>
      <c r="VP102" s="41"/>
      <c r="VQ102" s="41"/>
      <c r="VR102" s="41"/>
      <c r="VS102" s="41"/>
      <c r="VT102" s="41"/>
      <c r="VU102" s="41"/>
      <c r="VV102" s="41"/>
      <c r="VW102" s="41"/>
      <c r="VX102" s="41"/>
      <c r="VY102" s="41"/>
      <c r="VZ102" s="41"/>
      <c r="WA102" s="41"/>
      <c r="WB102" s="41"/>
      <c r="WC102" s="41"/>
      <c r="WD102" s="41"/>
      <c r="WE102" s="41"/>
      <c r="WF102" s="41"/>
      <c r="WG102" s="41"/>
      <c r="WH102" s="41"/>
      <c r="WI102" s="41"/>
      <c r="WJ102" s="41"/>
      <c r="WK102" s="41"/>
      <c r="WL102" s="41"/>
      <c r="WM102" s="41"/>
      <c r="WN102" s="41"/>
      <c r="WO102" s="41"/>
      <c r="WP102" s="41"/>
      <c r="WQ102" s="41"/>
      <c r="WR102" s="41"/>
      <c r="WS102" s="41"/>
      <c r="WT102" s="41"/>
      <c r="WU102" s="41"/>
      <c r="WV102" s="41"/>
      <c r="WW102" s="41"/>
      <c r="WX102" s="41"/>
      <c r="WY102" s="41"/>
      <c r="WZ102" s="41"/>
      <c r="XA102" s="41"/>
      <c r="XB102" s="41"/>
      <c r="XC102" s="41"/>
      <c r="XD102" s="41"/>
      <c r="XE102" s="41"/>
      <c r="XF102" s="41"/>
      <c r="XG102" s="41"/>
      <c r="XH102" s="41"/>
      <c r="XI102" s="41"/>
      <c r="XJ102" s="41"/>
      <c r="XK102" s="41"/>
      <c r="XL102" s="41"/>
      <c r="XM102" s="41"/>
      <c r="XN102" s="41"/>
      <c r="XO102" s="41"/>
      <c r="XP102" s="41"/>
      <c r="XQ102" s="41"/>
      <c r="XR102" s="41"/>
      <c r="XS102" s="41"/>
      <c r="XT102" s="41"/>
      <c r="XU102" s="41"/>
      <c r="XV102" s="41"/>
      <c r="XW102" s="41"/>
      <c r="XX102" s="41"/>
      <c r="XY102" s="41"/>
      <c r="XZ102" s="41"/>
      <c r="YA102" s="41"/>
      <c r="YB102" s="41"/>
      <c r="YC102" s="41"/>
      <c r="YD102" s="41"/>
      <c r="YE102" s="41"/>
      <c r="YF102" s="41"/>
      <c r="YG102" s="41"/>
      <c r="YH102" s="41"/>
      <c r="YI102" s="41"/>
      <c r="YJ102" s="41"/>
      <c r="YK102" s="41"/>
      <c r="YL102" s="41"/>
      <c r="YM102" s="41"/>
      <c r="YN102" s="41"/>
      <c r="YO102" s="41"/>
      <c r="YP102" s="41"/>
      <c r="YQ102" s="41"/>
      <c r="YR102" s="41"/>
      <c r="YS102" s="41"/>
      <c r="YT102" s="41"/>
      <c r="YU102" s="41"/>
      <c r="YV102" s="41"/>
      <c r="YW102" s="41"/>
      <c r="YX102" s="41"/>
      <c r="YY102" s="41"/>
      <c r="YZ102" s="41"/>
      <c r="ZA102" s="41"/>
      <c r="ZB102" s="41"/>
      <c r="ZC102" s="41"/>
      <c r="ZD102" s="41"/>
      <c r="ZE102" s="41"/>
      <c r="ZF102" s="41"/>
      <c r="ZG102" s="41"/>
      <c r="ZH102" s="41"/>
      <c r="ZI102" s="41"/>
      <c r="ZJ102" s="41"/>
      <c r="ZK102" s="41"/>
      <c r="ZL102" s="41"/>
      <c r="ZM102" s="41"/>
      <c r="ZN102" s="41"/>
      <c r="ZO102" s="41"/>
      <c r="ZP102" s="41"/>
      <c r="ZQ102" s="41"/>
      <c r="ZR102" s="41"/>
      <c r="ZS102" s="41"/>
      <c r="ZT102" s="41"/>
      <c r="ZU102" s="41"/>
      <c r="ZV102" s="41"/>
      <c r="ZW102" s="41"/>
      <c r="ZX102" s="41"/>
      <c r="ZY102" s="41"/>
      <c r="ZZ102" s="41"/>
      <c r="AAA102" s="41"/>
      <c r="AAB102" s="41"/>
      <c r="AAC102" s="41"/>
    </row>
    <row r="103" spans="1:705" s="42" customFormat="1" ht="42" customHeight="1" x14ac:dyDescent="0.3">
      <c r="A103" s="26">
        <v>99</v>
      </c>
      <c r="B103" s="15">
        <v>239975</v>
      </c>
      <c r="C103" s="62">
        <v>99</v>
      </c>
      <c r="D103" s="63">
        <v>45924</v>
      </c>
      <c r="E103" s="63">
        <f t="shared" si="13"/>
        <v>45923</v>
      </c>
      <c r="F103" s="63">
        <f t="shared" si="15"/>
        <v>45934</v>
      </c>
      <c r="G103" s="63">
        <v>46015</v>
      </c>
      <c r="H103" s="63">
        <f ca="1">TODAY()</f>
        <v>46277</v>
      </c>
      <c r="I103" s="63" t="s">
        <v>321</v>
      </c>
      <c r="J103" s="64" t="s">
        <v>288</v>
      </c>
      <c r="K103" s="65">
        <f t="shared" ca="1" si="14"/>
        <v>343</v>
      </c>
      <c r="L103" s="240">
        <v>1147013</v>
      </c>
      <c r="M103" s="64" t="s">
        <v>77</v>
      </c>
      <c r="N103" s="240">
        <v>810944</v>
      </c>
      <c r="O103" s="253" t="s">
        <v>1462</v>
      </c>
      <c r="P103" s="103">
        <v>46014</v>
      </c>
      <c r="Q103" s="103">
        <v>46198</v>
      </c>
      <c r="R103" s="15" t="s">
        <v>211</v>
      </c>
      <c r="S103" s="66" t="s">
        <v>289</v>
      </c>
      <c r="T103" s="67">
        <v>1</v>
      </c>
      <c r="U103" s="15" t="s">
        <v>106</v>
      </c>
      <c r="V103" s="68">
        <v>75</v>
      </c>
      <c r="W103" s="68"/>
      <c r="X103" s="69">
        <v>0</v>
      </c>
      <c r="Y103" s="68">
        <v>0</v>
      </c>
      <c r="Z103" s="68">
        <v>0</v>
      </c>
      <c r="AA103" s="68">
        <v>0</v>
      </c>
      <c r="AB103" s="68">
        <v>0</v>
      </c>
      <c r="AC103" s="68"/>
      <c r="AD103" s="68">
        <v>0</v>
      </c>
      <c r="AE103" s="68">
        <v>0</v>
      </c>
      <c r="AF103" s="68">
        <v>0</v>
      </c>
      <c r="AG103" s="68">
        <v>0</v>
      </c>
      <c r="AH103" s="68">
        <v>0</v>
      </c>
      <c r="AI103" s="68"/>
      <c r="AJ103" s="68">
        <v>1</v>
      </c>
      <c r="AK103" s="68"/>
      <c r="AL103" s="68">
        <v>1</v>
      </c>
      <c r="AM103" s="68"/>
      <c r="AN103" s="68">
        <v>1</v>
      </c>
      <c r="AO103" s="68"/>
      <c r="AP103" s="68">
        <v>1</v>
      </c>
      <c r="AQ103" s="68"/>
      <c r="AR103" s="68">
        <v>0</v>
      </c>
      <c r="AS103" s="68">
        <v>0</v>
      </c>
      <c r="AT103" s="68">
        <v>0</v>
      </c>
      <c r="AU103" s="68">
        <v>0</v>
      </c>
      <c r="AV103" s="68">
        <v>0</v>
      </c>
      <c r="AW103" s="68">
        <v>0</v>
      </c>
      <c r="AX103" s="68">
        <f t="shared" si="16"/>
        <v>6155</v>
      </c>
      <c r="AY103" s="68">
        <f t="shared" si="17"/>
        <v>0</v>
      </c>
      <c r="AZ103" s="64" t="s">
        <v>77</v>
      </c>
      <c r="BA103" s="15" t="s">
        <v>77</v>
      </c>
      <c r="BB103" s="15" t="s">
        <v>77</v>
      </c>
      <c r="BC103" s="241">
        <v>99</v>
      </c>
      <c r="BD103" s="70"/>
      <c r="BE103" s="67"/>
      <c r="BF103" s="71"/>
      <c r="BG103" s="15"/>
      <c r="BH103" s="72" t="s">
        <v>77</v>
      </c>
      <c r="BI103" s="72" t="s">
        <v>77</v>
      </c>
      <c r="CC103" s="41"/>
      <c r="CD103" s="41"/>
      <c r="CE103" s="41"/>
      <c r="CF103" s="41"/>
      <c r="CG103" s="41"/>
      <c r="CH103" s="41"/>
      <c r="CI103" s="41"/>
      <c r="CJ103" s="41"/>
      <c r="CK103" s="41"/>
      <c r="CL103" s="41"/>
      <c r="CM103" s="41"/>
      <c r="CN103" s="41"/>
      <c r="CO103" s="41"/>
      <c r="CP103" s="41"/>
      <c r="CQ103" s="41"/>
      <c r="CR103" s="41"/>
      <c r="CS103" s="41"/>
      <c r="CT103" s="41"/>
      <c r="CU103" s="41"/>
      <c r="CV103" s="41"/>
      <c r="CW103" s="41"/>
      <c r="CX103" s="41"/>
      <c r="CY103" s="41"/>
      <c r="CZ103" s="41"/>
      <c r="DA103" s="41"/>
      <c r="FV103" s="41"/>
      <c r="FW103" s="41"/>
      <c r="FX103" s="41"/>
      <c r="FY103" s="41"/>
      <c r="FZ103" s="41"/>
      <c r="GA103" s="41"/>
      <c r="GB103" s="41"/>
      <c r="GC103" s="41"/>
      <c r="GD103" s="41"/>
      <c r="GE103" s="41"/>
      <c r="GF103" s="41"/>
      <c r="GG103" s="41"/>
      <c r="GH103" s="41"/>
      <c r="GI103" s="41"/>
      <c r="GJ103" s="41"/>
      <c r="GK103" s="41"/>
      <c r="GL103" s="41"/>
      <c r="GM103" s="41"/>
      <c r="GN103" s="41"/>
      <c r="GO103" s="41"/>
      <c r="GP103" s="41"/>
      <c r="GQ103" s="41"/>
      <c r="GR103" s="41"/>
      <c r="GS103" s="41"/>
      <c r="GT103" s="41"/>
      <c r="GU103" s="41"/>
      <c r="GV103" s="41"/>
      <c r="GW103" s="41"/>
      <c r="GX103" s="41"/>
      <c r="GY103" s="41"/>
      <c r="GZ103" s="41"/>
      <c r="HA103" s="41"/>
      <c r="HB103" s="41"/>
      <c r="HC103" s="41"/>
      <c r="HD103" s="41"/>
      <c r="HE103" s="41"/>
      <c r="HF103" s="41"/>
      <c r="HG103" s="41"/>
      <c r="HH103" s="41"/>
      <c r="HI103" s="41"/>
      <c r="HJ103" s="41"/>
      <c r="HK103" s="41"/>
      <c r="HL103" s="41"/>
      <c r="HM103" s="41"/>
      <c r="HN103" s="41"/>
      <c r="HO103" s="41"/>
      <c r="HP103" s="41"/>
      <c r="HQ103" s="41"/>
      <c r="HR103" s="41"/>
      <c r="HS103" s="41"/>
      <c r="HT103" s="41"/>
      <c r="HU103" s="41"/>
      <c r="HV103" s="41"/>
      <c r="HW103" s="41"/>
      <c r="HX103" s="41"/>
      <c r="HY103" s="41"/>
      <c r="HZ103" s="41"/>
      <c r="IA103" s="41"/>
      <c r="IB103" s="41"/>
      <c r="IC103" s="41"/>
      <c r="ID103" s="41"/>
      <c r="IE103" s="41"/>
      <c r="IF103" s="41"/>
      <c r="IG103" s="41"/>
      <c r="IH103" s="41"/>
      <c r="II103" s="41"/>
      <c r="IJ103" s="41"/>
      <c r="IK103" s="41"/>
      <c r="IL103" s="41"/>
      <c r="IM103" s="41"/>
      <c r="IN103" s="41"/>
      <c r="IO103" s="41"/>
      <c r="IP103" s="41"/>
      <c r="IQ103" s="41"/>
      <c r="IR103" s="41"/>
      <c r="IS103" s="41"/>
      <c r="IT103" s="41"/>
      <c r="IU103" s="41"/>
      <c r="IV103" s="41"/>
      <c r="IW103" s="41"/>
      <c r="IX103" s="41"/>
      <c r="IY103" s="41"/>
      <c r="IZ103" s="41"/>
      <c r="JA103" s="41"/>
      <c r="JB103" s="41"/>
      <c r="JC103" s="41"/>
      <c r="JD103" s="41"/>
      <c r="JE103" s="41"/>
      <c r="JF103" s="41"/>
      <c r="JG103" s="41"/>
      <c r="JH103" s="41"/>
      <c r="JI103" s="41"/>
      <c r="JJ103" s="41"/>
      <c r="JK103" s="41"/>
      <c r="JL103" s="41"/>
      <c r="JM103" s="41"/>
      <c r="JN103" s="41"/>
      <c r="JO103" s="41"/>
      <c r="JP103" s="41"/>
      <c r="JQ103" s="41"/>
      <c r="JR103" s="41"/>
      <c r="JS103" s="41"/>
      <c r="JT103" s="41"/>
      <c r="JU103" s="41"/>
      <c r="JV103" s="41"/>
      <c r="JW103" s="41"/>
      <c r="JX103" s="41"/>
      <c r="JY103" s="41"/>
      <c r="JZ103" s="41"/>
      <c r="KA103" s="41"/>
      <c r="KB103" s="41"/>
      <c r="KC103" s="41"/>
      <c r="KD103" s="41"/>
      <c r="KE103" s="41"/>
      <c r="KF103" s="41"/>
      <c r="KG103" s="41"/>
      <c r="KH103" s="41"/>
      <c r="KI103" s="41"/>
      <c r="KJ103" s="41"/>
      <c r="KK103" s="41"/>
      <c r="KL103" s="41"/>
      <c r="KM103" s="41"/>
      <c r="KN103" s="41"/>
      <c r="KO103" s="41"/>
      <c r="KP103" s="41"/>
      <c r="KQ103" s="41"/>
      <c r="KR103" s="41"/>
      <c r="KS103" s="41"/>
      <c r="KT103" s="41"/>
      <c r="KU103" s="41"/>
      <c r="KV103" s="41"/>
      <c r="KW103" s="41"/>
      <c r="KX103" s="41"/>
      <c r="KY103" s="41"/>
      <c r="KZ103" s="41"/>
      <c r="LA103" s="41"/>
      <c r="LB103" s="41"/>
      <c r="LC103" s="41"/>
      <c r="LD103" s="41"/>
      <c r="LE103" s="41"/>
      <c r="LF103" s="41"/>
      <c r="LG103" s="41"/>
      <c r="LH103" s="41"/>
      <c r="LI103" s="41"/>
      <c r="LJ103" s="41"/>
      <c r="LK103" s="41"/>
      <c r="LL103" s="41"/>
      <c r="LM103" s="41"/>
      <c r="LN103" s="41"/>
      <c r="LO103" s="41"/>
      <c r="LP103" s="41"/>
      <c r="LQ103" s="41"/>
      <c r="LR103" s="41"/>
      <c r="LS103" s="41"/>
      <c r="LT103" s="41"/>
      <c r="LU103" s="41"/>
      <c r="LV103" s="41"/>
      <c r="LW103" s="41"/>
      <c r="LX103" s="41"/>
      <c r="LY103" s="41"/>
      <c r="LZ103" s="41"/>
      <c r="MA103" s="41"/>
      <c r="MB103" s="41"/>
      <c r="MC103" s="41"/>
      <c r="MD103" s="41"/>
      <c r="ME103" s="41"/>
      <c r="MF103" s="41"/>
      <c r="MG103" s="41"/>
      <c r="MH103" s="41"/>
      <c r="MI103" s="41"/>
      <c r="MJ103" s="41"/>
      <c r="MK103" s="41"/>
      <c r="ML103" s="41"/>
      <c r="MM103" s="41"/>
      <c r="MN103" s="41"/>
      <c r="MO103" s="41"/>
      <c r="MP103" s="41"/>
      <c r="MQ103" s="41"/>
      <c r="MR103" s="41"/>
      <c r="MS103" s="41"/>
      <c r="MT103" s="41"/>
      <c r="MU103" s="41"/>
      <c r="MV103" s="41"/>
      <c r="MW103" s="41"/>
      <c r="MX103" s="41"/>
      <c r="MY103" s="41"/>
      <c r="MZ103" s="41"/>
      <c r="NA103" s="41"/>
      <c r="NB103" s="41"/>
      <c r="NC103" s="41"/>
      <c r="ND103" s="41"/>
      <c r="NE103" s="41"/>
      <c r="NF103" s="41"/>
      <c r="NG103" s="41"/>
      <c r="NH103" s="41"/>
      <c r="NI103" s="41"/>
      <c r="NJ103" s="41"/>
      <c r="NK103" s="41"/>
      <c r="NL103" s="41"/>
      <c r="NM103" s="41"/>
      <c r="NN103" s="41"/>
      <c r="NO103" s="41"/>
      <c r="NP103" s="41"/>
      <c r="NQ103" s="41"/>
      <c r="NR103" s="41"/>
      <c r="NS103" s="41"/>
      <c r="NT103" s="41"/>
      <c r="NU103" s="41"/>
      <c r="NV103" s="41"/>
      <c r="NW103" s="41"/>
      <c r="NX103" s="41"/>
      <c r="NY103" s="41"/>
      <c r="NZ103" s="41"/>
      <c r="OA103" s="41"/>
      <c r="OB103" s="41"/>
      <c r="OC103" s="41"/>
      <c r="OD103" s="41"/>
      <c r="OE103" s="41"/>
      <c r="OF103" s="41"/>
      <c r="OG103" s="41"/>
      <c r="OH103" s="41"/>
      <c r="OI103" s="41"/>
      <c r="OJ103" s="41"/>
      <c r="OK103" s="41"/>
      <c r="OL103" s="41"/>
      <c r="OM103" s="41"/>
      <c r="ON103" s="41"/>
      <c r="OO103" s="41"/>
      <c r="OP103" s="41"/>
      <c r="OQ103" s="41"/>
      <c r="OR103" s="41"/>
      <c r="OS103" s="41"/>
      <c r="OT103" s="41"/>
      <c r="OU103" s="41"/>
      <c r="OV103" s="41"/>
      <c r="OW103" s="41"/>
      <c r="OX103" s="41"/>
      <c r="OY103" s="41"/>
      <c r="OZ103" s="41"/>
      <c r="PA103" s="41"/>
      <c r="PB103" s="41"/>
      <c r="PC103" s="41"/>
      <c r="PD103" s="41"/>
      <c r="PE103" s="41"/>
      <c r="PF103" s="41"/>
      <c r="PG103" s="41"/>
      <c r="PH103" s="41"/>
      <c r="PI103" s="41"/>
      <c r="PJ103" s="41"/>
      <c r="PK103" s="41"/>
      <c r="PL103" s="41"/>
      <c r="PM103" s="41"/>
      <c r="PN103" s="41"/>
      <c r="PO103" s="41"/>
      <c r="PP103" s="41"/>
      <c r="PQ103" s="41"/>
      <c r="PR103" s="41"/>
      <c r="PS103" s="41"/>
      <c r="PT103" s="41"/>
      <c r="PU103" s="41"/>
      <c r="PV103" s="41"/>
      <c r="PW103" s="41"/>
      <c r="PX103" s="41"/>
      <c r="PY103" s="41"/>
      <c r="PZ103" s="41"/>
      <c r="QA103" s="41"/>
      <c r="QB103" s="41"/>
      <c r="QC103" s="41"/>
      <c r="QD103" s="41"/>
      <c r="QE103" s="41"/>
      <c r="QF103" s="41"/>
      <c r="QG103" s="41"/>
      <c r="QH103" s="41"/>
      <c r="QI103" s="41"/>
      <c r="QJ103" s="41"/>
      <c r="QK103" s="41"/>
      <c r="QL103" s="41"/>
      <c r="QM103" s="41"/>
      <c r="QN103" s="41"/>
      <c r="QO103" s="41"/>
      <c r="QP103" s="41"/>
      <c r="QQ103" s="41"/>
      <c r="QR103" s="41"/>
      <c r="QS103" s="41"/>
      <c r="QT103" s="41"/>
      <c r="QU103" s="41"/>
      <c r="QV103" s="41"/>
      <c r="QW103" s="41"/>
      <c r="QX103" s="41"/>
      <c r="QY103" s="41"/>
      <c r="QZ103" s="41"/>
      <c r="RA103" s="41"/>
      <c r="RB103" s="41"/>
      <c r="RC103" s="41"/>
      <c r="RD103" s="41"/>
      <c r="RE103" s="41"/>
      <c r="RF103" s="41"/>
      <c r="RG103" s="41"/>
      <c r="RH103" s="41"/>
      <c r="RI103" s="41"/>
      <c r="RJ103" s="41"/>
      <c r="RK103" s="41"/>
      <c r="RL103" s="41"/>
      <c r="RM103" s="41"/>
      <c r="RN103" s="41"/>
      <c r="RO103" s="41"/>
      <c r="RP103" s="41"/>
      <c r="RQ103" s="41"/>
      <c r="RR103" s="41"/>
      <c r="RS103" s="41"/>
      <c r="RT103" s="41"/>
      <c r="RU103" s="41"/>
      <c r="RV103" s="41"/>
      <c r="RW103" s="41"/>
      <c r="RX103" s="41"/>
      <c r="RY103" s="41"/>
      <c r="RZ103" s="41"/>
      <c r="SA103" s="41"/>
      <c r="SB103" s="41"/>
      <c r="SC103" s="41"/>
      <c r="SD103" s="41"/>
      <c r="SE103" s="41"/>
      <c r="SF103" s="41"/>
      <c r="SG103" s="41"/>
      <c r="SH103" s="41"/>
      <c r="SI103" s="41"/>
      <c r="SJ103" s="41"/>
      <c r="SK103" s="41"/>
      <c r="SL103" s="41"/>
      <c r="SM103" s="41"/>
      <c r="SN103" s="41"/>
      <c r="SO103" s="41"/>
      <c r="SP103" s="41"/>
      <c r="SQ103" s="41"/>
      <c r="SR103" s="41"/>
      <c r="SS103" s="41"/>
      <c r="ST103" s="41"/>
      <c r="SU103" s="41"/>
      <c r="SV103" s="41"/>
      <c r="SW103" s="41"/>
      <c r="SX103" s="41"/>
      <c r="SY103" s="41"/>
      <c r="SZ103" s="41"/>
      <c r="TA103" s="41"/>
      <c r="TB103" s="41"/>
      <c r="TC103" s="41"/>
      <c r="TD103" s="41"/>
      <c r="TE103" s="41"/>
      <c r="TF103" s="41"/>
      <c r="TG103" s="41"/>
      <c r="TH103" s="41"/>
      <c r="TI103" s="41"/>
      <c r="TJ103" s="41"/>
      <c r="TK103" s="41"/>
      <c r="TL103" s="41"/>
      <c r="TM103" s="41"/>
      <c r="TN103" s="41"/>
      <c r="TO103" s="41"/>
      <c r="TP103" s="41"/>
      <c r="TQ103" s="41"/>
      <c r="TR103" s="41"/>
      <c r="TS103" s="41"/>
      <c r="TT103" s="41"/>
      <c r="TU103" s="41"/>
      <c r="TV103" s="41"/>
      <c r="TW103" s="41"/>
      <c r="TX103" s="41"/>
      <c r="TY103" s="41"/>
      <c r="TZ103" s="41"/>
      <c r="UA103" s="41"/>
      <c r="UB103" s="41"/>
      <c r="UC103" s="41"/>
      <c r="UD103" s="41"/>
      <c r="UE103" s="41"/>
      <c r="UF103" s="41"/>
      <c r="UG103" s="41"/>
      <c r="UH103" s="41"/>
      <c r="UI103" s="41"/>
      <c r="UJ103" s="41"/>
      <c r="UK103" s="41"/>
      <c r="UL103" s="41"/>
      <c r="UM103" s="41"/>
      <c r="UN103" s="41"/>
      <c r="UO103" s="41"/>
      <c r="UP103" s="41"/>
      <c r="UQ103" s="41"/>
      <c r="UR103" s="41"/>
      <c r="US103" s="41"/>
      <c r="UT103" s="41"/>
      <c r="UU103" s="41"/>
      <c r="UV103" s="41"/>
      <c r="UW103" s="41"/>
      <c r="UX103" s="41"/>
      <c r="UY103" s="41"/>
      <c r="UZ103" s="41"/>
      <c r="VA103" s="41"/>
      <c r="VB103" s="41"/>
      <c r="VC103" s="41"/>
      <c r="VD103" s="41"/>
      <c r="VE103" s="41"/>
      <c r="VF103" s="41"/>
      <c r="VG103" s="41"/>
      <c r="VH103" s="41"/>
      <c r="VI103" s="41"/>
      <c r="VJ103" s="41"/>
      <c r="VK103" s="41"/>
      <c r="VL103" s="41"/>
      <c r="VM103" s="41"/>
      <c r="VN103" s="41"/>
      <c r="VO103" s="41"/>
      <c r="VP103" s="41"/>
      <c r="VQ103" s="41"/>
      <c r="VR103" s="41"/>
      <c r="VS103" s="41"/>
      <c r="VT103" s="41"/>
      <c r="VU103" s="41"/>
      <c r="VV103" s="41"/>
      <c r="VW103" s="41"/>
      <c r="VX103" s="41"/>
      <c r="VY103" s="41"/>
      <c r="VZ103" s="41"/>
      <c r="WA103" s="41"/>
      <c r="WB103" s="41"/>
      <c r="WC103" s="41"/>
      <c r="WD103" s="41"/>
      <c r="WE103" s="41"/>
      <c r="WF103" s="41"/>
      <c r="WG103" s="41"/>
      <c r="WH103" s="41"/>
      <c r="WI103" s="41"/>
      <c r="WJ103" s="41"/>
      <c r="WK103" s="41"/>
      <c r="WL103" s="41"/>
      <c r="WM103" s="41"/>
      <c r="WN103" s="41"/>
      <c r="WO103" s="41"/>
      <c r="WP103" s="41"/>
      <c r="WQ103" s="41"/>
      <c r="WR103" s="41"/>
      <c r="WS103" s="41"/>
      <c r="WT103" s="41"/>
      <c r="WU103" s="41"/>
      <c r="WV103" s="41"/>
      <c r="WW103" s="41"/>
      <c r="WX103" s="41"/>
      <c r="WY103" s="41"/>
      <c r="WZ103" s="41"/>
      <c r="XA103" s="41"/>
      <c r="XB103" s="41"/>
      <c r="XC103" s="41"/>
      <c r="XD103" s="41"/>
      <c r="XE103" s="41"/>
      <c r="XF103" s="41"/>
      <c r="XG103" s="41"/>
      <c r="XH103" s="41"/>
      <c r="XI103" s="41"/>
      <c r="XJ103" s="41"/>
      <c r="XK103" s="41"/>
      <c r="XL103" s="41"/>
      <c r="XM103" s="41"/>
      <c r="XN103" s="41"/>
      <c r="XO103" s="41"/>
      <c r="XP103" s="41"/>
      <c r="XQ103" s="41"/>
      <c r="XR103" s="41"/>
      <c r="XS103" s="41"/>
      <c r="XT103" s="41"/>
      <c r="XU103" s="41"/>
      <c r="XV103" s="41"/>
      <c r="XW103" s="41"/>
      <c r="XX103" s="41"/>
      <c r="XY103" s="41"/>
      <c r="XZ103" s="41"/>
      <c r="YA103" s="41"/>
      <c r="YB103" s="41"/>
      <c r="YC103" s="41"/>
      <c r="YD103" s="41"/>
      <c r="YE103" s="41"/>
      <c r="YF103" s="41"/>
      <c r="YG103" s="41"/>
      <c r="YH103" s="41"/>
      <c r="YI103" s="41"/>
      <c r="YJ103" s="41"/>
      <c r="YK103" s="41"/>
      <c r="YL103" s="41"/>
      <c r="YM103" s="41"/>
      <c r="YN103" s="41"/>
      <c r="YO103" s="41"/>
      <c r="YP103" s="41"/>
      <c r="YQ103" s="41"/>
      <c r="YR103" s="41"/>
      <c r="YS103" s="41"/>
      <c r="YT103" s="41"/>
      <c r="YU103" s="41"/>
      <c r="YV103" s="41"/>
      <c r="YW103" s="41"/>
      <c r="YX103" s="41"/>
      <c r="YY103" s="41"/>
      <c r="YZ103" s="41"/>
      <c r="ZA103" s="41"/>
      <c r="ZB103" s="41"/>
      <c r="ZC103" s="41"/>
      <c r="ZD103" s="41"/>
      <c r="ZE103" s="41"/>
      <c r="ZF103" s="41"/>
      <c r="ZG103" s="41"/>
      <c r="ZH103" s="41"/>
      <c r="ZI103" s="41"/>
      <c r="ZJ103" s="41"/>
      <c r="ZK103" s="41"/>
      <c r="ZL103" s="41"/>
      <c r="ZM103" s="41"/>
      <c r="ZN103" s="41"/>
      <c r="ZO103" s="41"/>
      <c r="ZP103" s="41"/>
      <c r="ZQ103" s="41"/>
      <c r="ZR103" s="41"/>
      <c r="ZS103" s="41"/>
      <c r="ZT103" s="41"/>
      <c r="ZU103" s="41"/>
      <c r="ZV103" s="41"/>
      <c r="ZW103" s="41"/>
      <c r="ZX103" s="41"/>
      <c r="ZY103" s="41"/>
      <c r="ZZ103" s="41"/>
      <c r="AAA103" s="41"/>
      <c r="AAB103" s="41"/>
      <c r="AAC103" s="41"/>
    </row>
    <row r="104" spans="1:705" s="42" customFormat="1" ht="42" hidden="1" x14ac:dyDescent="0.3">
      <c r="A104" s="26">
        <v>100</v>
      </c>
      <c r="B104" s="137">
        <v>239992</v>
      </c>
      <c r="C104" s="138">
        <v>100</v>
      </c>
      <c r="D104" s="139">
        <v>45924</v>
      </c>
      <c r="E104" s="139">
        <f t="shared" ref="E104:E135" si="18">D104-1</f>
        <v>45923</v>
      </c>
      <c r="F104" s="139">
        <f t="shared" si="15"/>
        <v>45934</v>
      </c>
      <c r="G104" s="139">
        <v>46015</v>
      </c>
      <c r="H104" s="139">
        <v>45938</v>
      </c>
      <c r="I104" s="139" t="s">
        <v>123</v>
      </c>
      <c r="J104" s="140" t="s">
        <v>290</v>
      </c>
      <c r="K104" s="141">
        <f t="shared" ref="K104:K135" si="19">H104-F104</f>
        <v>4</v>
      </c>
      <c r="L104" s="142">
        <v>1147134</v>
      </c>
      <c r="M104" s="140" t="s">
        <v>15</v>
      </c>
      <c r="N104" s="140">
        <v>804477</v>
      </c>
      <c r="O104" s="137" t="s">
        <v>246</v>
      </c>
      <c r="P104" s="143">
        <v>45931</v>
      </c>
      <c r="Q104" s="143">
        <v>45946</v>
      </c>
      <c r="R104" s="157" t="s">
        <v>211</v>
      </c>
      <c r="S104" s="144" t="s">
        <v>291</v>
      </c>
      <c r="T104" s="145">
        <v>1</v>
      </c>
      <c r="U104" s="137" t="s">
        <v>81</v>
      </c>
      <c r="V104" s="146">
        <v>25</v>
      </c>
      <c r="W104" s="146">
        <v>25</v>
      </c>
      <c r="X104" s="147"/>
      <c r="Y104" s="146"/>
      <c r="Z104" s="146">
        <v>0</v>
      </c>
      <c r="AA104" s="146">
        <v>0</v>
      </c>
      <c r="AB104" s="146">
        <v>4</v>
      </c>
      <c r="AC104" s="146">
        <v>4</v>
      </c>
      <c r="AD104" s="146">
        <v>0</v>
      </c>
      <c r="AE104" s="146">
        <v>0</v>
      </c>
      <c r="AF104" s="146">
        <v>0</v>
      </c>
      <c r="AG104" s="146">
        <v>0</v>
      </c>
      <c r="AH104" s="146">
        <v>0</v>
      </c>
      <c r="AI104" s="146">
        <v>0</v>
      </c>
      <c r="AJ104" s="146">
        <v>0</v>
      </c>
      <c r="AK104" s="146"/>
      <c r="AL104" s="146">
        <v>0</v>
      </c>
      <c r="AM104" s="146"/>
      <c r="AN104" s="146">
        <v>2</v>
      </c>
      <c r="AO104" s="146">
        <v>2</v>
      </c>
      <c r="AP104" s="146">
        <v>2</v>
      </c>
      <c r="AQ104" s="146">
        <v>2</v>
      </c>
      <c r="AR104" s="146">
        <v>0</v>
      </c>
      <c r="AS104" s="146">
        <v>0</v>
      </c>
      <c r="AT104" s="146">
        <v>1</v>
      </c>
      <c r="AU104" s="146">
        <v>1</v>
      </c>
      <c r="AV104" s="146">
        <v>0</v>
      </c>
      <c r="AW104" s="146">
        <v>0</v>
      </c>
      <c r="AX104" s="146">
        <f t="shared" si="16"/>
        <v>3458</v>
      </c>
      <c r="AY104" s="146">
        <f t="shared" si="17"/>
        <v>3458</v>
      </c>
      <c r="AZ104" s="140" t="s">
        <v>562</v>
      </c>
      <c r="BA104" s="137" t="s">
        <v>562</v>
      </c>
      <c r="BB104" s="137">
        <v>3</v>
      </c>
      <c r="BC104" s="148">
        <v>100</v>
      </c>
      <c r="BD104" s="149"/>
      <c r="BE104" s="145"/>
      <c r="BF104" s="150"/>
      <c r="BG104" s="151">
        <v>45931</v>
      </c>
      <c r="BH104" s="153" t="s">
        <v>535</v>
      </c>
      <c r="BI104" s="153" t="s">
        <v>562</v>
      </c>
      <c r="CC104" s="41"/>
      <c r="CD104" s="41"/>
      <c r="CE104" s="41"/>
      <c r="CF104" s="41"/>
      <c r="CG104" s="41"/>
      <c r="CH104" s="41"/>
      <c r="CI104" s="41"/>
      <c r="CJ104" s="41"/>
      <c r="CK104" s="41"/>
      <c r="CL104" s="41"/>
      <c r="CM104" s="41"/>
      <c r="CN104" s="41"/>
      <c r="CO104" s="41"/>
      <c r="CP104" s="41"/>
      <c r="CQ104" s="41"/>
      <c r="CR104" s="41"/>
      <c r="CS104" s="41"/>
      <c r="CT104" s="41"/>
      <c r="CU104" s="41"/>
      <c r="CV104" s="41"/>
      <c r="CW104" s="41"/>
      <c r="CX104" s="41"/>
      <c r="CY104" s="41"/>
      <c r="CZ104" s="41"/>
      <c r="DA104" s="41"/>
      <c r="DB104" s="41"/>
      <c r="DC104" s="41"/>
      <c r="DD104" s="41"/>
      <c r="DE104" s="41"/>
      <c r="DF104" s="41"/>
      <c r="DG104" s="41"/>
      <c r="DH104" s="41"/>
      <c r="DI104" s="41"/>
      <c r="DJ104" s="41"/>
      <c r="DK104" s="41"/>
      <c r="DL104" s="41"/>
      <c r="DM104" s="41"/>
      <c r="DN104" s="41"/>
      <c r="DO104" s="41"/>
      <c r="DP104" s="41"/>
      <c r="DQ104" s="41"/>
      <c r="DR104" s="41"/>
      <c r="DS104" s="41"/>
      <c r="DT104" s="41"/>
      <c r="DU104" s="41"/>
      <c r="DV104" s="41"/>
      <c r="DW104" s="41"/>
      <c r="DX104" s="41"/>
      <c r="DY104" s="41"/>
      <c r="DZ104" s="41"/>
      <c r="EA104" s="41"/>
      <c r="EB104" s="41"/>
      <c r="EC104" s="41"/>
      <c r="ED104" s="41"/>
      <c r="EE104" s="41"/>
      <c r="EF104" s="41"/>
      <c r="EG104" s="41"/>
      <c r="EH104" s="41"/>
      <c r="EI104" s="41"/>
      <c r="EJ104" s="41"/>
      <c r="EK104" s="41"/>
      <c r="EL104" s="41"/>
      <c r="EM104" s="41"/>
      <c r="EN104" s="41"/>
      <c r="EO104" s="41"/>
      <c r="EP104" s="41"/>
      <c r="EQ104" s="41"/>
      <c r="ER104" s="41"/>
      <c r="ES104" s="41"/>
      <c r="ET104" s="41"/>
      <c r="EU104" s="41"/>
      <c r="EV104" s="41"/>
      <c r="EW104" s="41"/>
      <c r="EX104" s="41"/>
      <c r="EY104" s="41"/>
      <c r="EZ104" s="41"/>
      <c r="FA104" s="41"/>
      <c r="FB104" s="41"/>
      <c r="FC104" s="41"/>
      <c r="FD104" s="41"/>
      <c r="FE104" s="41"/>
      <c r="FF104" s="41"/>
      <c r="FG104" s="41"/>
      <c r="FH104" s="41"/>
      <c r="FI104" s="41"/>
      <c r="FJ104" s="41"/>
      <c r="FK104" s="41"/>
      <c r="FL104" s="41"/>
      <c r="FM104" s="41"/>
      <c r="FN104" s="41"/>
      <c r="FO104" s="41"/>
      <c r="FP104" s="41"/>
      <c r="FQ104" s="41"/>
      <c r="FR104" s="41"/>
      <c r="FS104" s="41"/>
      <c r="FT104" s="41"/>
      <c r="FU104" s="41"/>
      <c r="FV104" s="41"/>
      <c r="FW104" s="41"/>
      <c r="FX104" s="41"/>
      <c r="FY104" s="41"/>
      <c r="FZ104" s="41"/>
      <c r="GA104" s="41"/>
      <c r="GB104" s="41"/>
      <c r="GC104" s="41"/>
      <c r="GD104" s="41"/>
      <c r="GE104" s="41"/>
      <c r="GF104" s="41"/>
      <c r="GG104" s="41"/>
      <c r="GH104" s="41"/>
      <c r="GI104" s="41"/>
      <c r="GJ104" s="41"/>
      <c r="GK104" s="41"/>
      <c r="GL104" s="41"/>
      <c r="GM104" s="41"/>
      <c r="GN104" s="41"/>
      <c r="GO104" s="41"/>
      <c r="GP104" s="41"/>
      <c r="GQ104" s="41"/>
      <c r="GR104" s="41"/>
      <c r="GS104" s="41"/>
      <c r="GT104" s="41"/>
      <c r="GU104" s="41"/>
      <c r="GV104" s="41"/>
      <c r="GW104" s="41"/>
      <c r="GX104" s="41"/>
      <c r="GY104" s="41"/>
      <c r="GZ104" s="41"/>
      <c r="HA104" s="41"/>
      <c r="HB104" s="41"/>
      <c r="HC104" s="41"/>
      <c r="HD104" s="41"/>
      <c r="HE104" s="41"/>
      <c r="HF104" s="41"/>
      <c r="HG104" s="41"/>
      <c r="HH104" s="41"/>
      <c r="HI104" s="41"/>
      <c r="HJ104" s="41"/>
      <c r="HK104" s="41"/>
      <c r="HL104" s="41"/>
      <c r="HM104" s="41"/>
      <c r="HN104" s="41"/>
      <c r="HO104" s="41"/>
      <c r="HP104" s="41"/>
      <c r="HQ104" s="41"/>
      <c r="HR104" s="41"/>
      <c r="HS104" s="41"/>
      <c r="HT104" s="41"/>
      <c r="HU104" s="41"/>
      <c r="HV104" s="41"/>
      <c r="HW104" s="41"/>
      <c r="HX104" s="41"/>
      <c r="HY104" s="41"/>
      <c r="HZ104" s="41"/>
      <c r="IA104" s="41"/>
      <c r="IB104" s="41"/>
      <c r="IC104" s="41"/>
      <c r="ID104" s="41"/>
      <c r="IE104" s="41"/>
      <c r="IF104" s="41"/>
      <c r="IG104" s="41"/>
      <c r="IH104" s="41"/>
      <c r="II104" s="41"/>
      <c r="IJ104" s="41"/>
      <c r="IK104" s="41"/>
      <c r="IL104" s="41"/>
      <c r="IM104" s="41"/>
      <c r="IN104" s="41"/>
      <c r="IO104" s="41"/>
      <c r="IP104" s="41"/>
      <c r="IQ104" s="41"/>
      <c r="IR104" s="41"/>
      <c r="IS104" s="41"/>
      <c r="IT104" s="41"/>
      <c r="IU104" s="41"/>
      <c r="IV104" s="41"/>
      <c r="IW104" s="41"/>
      <c r="IX104" s="41"/>
      <c r="IY104" s="41"/>
      <c r="IZ104" s="41"/>
      <c r="JA104" s="41"/>
      <c r="JB104" s="41"/>
      <c r="JC104" s="41"/>
      <c r="JD104" s="41"/>
      <c r="JE104" s="41"/>
      <c r="JF104" s="41"/>
      <c r="JG104" s="41"/>
      <c r="JH104" s="41"/>
      <c r="JI104" s="41"/>
      <c r="JJ104" s="41"/>
      <c r="JK104" s="41"/>
      <c r="JL104" s="41"/>
      <c r="JM104" s="41"/>
      <c r="JN104" s="41"/>
      <c r="JO104" s="41"/>
      <c r="JP104" s="41"/>
      <c r="JQ104" s="41"/>
      <c r="JR104" s="41"/>
      <c r="JS104" s="41"/>
      <c r="JT104" s="41"/>
      <c r="JU104" s="41"/>
      <c r="JV104" s="41"/>
      <c r="JW104" s="41"/>
      <c r="JX104" s="41"/>
      <c r="JY104" s="41"/>
      <c r="JZ104" s="41"/>
      <c r="KA104" s="41"/>
      <c r="KB104" s="41"/>
      <c r="KC104" s="41"/>
      <c r="KD104" s="41"/>
      <c r="KE104" s="41"/>
      <c r="KF104" s="41"/>
      <c r="KG104" s="41"/>
      <c r="KH104" s="41"/>
      <c r="KI104" s="41"/>
      <c r="KJ104" s="41"/>
      <c r="KK104" s="41"/>
      <c r="KL104" s="41"/>
      <c r="KM104" s="41"/>
      <c r="KN104" s="41"/>
      <c r="KO104" s="41"/>
      <c r="KP104" s="41"/>
      <c r="KQ104" s="41"/>
      <c r="KR104" s="41"/>
      <c r="KS104" s="41"/>
      <c r="KT104" s="41"/>
      <c r="KU104" s="41"/>
      <c r="KV104" s="41"/>
      <c r="KW104" s="41"/>
      <c r="KX104" s="41"/>
      <c r="KY104" s="41"/>
      <c r="KZ104" s="41"/>
      <c r="LA104" s="41"/>
      <c r="LB104" s="41"/>
      <c r="LC104" s="41"/>
      <c r="LD104" s="41"/>
      <c r="LE104" s="41"/>
      <c r="LF104" s="41"/>
      <c r="LG104" s="41"/>
      <c r="LH104" s="41"/>
      <c r="LI104" s="41"/>
      <c r="LJ104" s="41"/>
      <c r="LK104" s="41"/>
      <c r="LL104" s="41"/>
      <c r="LM104" s="41"/>
      <c r="LN104" s="41"/>
      <c r="LO104" s="41"/>
      <c r="LP104" s="41"/>
      <c r="LQ104" s="41"/>
      <c r="LR104" s="41"/>
      <c r="LS104" s="41"/>
      <c r="LT104" s="41"/>
      <c r="LU104" s="41"/>
      <c r="LV104" s="41"/>
      <c r="LW104" s="41"/>
      <c r="LX104" s="41"/>
      <c r="LY104" s="41"/>
      <c r="LZ104" s="41"/>
      <c r="MA104" s="41"/>
      <c r="MB104" s="41"/>
      <c r="MC104" s="41"/>
      <c r="MD104" s="41"/>
      <c r="ME104" s="41"/>
      <c r="MF104" s="41"/>
      <c r="MG104" s="41"/>
      <c r="MH104" s="41"/>
      <c r="MI104" s="41"/>
      <c r="MJ104" s="41"/>
      <c r="MK104" s="41"/>
      <c r="ML104" s="41"/>
      <c r="MM104" s="41"/>
      <c r="MN104" s="41"/>
      <c r="MO104" s="41"/>
      <c r="MP104" s="41"/>
      <c r="MQ104" s="41"/>
      <c r="MR104" s="41"/>
      <c r="MS104" s="41"/>
      <c r="MT104" s="41"/>
      <c r="MU104" s="41"/>
      <c r="MV104" s="41"/>
      <c r="MW104" s="41"/>
      <c r="MX104" s="41"/>
      <c r="MY104" s="41"/>
      <c r="MZ104" s="41"/>
      <c r="NA104" s="41"/>
      <c r="NB104" s="41"/>
      <c r="NC104" s="41"/>
      <c r="ND104" s="41"/>
      <c r="NE104" s="41"/>
      <c r="NF104" s="41"/>
      <c r="NG104" s="41"/>
      <c r="NH104" s="41"/>
      <c r="NI104" s="41"/>
      <c r="NJ104" s="41"/>
      <c r="NK104" s="41"/>
      <c r="NL104" s="41"/>
      <c r="NM104" s="41"/>
      <c r="NN104" s="41"/>
      <c r="NO104" s="41"/>
      <c r="NP104" s="41"/>
      <c r="NQ104" s="41"/>
      <c r="NR104" s="41"/>
      <c r="NS104" s="41"/>
      <c r="NT104" s="41"/>
      <c r="NU104" s="41"/>
      <c r="NV104" s="41"/>
      <c r="NW104" s="41"/>
      <c r="NX104" s="41"/>
      <c r="NY104" s="41"/>
      <c r="NZ104" s="41"/>
      <c r="OA104" s="41"/>
      <c r="OB104" s="41"/>
      <c r="OC104" s="41"/>
      <c r="OD104" s="41"/>
      <c r="OE104" s="41"/>
      <c r="OF104" s="41"/>
      <c r="OG104" s="41"/>
      <c r="OH104" s="41"/>
      <c r="OI104" s="41"/>
      <c r="OJ104" s="41"/>
      <c r="OK104" s="41"/>
      <c r="OL104" s="41"/>
      <c r="OM104" s="41"/>
      <c r="ON104" s="41"/>
      <c r="OO104" s="41"/>
      <c r="OP104" s="41"/>
      <c r="OQ104" s="41"/>
      <c r="OR104" s="41"/>
      <c r="OS104" s="41"/>
      <c r="OT104" s="41"/>
      <c r="OU104" s="41"/>
      <c r="OV104" s="41"/>
      <c r="OW104" s="41"/>
      <c r="OX104" s="41"/>
      <c r="OY104" s="41"/>
      <c r="OZ104" s="41"/>
      <c r="PA104" s="41"/>
      <c r="PB104" s="41"/>
      <c r="PC104" s="41"/>
      <c r="PD104" s="41"/>
      <c r="PE104" s="41"/>
      <c r="PF104" s="41"/>
      <c r="PG104" s="41"/>
      <c r="PH104" s="41"/>
      <c r="PI104" s="41"/>
      <c r="PJ104" s="41"/>
      <c r="PK104" s="41"/>
      <c r="PL104" s="41"/>
      <c r="PM104" s="41"/>
      <c r="PN104" s="41"/>
      <c r="PO104" s="41"/>
      <c r="PP104" s="41"/>
      <c r="PQ104" s="41"/>
      <c r="PR104" s="41"/>
      <c r="PS104" s="41"/>
      <c r="PT104" s="41"/>
      <c r="PU104" s="41"/>
      <c r="PV104" s="41"/>
      <c r="PW104" s="41"/>
      <c r="PX104" s="41"/>
      <c r="PY104" s="41"/>
      <c r="PZ104" s="41"/>
      <c r="QA104" s="41"/>
      <c r="QB104" s="41"/>
      <c r="QC104" s="41"/>
      <c r="QD104" s="41"/>
      <c r="QE104" s="41"/>
      <c r="QF104" s="41"/>
      <c r="QG104" s="41"/>
      <c r="QH104" s="41"/>
      <c r="QI104" s="41"/>
      <c r="QJ104" s="41"/>
      <c r="QK104" s="41"/>
      <c r="QL104" s="41"/>
      <c r="QM104" s="41"/>
      <c r="QN104" s="41"/>
      <c r="QO104" s="41"/>
      <c r="QP104" s="41"/>
      <c r="QQ104" s="41"/>
      <c r="QR104" s="41"/>
      <c r="QS104" s="41"/>
      <c r="QT104" s="41"/>
      <c r="QU104" s="41"/>
      <c r="QV104" s="41"/>
      <c r="QW104" s="41"/>
      <c r="QX104" s="41"/>
      <c r="QY104" s="41"/>
      <c r="QZ104" s="41"/>
      <c r="RA104" s="41"/>
      <c r="RB104" s="41"/>
      <c r="RC104" s="41"/>
      <c r="RD104" s="41"/>
      <c r="RE104" s="41"/>
      <c r="RF104" s="41"/>
      <c r="RG104" s="41"/>
      <c r="RH104" s="41"/>
      <c r="RI104" s="41"/>
      <c r="RJ104" s="41"/>
      <c r="RK104" s="41"/>
      <c r="RL104" s="41"/>
      <c r="RM104" s="41"/>
      <c r="RN104" s="41"/>
      <c r="RO104" s="41"/>
      <c r="RP104" s="41"/>
      <c r="RQ104" s="41"/>
      <c r="RR104" s="41"/>
      <c r="RS104" s="41"/>
      <c r="RT104" s="41"/>
      <c r="RU104" s="41"/>
      <c r="RV104" s="41"/>
      <c r="RW104" s="41"/>
      <c r="RX104" s="41"/>
      <c r="RY104" s="41"/>
      <c r="RZ104" s="41"/>
      <c r="SA104" s="41"/>
      <c r="SB104" s="41"/>
      <c r="SC104" s="41"/>
      <c r="SD104" s="41"/>
      <c r="SE104" s="41"/>
      <c r="SF104" s="41"/>
      <c r="SG104" s="41"/>
      <c r="SH104" s="41"/>
      <c r="SI104" s="41"/>
      <c r="SJ104" s="41"/>
      <c r="SK104" s="41"/>
      <c r="SL104" s="41"/>
      <c r="SM104" s="41"/>
      <c r="SN104" s="41"/>
      <c r="SO104" s="41"/>
      <c r="SP104" s="41"/>
      <c r="SQ104" s="41"/>
      <c r="SR104" s="41"/>
      <c r="SS104" s="41"/>
      <c r="ST104" s="41"/>
      <c r="SU104" s="41"/>
      <c r="SV104" s="41"/>
      <c r="SW104" s="41"/>
      <c r="SX104" s="41"/>
      <c r="SY104" s="41"/>
      <c r="SZ104" s="41"/>
      <c r="TA104" s="41"/>
      <c r="TB104" s="41"/>
      <c r="TC104" s="41"/>
      <c r="TD104" s="41"/>
      <c r="TE104" s="41"/>
      <c r="TF104" s="41"/>
      <c r="TG104" s="41"/>
      <c r="TH104" s="41"/>
      <c r="TI104" s="41"/>
      <c r="TJ104" s="41"/>
      <c r="TK104" s="41"/>
      <c r="TL104" s="41"/>
      <c r="TM104" s="41"/>
      <c r="TN104" s="41"/>
      <c r="TO104" s="41"/>
      <c r="TP104" s="41"/>
      <c r="TQ104" s="41"/>
      <c r="TR104" s="41"/>
      <c r="TS104" s="41"/>
      <c r="TT104" s="41"/>
      <c r="TU104" s="41"/>
      <c r="TV104" s="41"/>
      <c r="TW104" s="41"/>
      <c r="TX104" s="41"/>
      <c r="TY104" s="41"/>
      <c r="TZ104" s="41"/>
      <c r="UA104" s="41"/>
      <c r="UB104" s="41"/>
      <c r="UC104" s="41"/>
      <c r="UD104" s="41"/>
      <c r="UE104" s="41"/>
      <c r="UF104" s="41"/>
      <c r="UG104" s="41"/>
      <c r="UH104" s="41"/>
      <c r="UI104" s="41"/>
      <c r="UJ104" s="41"/>
      <c r="UK104" s="41"/>
      <c r="UL104" s="41"/>
      <c r="UM104" s="41"/>
      <c r="UN104" s="41"/>
      <c r="UO104" s="41"/>
      <c r="UP104" s="41"/>
      <c r="UQ104" s="41"/>
      <c r="UR104" s="41"/>
      <c r="US104" s="41"/>
      <c r="UT104" s="41"/>
      <c r="UU104" s="41"/>
      <c r="UV104" s="41"/>
      <c r="UW104" s="41"/>
      <c r="UX104" s="41"/>
      <c r="UY104" s="41"/>
      <c r="UZ104" s="41"/>
      <c r="VA104" s="41"/>
      <c r="VB104" s="41"/>
      <c r="VC104" s="41"/>
      <c r="VD104" s="41"/>
      <c r="VE104" s="41"/>
      <c r="VF104" s="41"/>
      <c r="VG104" s="41"/>
      <c r="VH104" s="41"/>
      <c r="VI104" s="41"/>
      <c r="VJ104" s="41"/>
      <c r="VK104" s="41"/>
      <c r="VL104" s="41"/>
      <c r="VM104" s="41"/>
      <c r="VN104" s="41"/>
      <c r="VO104" s="41"/>
      <c r="VP104" s="41"/>
      <c r="VQ104" s="41"/>
      <c r="VR104" s="41"/>
      <c r="VS104" s="41"/>
      <c r="VT104" s="41"/>
      <c r="VU104" s="41"/>
      <c r="VV104" s="41"/>
      <c r="VW104" s="41"/>
      <c r="VX104" s="41"/>
      <c r="VY104" s="41"/>
      <c r="VZ104" s="41"/>
      <c r="WA104" s="41"/>
      <c r="WB104" s="41"/>
      <c r="WC104" s="41"/>
      <c r="WD104" s="41"/>
      <c r="WE104" s="41"/>
      <c r="WF104" s="41"/>
      <c r="WG104" s="41"/>
      <c r="WH104" s="41"/>
      <c r="WI104" s="41"/>
      <c r="WJ104" s="41"/>
      <c r="WK104" s="41"/>
      <c r="WL104" s="41"/>
      <c r="WM104" s="41"/>
      <c r="WN104" s="41"/>
      <c r="WO104" s="41"/>
      <c r="WP104" s="41"/>
      <c r="WQ104" s="41"/>
      <c r="WR104" s="41"/>
      <c r="WS104" s="41"/>
      <c r="WT104" s="41"/>
      <c r="WU104" s="41"/>
      <c r="WV104" s="41"/>
      <c r="WW104" s="41"/>
      <c r="WX104" s="41"/>
      <c r="WY104" s="41"/>
      <c r="WZ104" s="41"/>
      <c r="XA104" s="41"/>
      <c r="XB104" s="41"/>
      <c r="XC104" s="41"/>
      <c r="XD104" s="41"/>
      <c r="XE104" s="41"/>
      <c r="XF104" s="41"/>
      <c r="XG104" s="41"/>
      <c r="XH104" s="41"/>
      <c r="XI104" s="41"/>
      <c r="XJ104" s="41"/>
      <c r="XK104" s="41"/>
      <c r="XL104" s="41"/>
      <c r="XM104" s="41"/>
      <c r="XN104" s="41"/>
      <c r="XO104" s="41"/>
      <c r="XP104" s="41"/>
      <c r="XQ104" s="41"/>
      <c r="XR104" s="41"/>
      <c r="XS104" s="41"/>
      <c r="XT104" s="41"/>
      <c r="XU104" s="41"/>
      <c r="XV104" s="41"/>
      <c r="XW104" s="41"/>
      <c r="XX104" s="41"/>
      <c r="XY104" s="41"/>
      <c r="XZ104" s="41"/>
      <c r="YA104" s="41"/>
      <c r="YB104" s="41"/>
      <c r="YC104" s="41"/>
      <c r="YD104" s="41"/>
      <c r="YE104" s="41"/>
      <c r="YF104" s="41"/>
      <c r="YG104" s="41"/>
      <c r="YH104" s="41"/>
      <c r="YI104" s="41"/>
      <c r="YJ104" s="41"/>
      <c r="YK104" s="41"/>
      <c r="YL104" s="41"/>
      <c r="YM104" s="41"/>
      <c r="YN104" s="41"/>
      <c r="YO104" s="41"/>
      <c r="YP104" s="41"/>
      <c r="YQ104" s="41"/>
      <c r="YR104" s="41"/>
      <c r="YS104" s="41"/>
      <c r="YT104" s="41"/>
      <c r="YU104" s="41"/>
      <c r="YV104" s="41"/>
      <c r="YW104" s="41"/>
      <c r="YX104" s="41"/>
      <c r="YY104" s="41"/>
      <c r="YZ104" s="41"/>
      <c r="ZA104" s="41"/>
      <c r="ZB104" s="41"/>
      <c r="ZC104" s="41"/>
      <c r="ZD104" s="41"/>
      <c r="ZE104" s="41"/>
      <c r="ZF104" s="41"/>
      <c r="ZG104" s="41"/>
      <c r="ZH104" s="41"/>
      <c r="ZI104" s="41"/>
      <c r="ZJ104" s="41"/>
      <c r="ZK104" s="41"/>
      <c r="ZL104" s="41"/>
      <c r="ZM104" s="41"/>
      <c r="ZN104" s="41"/>
      <c r="ZO104" s="41"/>
      <c r="ZP104" s="41"/>
      <c r="ZQ104" s="41"/>
      <c r="ZR104" s="41"/>
      <c r="ZS104" s="41"/>
      <c r="ZT104" s="41"/>
      <c r="ZU104" s="41"/>
      <c r="ZV104" s="41"/>
      <c r="ZW104" s="41"/>
      <c r="ZX104" s="41"/>
      <c r="ZY104" s="41"/>
      <c r="ZZ104" s="41"/>
      <c r="AAA104" s="41"/>
      <c r="AAB104" s="41"/>
      <c r="AAC104" s="41"/>
    </row>
    <row r="105" spans="1:705" s="42" customFormat="1" ht="42" hidden="1" x14ac:dyDescent="0.3">
      <c r="A105" s="26">
        <v>101</v>
      </c>
      <c r="B105" s="137">
        <v>239984</v>
      </c>
      <c r="C105" s="138">
        <v>101</v>
      </c>
      <c r="D105" s="139">
        <v>45924</v>
      </c>
      <c r="E105" s="139">
        <f t="shared" si="18"/>
        <v>45923</v>
      </c>
      <c r="F105" s="139">
        <f t="shared" si="15"/>
        <v>45934</v>
      </c>
      <c r="G105" s="139">
        <v>45934</v>
      </c>
      <c r="H105" s="139">
        <v>45939</v>
      </c>
      <c r="I105" s="139" t="s">
        <v>75</v>
      </c>
      <c r="J105" s="140" t="s">
        <v>292</v>
      </c>
      <c r="K105" s="141">
        <f t="shared" si="19"/>
        <v>5</v>
      </c>
      <c r="L105" s="141">
        <v>1147128</v>
      </c>
      <c r="M105" s="140" t="s">
        <v>15</v>
      </c>
      <c r="N105" s="140" t="s">
        <v>458</v>
      </c>
      <c r="O105" s="140" t="s">
        <v>246</v>
      </c>
      <c r="P105" s="143">
        <v>45934</v>
      </c>
      <c r="Q105" s="143">
        <v>45958</v>
      </c>
      <c r="R105" s="157" t="s">
        <v>211</v>
      </c>
      <c r="S105" s="144" t="s">
        <v>293</v>
      </c>
      <c r="T105" s="145">
        <v>1</v>
      </c>
      <c r="U105" s="137" t="s">
        <v>82</v>
      </c>
      <c r="V105" s="146">
        <v>18</v>
      </c>
      <c r="W105" s="146">
        <v>18</v>
      </c>
      <c r="X105" s="147">
        <v>0</v>
      </c>
      <c r="Y105" s="146">
        <v>0</v>
      </c>
      <c r="Z105" s="146">
        <v>0</v>
      </c>
      <c r="AA105" s="146">
        <v>0</v>
      </c>
      <c r="AB105" s="146">
        <v>18</v>
      </c>
      <c r="AC105" s="146">
        <v>18</v>
      </c>
      <c r="AD105" s="146">
        <v>0</v>
      </c>
      <c r="AE105" s="146">
        <v>0</v>
      </c>
      <c r="AF105" s="146">
        <v>0</v>
      </c>
      <c r="AG105" s="146">
        <v>0</v>
      </c>
      <c r="AH105" s="146">
        <v>3</v>
      </c>
      <c r="AI105" s="146">
        <v>3</v>
      </c>
      <c r="AJ105" s="146">
        <v>0</v>
      </c>
      <c r="AK105" s="146">
        <v>0</v>
      </c>
      <c r="AL105" s="146">
        <v>0</v>
      </c>
      <c r="AM105" s="146">
        <v>0</v>
      </c>
      <c r="AN105" s="146">
        <v>3</v>
      </c>
      <c r="AO105" s="146">
        <v>3</v>
      </c>
      <c r="AP105" s="146">
        <v>3</v>
      </c>
      <c r="AQ105" s="146">
        <v>3</v>
      </c>
      <c r="AR105" s="146">
        <v>0</v>
      </c>
      <c r="AS105" s="146">
        <v>0</v>
      </c>
      <c r="AT105" s="146">
        <v>1</v>
      </c>
      <c r="AU105" s="146">
        <v>1</v>
      </c>
      <c r="AV105" s="146">
        <v>0</v>
      </c>
      <c r="AW105" s="146">
        <v>0</v>
      </c>
      <c r="AX105" s="146">
        <f t="shared" si="16"/>
        <v>5036</v>
      </c>
      <c r="AY105" s="146">
        <f t="shared" si="17"/>
        <v>5036</v>
      </c>
      <c r="AZ105" s="140" t="s">
        <v>562</v>
      </c>
      <c r="BA105" s="140" t="s">
        <v>562</v>
      </c>
      <c r="BB105" s="137">
        <v>7</v>
      </c>
      <c r="BC105" s="148">
        <v>101</v>
      </c>
      <c r="BD105" s="149"/>
      <c r="BE105" s="145"/>
      <c r="BF105" s="150"/>
      <c r="BG105" s="151">
        <v>45931</v>
      </c>
      <c r="BH105" s="153" t="s">
        <v>15</v>
      </c>
      <c r="BI105" s="153" t="s">
        <v>562</v>
      </c>
      <c r="CC105" s="41"/>
      <c r="CD105" s="41"/>
      <c r="CE105" s="41"/>
      <c r="CF105" s="41"/>
      <c r="CG105" s="41"/>
      <c r="CH105" s="41"/>
      <c r="CI105" s="41"/>
      <c r="CJ105" s="41"/>
      <c r="CK105" s="41"/>
      <c r="CL105" s="41"/>
      <c r="CM105" s="41"/>
      <c r="CN105" s="41"/>
      <c r="CO105" s="41"/>
      <c r="CP105" s="41"/>
      <c r="CQ105" s="41"/>
      <c r="CR105" s="41"/>
      <c r="CS105" s="41"/>
      <c r="CT105" s="41"/>
      <c r="CU105" s="41"/>
      <c r="CV105" s="41"/>
      <c r="CW105" s="41"/>
      <c r="CX105" s="41"/>
      <c r="CY105" s="41"/>
      <c r="CZ105" s="41"/>
      <c r="DA105" s="41"/>
      <c r="DB105" s="41"/>
      <c r="DC105" s="41"/>
      <c r="DD105" s="41"/>
      <c r="DE105" s="41"/>
      <c r="DF105" s="41"/>
      <c r="DG105" s="41"/>
      <c r="DH105" s="41"/>
      <c r="DI105" s="41"/>
      <c r="DJ105" s="41"/>
      <c r="DK105" s="41"/>
      <c r="DL105" s="41"/>
      <c r="DM105" s="41"/>
      <c r="DN105" s="41"/>
      <c r="DO105" s="41"/>
      <c r="DP105" s="41"/>
      <c r="DQ105" s="41"/>
      <c r="DR105" s="41"/>
      <c r="DS105" s="41"/>
      <c r="DT105" s="41"/>
      <c r="DU105" s="41"/>
      <c r="DV105" s="41"/>
      <c r="DW105" s="41"/>
      <c r="DX105" s="41"/>
      <c r="DY105" s="41"/>
      <c r="DZ105" s="41"/>
      <c r="EA105" s="41"/>
      <c r="EB105" s="41"/>
      <c r="EC105" s="41"/>
      <c r="ED105" s="41"/>
      <c r="EE105" s="41"/>
      <c r="EF105" s="41"/>
      <c r="EG105" s="41"/>
      <c r="EH105" s="41"/>
      <c r="EI105" s="41"/>
      <c r="EJ105" s="41"/>
      <c r="EK105" s="41"/>
      <c r="EL105" s="41"/>
      <c r="EM105" s="41"/>
      <c r="EN105" s="41"/>
      <c r="EO105" s="41"/>
      <c r="EP105" s="41"/>
      <c r="EQ105" s="41"/>
      <c r="ER105" s="41"/>
      <c r="ES105" s="41"/>
      <c r="ET105" s="41"/>
      <c r="EU105" s="41"/>
      <c r="EV105" s="41"/>
      <c r="EW105" s="41"/>
      <c r="EX105" s="41"/>
      <c r="EY105" s="41"/>
      <c r="EZ105" s="41"/>
      <c r="FA105" s="41"/>
      <c r="FB105" s="41"/>
      <c r="FC105" s="41"/>
      <c r="FD105" s="41"/>
      <c r="FE105" s="41"/>
      <c r="FF105" s="41"/>
      <c r="FG105" s="41"/>
      <c r="FH105" s="41"/>
      <c r="FI105" s="41"/>
      <c r="FJ105" s="41"/>
      <c r="FK105" s="41"/>
      <c r="FL105" s="41"/>
      <c r="FM105" s="41"/>
      <c r="FN105" s="41"/>
      <c r="FO105" s="41"/>
      <c r="FP105" s="41"/>
      <c r="FQ105" s="41"/>
      <c r="FR105" s="41"/>
      <c r="FS105" s="41"/>
      <c r="FT105" s="41"/>
      <c r="FU105" s="41"/>
      <c r="FV105" s="41"/>
      <c r="FW105" s="41"/>
      <c r="FX105" s="41"/>
      <c r="FY105" s="41"/>
      <c r="FZ105" s="41"/>
      <c r="GA105" s="41"/>
      <c r="GB105" s="41"/>
      <c r="GC105" s="41"/>
      <c r="GD105" s="41"/>
      <c r="GE105" s="41"/>
      <c r="GF105" s="41"/>
      <c r="GG105" s="41"/>
      <c r="GH105" s="41"/>
      <c r="GI105" s="41"/>
      <c r="GJ105" s="41"/>
      <c r="GK105" s="41"/>
      <c r="GL105" s="41"/>
      <c r="GM105" s="41"/>
      <c r="GN105" s="41"/>
      <c r="GO105" s="41"/>
      <c r="GP105" s="41"/>
      <c r="GQ105" s="41"/>
      <c r="GR105" s="41"/>
      <c r="GS105" s="41"/>
      <c r="GT105" s="41"/>
      <c r="GU105" s="41"/>
      <c r="GV105" s="41"/>
      <c r="GW105" s="41"/>
      <c r="GX105" s="41"/>
      <c r="GY105" s="41"/>
      <c r="GZ105" s="41"/>
      <c r="HA105" s="41"/>
      <c r="HB105" s="41"/>
      <c r="HC105" s="41"/>
      <c r="HD105" s="41"/>
      <c r="HE105" s="41"/>
      <c r="HF105" s="41"/>
      <c r="HG105" s="41"/>
      <c r="HH105" s="41"/>
      <c r="HI105" s="41"/>
      <c r="HJ105" s="41"/>
      <c r="HK105" s="41"/>
      <c r="HL105" s="41"/>
      <c r="HM105" s="41"/>
      <c r="HN105" s="41"/>
      <c r="HO105" s="41"/>
      <c r="HP105" s="41"/>
      <c r="HQ105" s="41"/>
      <c r="HR105" s="41"/>
      <c r="HS105" s="41"/>
      <c r="HT105" s="41"/>
      <c r="HU105" s="41"/>
      <c r="HV105" s="41"/>
      <c r="HW105" s="41"/>
      <c r="HX105" s="41"/>
      <c r="HY105" s="41"/>
      <c r="HZ105" s="41"/>
      <c r="IA105" s="41"/>
      <c r="IB105" s="41"/>
      <c r="IC105" s="41"/>
      <c r="ID105" s="41"/>
      <c r="IE105" s="41"/>
      <c r="IF105" s="41"/>
      <c r="IG105" s="41"/>
      <c r="IH105" s="41"/>
      <c r="II105" s="41"/>
      <c r="IJ105" s="41"/>
      <c r="IK105" s="41"/>
      <c r="IL105" s="41"/>
      <c r="IM105" s="41"/>
      <c r="IN105" s="41"/>
      <c r="IO105" s="41"/>
      <c r="IP105" s="41"/>
      <c r="IQ105" s="41"/>
      <c r="IR105" s="41"/>
      <c r="IS105" s="41"/>
      <c r="IT105" s="41"/>
      <c r="IU105" s="41"/>
      <c r="IV105" s="41"/>
      <c r="IW105" s="41"/>
      <c r="IX105" s="41"/>
      <c r="IY105" s="41"/>
      <c r="IZ105" s="41"/>
      <c r="JA105" s="41"/>
      <c r="JB105" s="41"/>
      <c r="JC105" s="41"/>
      <c r="JD105" s="41"/>
      <c r="JE105" s="41"/>
      <c r="JF105" s="41"/>
      <c r="JG105" s="41"/>
      <c r="JH105" s="41"/>
      <c r="JI105" s="41"/>
      <c r="JJ105" s="41"/>
      <c r="JK105" s="41"/>
      <c r="JL105" s="41"/>
      <c r="JM105" s="41"/>
      <c r="JN105" s="41"/>
      <c r="JO105" s="41"/>
      <c r="JP105" s="41"/>
      <c r="JQ105" s="41"/>
      <c r="JR105" s="41"/>
      <c r="JS105" s="41"/>
      <c r="JT105" s="41"/>
      <c r="JU105" s="41"/>
      <c r="JV105" s="41"/>
      <c r="JW105" s="41"/>
      <c r="JX105" s="41"/>
      <c r="JY105" s="41"/>
      <c r="JZ105" s="41"/>
      <c r="KA105" s="41"/>
      <c r="KB105" s="41"/>
      <c r="KC105" s="41"/>
      <c r="KD105" s="41"/>
      <c r="KE105" s="41"/>
      <c r="KF105" s="41"/>
      <c r="KG105" s="41"/>
      <c r="KH105" s="41"/>
      <c r="KI105" s="41"/>
      <c r="KJ105" s="41"/>
      <c r="KK105" s="41"/>
      <c r="KL105" s="41"/>
      <c r="KM105" s="41"/>
      <c r="KN105" s="41"/>
      <c r="KO105" s="41"/>
      <c r="KP105" s="41"/>
      <c r="KQ105" s="41"/>
      <c r="KR105" s="41"/>
      <c r="KS105" s="41"/>
      <c r="KT105" s="41"/>
      <c r="KU105" s="41"/>
      <c r="KV105" s="41"/>
      <c r="KW105" s="41"/>
      <c r="KX105" s="41"/>
      <c r="KY105" s="41"/>
      <c r="KZ105" s="41"/>
      <c r="LA105" s="41"/>
      <c r="LB105" s="41"/>
      <c r="LC105" s="41"/>
      <c r="LD105" s="41"/>
      <c r="LE105" s="41"/>
      <c r="LF105" s="41"/>
      <c r="LG105" s="41"/>
      <c r="LH105" s="41"/>
      <c r="LI105" s="41"/>
      <c r="LJ105" s="41"/>
      <c r="LK105" s="41"/>
      <c r="LL105" s="41"/>
      <c r="LM105" s="41"/>
      <c r="LN105" s="41"/>
      <c r="LO105" s="41"/>
      <c r="LP105" s="41"/>
      <c r="LQ105" s="41"/>
      <c r="LR105" s="41"/>
      <c r="LS105" s="41"/>
      <c r="LT105" s="41"/>
      <c r="LU105" s="41"/>
      <c r="LV105" s="41"/>
      <c r="LW105" s="41"/>
      <c r="LX105" s="41"/>
      <c r="LY105" s="41"/>
      <c r="LZ105" s="41"/>
      <c r="MA105" s="41"/>
      <c r="MB105" s="41"/>
      <c r="MC105" s="41"/>
      <c r="MD105" s="41"/>
      <c r="ME105" s="41"/>
      <c r="MF105" s="41"/>
      <c r="MG105" s="41"/>
      <c r="MH105" s="41"/>
      <c r="MI105" s="41"/>
      <c r="MJ105" s="41"/>
      <c r="MK105" s="41"/>
      <c r="ML105" s="41"/>
      <c r="MM105" s="41"/>
      <c r="MN105" s="41"/>
      <c r="MO105" s="41"/>
      <c r="MP105" s="41"/>
      <c r="MQ105" s="41"/>
      <c r="MR105" s="41"/>
      <c r="MS105" s="41"/>
      <c r="MT105" s="41"/>
      <c r="MU105" s="41"/>
      <c r="MV105" s="41"/>
      <c r="MW105" s="41"/>
      <c r="MX105" s="41"/>
      <c r="MY105" s="41"/>
      <c r="MZ105" s="41"/>
      <c r="NA105" s="41"/>
      <c r="NB105" s="41"/>
      <c r="NC105" s="41"/>
      <c r="ND105" s="41"/>
      <c r="NE105" s="41"/>
      <c r="NF105" s="41"/>
      <c r="NG105" s="41"/>
      <c r="NH105" s="41"/>
      <c r="NI105" s="41"/>
      <c r="NJ105" s="41"/>
      <c r="NK105" s="41"/>
      <c r="NL105" s="41"/>
      <c r="NM105" s="41"/>
      <c r="NN105" s="41"/>
      <c r="NO105" s="41"/>
      <c r="NP105" s="41"/>
      <c r="NQ105" s="41"/>
      <c r="NR105" s="41"/>
      <c r="NS105" s="41"/>
      <c r="NT105" s="41"/>
      <c r="NU105" s="41"/>
      <c r="NV105" s="41"/>
      <c r="NW105" s="41"/>
      <c r="NX105" s="41"/>
      <c r="NY105" s="41"/>
      <c r="NZ105" s="41"/>
      <c r="OA105" s="41"/>
      <c r="OB105" s="41"/>
      <c r="OC105" s="41"/>
      <c r="OD105" s="41"/>
      <c r="OE105" s="41"/>
      <c r="OF105" s="41"/>
      <c r="OG105" s="41"/>
      <c r="OH105" s="41"/>
      <c r="OI105" s="41"/>
      <c r="OJ105" s="41"/>
      <c r="OK105" s="41"/>
      <c r="OL105" s="41"/>
      <c r="OM105" s="41"/>
      <c r="ON105" s="41"/>
      <c r="OO105" s="41"/>
      <c r="OP105" s="41"/>
      <c r="OQ105" s="41"/>
      <c r="OR105" s="41"/>
      <c r="OS105" s="41"/>
      <c r="OT105" s="41"/>
      <c r="OU105" s="41"/>
      <c r="OV105" s="41"/>
      <c r="OW105" s="41"/>
      <c r="OX105" s="41"/>
      <c r="OY105" s="41"/>
      <c r="OZ105" s="41"/>
      <c r="PA105" s="41"/>
      <c r="PB105" s="41"/>
      <c r="PC105" s="41"/>
      <c r="PD105" s="41"/>
      <c r="PE105" s="41"/>
      <c r="PF105" s="41"/>
      <c r="PG105" s="41"/>
      <c r="PH105" s="41"/>
      <c r="PI105" s="41"/>
      <c r="PJ105" s="41"/>
      <c r="PK105" s="41"/>
      <c r="PL105" s="41"/>
      <c r="PM105" s="41"/>
      <c r="PN105" s="41"/>
      <c r="PO105" s="41"/>
      <c r="PP105" s="41"/>
      <c r="PQ105" s="41"/>
      <c r="PR105" s="41"/>
      <c r="PS105" s="41"/>
      <c r="PT105" s="41"/>
      <c r="PU105" s="41"/>
      <c r="PV105" s="41"/>
      <c r="PW105" s="41"/>
      <c r="PX105" s="41"/>
      <c r="PY105" s="41"/>
      <c r="PZ105" s="41"/>
      <c r="QA105" s="41"/>
      <c r="QB105" s="41"/>
      <c r="QC105" s="41"/>
      <c r="QD105" s="41"/>
      <c r="QE105" s="41"/>
      <c r="QF105" s="41"/>
      <c r="QG105" s="41"/>
      <c r="QH105" s="41"/>
      <c r="QI105" s="41"/>
      <c r="QJ105" s="41"/>
      <c r="QK105" s="41"/>
      <c r="QL105" s="41"/>
      <c r="QM105" s="41"/>
      <c r="QN105" s="41"/>
      <c r="QO105" s="41"/>
      <c r="QP105" s="41"/>
      <c r="QQ105" s="41"/>
      <c r="QR105" s="41"/>
      <c r="QS105" s="41"/>
      <c r="QT105" s="41"/>
      <c r="QU105" s="41"/>
      <c r="QV105" s="41"/>
      <c r="QW105" s="41"/>
      <c r="QX105" s="41"/>
      <c r="QY105" s="41"/>
      <c r="QZ105" s="41"/>
      <c r="RA105" s="41"/>
      <c r="RB105" s="41"/>
      <c r="RC105" s="41"/>
      <c r="RD105" s="41"/>
      <c r="RE105" s="41"/>
      <c r="RF105" s="41"/>
      <c r="RG105" s="41"/>
      <c r="RH105" s="41"/>
      <c r="RI105" s="41"/>
      <c r="RJ105" s="41"/>
      <c r="RK105" s="41"/>
      <c r="RL105" s="41"/>
      <c r="RM105" s="41"/>
      <c r="RN105" s="41"/>
      <c r="RO105" s="41"/>
      <c r="RP105" s="41"/>
      <c r="RQ105" s="41"/>
      <c r="RR105" s="41"/>
      <c r="RS105" s="41"/>
      <c r="RT105" s="41"/>
      <c r="RU105" s="41"/>
      <c r="RV105" s="41"/>
      <c r="RW105" s="41"/>
      <c r="RX105" s="41"/>
      <c r="RY105" s="41"/>
      <c r="RZ105" s="41"/>
      <c r="SA105" s="41"/>
      <c r="SB105" s="41"/>
      <c r="SC105" s="41"/>
      <c r="SD105" s="41"/>
      <c r="SE105" s="41"/>
      <c r="SF105" s="41"/>
      <c r="SG105" s="41"/>
      <c r="SH105" s="41"/>
      <c r="SI105" s="41"/>
      <c r="SJ105" s="41"/>
      <c r="SK105" s="41"/>
      <c r="SL105" s="41"/>
      <c r="SM105" s="41"/>
      <c r="SN105" s="41"/>
      <c r="SO105" s="41"/>
      <c r="SP105" s="41"/>
      <c r="SQ105" s="41"/>
      <c r="SR105" s="41"/>
      <c r="SS105" s="41"/>
      <c r="ST105" s="41"/>
      <c r="SU105" s="41"/>
      <c r="SV105" s="41"/>
      <c r="SW105" s="41"/>
      <c r="SX105" s="41"/>
      <c r="SY105" s="41"/>
      <c r="SZ105" s="41"/>
      <c r="TA105" s="41"/>
      <c r="TB105" s="41"/>
      <c r="TC105" s="41"/>
      <c r="TD105" s="41"/>
      <c r="TE105" s="41"/>
      <c r="TF105" s="41"/>
      <c r="TG105" s="41"/>
      <c r="TH105" s="41"/>
      <c r="TI105" s="41"/>
      <c r="TJ105" s="41"/>
      <c r="TK105" s="41"/>
      <c r="TL105" s="41"/>
      <c r="TM105" s="41"/>
      <c r="TN105" s="41"/>
      <c r="TO105" s="41"/>
      <c r="TP105" s="41"/>
      <c r="TQ105" s="41"/>
      <c r="TR105" s="41"/>
      <c r="TS105" s="41"/>
      <c r="TT105" s="41"/>
      <c r="TU105" s="41"/>
      <c r="TV105" s="41"/>
      <c r="TW105" s="41"/>
      <c r="TX105" s="41"/>
      <c r="TY105" s="41"/>
      <c r="TZ105" s="41"/>
      <c r="UA105" s="41"/>
      <c r="UB105" s="41"/>
      <c r="UC105" s="41"/>
      <c r="UD105" s="41"/>
      <c r="UE105" s="41"/>
      <c r="UF105" s="41"/>
      <c r="UG105" s="41"/>
      <c r="UH105" s="41"/>
      <c r="UI105" s="41"/>
      <c r="UJ105" s="41"/>
      <c r="UK105" s="41"/>
      <c r="UL105" s="41"/>
      <c r="UM105" s="41"/>
      <c r="UN105" s="41"/>
      <c r="UO105" s="41"/>
      <c r="UP105" s="41"/>
      <c r="UQ105" s="41"/>
      <c r="UR105" s="41"/>
      <c r="US105" s="41"/>
      <c r="UT105" s="41"/>
      <c r="UU105" s="41"/>
      <c r="UV105" s="41"/>
      <c r="UW105" s="41"/>
      <c r="UX105" s="41"/>
      <c r="UY105" s="41"/>
      <c r="UZ105" s="41"/>
      <c r="VA105" s="41"/>
      <c r="VB105" s="41"/>
      <c r="VC105" s="41"/>
      <c r="VD105" s="41"/>
      <c r="VE105" s="41"/>
      <c r="VF105" s="41"/>
      <c r="VG105" s="41"/>
      <c r="VH105" s="41"/>
      <c r="VI105" s="41"/>
      <c r="VJ105" s="41"/>
      <c r="VK105" s="41"/>
      <c r="VL105" s="41"/>
      <c r="VM105" s="41"/>
      <c r="VN105" s="41"/>
      <c r="VO105" s="41"/>
      <c r="VP105" s="41"/>
      <c r="VQ105" s="41"/>
      <c r="VR105" s="41"/>
      <c r="VS105" s="41"/>
      <c r="VT105" s="41"/>
      <c r="VU105" s="41"/>
      <c r="VV105" s="41"/>
      <c r="VW105" s="41"/>
      <c r="VX105" s="41"/>
      <c r="VY105" s="41"/>
      <c r="VZ105" s="41"/>
      <c r="WA105" s="41"/>
      <c r="WB105" s="41"/>
      <c r="WC105" s="41"/>
      <c r="WD105" s="41"/>
      <c r="WE105" s="41"/>
      <c r="WF105" s="41"/>
      <c r="WG105" s="41"/>
      <c r="WH105" s="41"/>
      <c r="WI105" s="41"/>
      <c r="WJ105" s="41"/>
      <c r="WK105" s="41"/>
      <c r="WL105" s="41"/>
      <c r="WM105" s="41"/>
      <c r="WN105" s="41"/>
      <c r="WO105" s="41"/>
      <c r="WP105" s="41"/>
      <c r="WQ105" s="41"/>
      <c r="WR105" s="41"/>
      <c r="WS105" s="41"/>
      <c r="WT105" s="41"/>
      <c r="WU105" s="41"/>
      <c r="WV105" s="41"/>
      <c r="WW105" s="41"/>
      <c r="WX105" s="41"/>
      <c r="WY105" s="41"/>
      <c r="WZ105" s="41"/>
      <c r="XA105" s="41"/>
      <c r="XB105" s="41"/>
      <c r="XC105" s="41"/>
      <c r="XD105" s="41"/>
      <c r="XE105" s="41"/>
      <c r="XF105" s="41"/>
      <c r="XG105" s="41"/>
      <c r="XH105" s="41"/>
      <c r="XI105" s="41"/>
      <c r="XJ105" s="41"/>
      <c r="XK105" s="41"/>
      <c r="XL105" s="41"/>
      <c r="XM105" s="41"/>
      <c r="XN105" s="41"/>
      <c r="XO105" s="41"/>
      <c r="XP105" s="41"/>
      <c r="XQ105" s="41"/>
      <c r="XR105" s="41"/>
      <c r="XS105" s="41"/>
      <c r="XT105" s="41"/>
      <c r="XU105" s="41"/>
      <c r="XV105" s="41"/>
      <c r="XW105" s="41"/>
      <c r="XX105" s="41"/>
      <c r="XY105" s="41"/>
      <c r="XZ105" s="41"/>
      <c r="YA105" s="41"/>
      <c r="YB105" s="41"/>
      <c r="YC105" s="41"/>
      <c r="YD105" s="41"/>
      <c r="YE105" s="41"/>
      <c r="YF105" s="41"/>
      <c r="YG105" s="41"/>
      <c r="YH105" s="41"/>
      <c r="YI105" s="41"/>
      <c r="YJ105" s="41"/>
      <c r="YK105" s="41"/>
      <c r="YL105" s="41"/>
      <c r="YM105" s="41"/>
      <c r="YN105" s="41"/>
      <c r="YO105" s="41"/>
      <c r="YP105" s="41"/>
      <c r="YQ105" s="41"/>
      <c r="YR105" s="41"/>
      <c r="YS105" s="41"/>
      <c r="YT105" s="41"/>
      <c r="YU105" s="41"/>
      <c r="YV105" s="41"/>
      <c r="YW105" s="41"/>
      <c r="YX105" s="41"/>
      <c r="YY105" s="41"/>
      <c r="YZ105" s="41"/>
      <c r="ZA105" s="41"/>
      <c r="ZB105" s="41"/>
      <c r="ZC105" s="41"/>
      <c r="ZD105" s="41"/>
      <c r="ZE105" s="41"/>
      <c r="ZF105" s="41"/>
      <c r="ZG105" s="41"/>
      <c r="ZH105" s="41"/>
      <c r="ZI105" s="41"/>
      <c r="ZJ105" s="41"/>
      <c r="ZK105" s="41"/>
      <c r="ZL105" s="41"/>
      <c r="ZM105" s="41"/>
      <c r="ZN105" s="41"/>
      <c r="ZO105" s="41"/>
      <c r="ZP105" s="41"/>
      <c r="ZQ105" s="41"/>
      <c r="ZR105" s="41"/>
      <c r="ZS105" s="41"/>
      <c r="ZT105" s="41"/>
      <c r="ZU105" s="41"/>
      <c r="ZV105" s="41"/>
      <c r="ZW105" s="41"/>
      <c r="ZX105" s="41"/>
      <c r="ZY105" s="41"/>
      <c r="ZZ105" s="41"/>
      <c r="AAA105" s="41"/>
      <c r="AAB105" s="41"/>
      <c r="AAC105" s="41"/>
    </row>
    <row r="106" spans="1:705" s="42" customFormat="1" ht="42" hidden="1" x14ac:dyDescent="0.3">
      <c r="A106" s="26">
        <v>102</v>
      </c>
      <c r="B106" s="137">
        <v>239987</v>
      </c>
      <c r="C106" s="138">
        <v>102</v>
      </c>
      <c r="D106" s="139">
        <v>45924</v>
      </c>
      <c r="E106" s="139">
        <f t="shared" si="18"/>
        <v>45923</v>
      </c>
      <c r="F106" s="139">
        <f t="shared" si="15"/>
        <v>45934</v>
      </c>
      <c r="G106" s="139">
        <v>45934</v>
      </c>
      <c r="H106" s="139">
        <v>45946</v>
      </c>
      <c r="I106" s="139" t="s">
        <v>75</v>
      </c>
      <c r="J106" s="140" t="s">
        <v>294</v>
      </c>
      <c r="K106" s="141">
        <f t="shared" si="19"/>
        <v>12</v>
      </c>
      <c r="L106" s="141">
        <v>1147130</v>
      </c>
      <c r="M106" s="140" t="s">
        <v>15</v>
      </c>
      <c r="N106" s="140">
        <v>804492</v>
      </c>
      <c r="O106" s="140" t="s">
        <v>246</v>
      </c>
      <c r="P106" s="143">
        <v>45934</v>
      </c>
      <c r="Q106" s="143">
        <v>45949</v>
      </c>
      <c r="R106" s="157" t="s">
        <v>211</v>
      </c>
      <c r="S106" s="144" t="s">
        <v>295</v>
      </c>
      <c r="T106" s="145">
        <v>2</v>
      </c>
      <c r="U106" s="137" t="s">
        <v>82</v>
      </c>
      <c r="V106" s="146">
        <v>16</v>
      </c>
      <c r="W106" s="146">
        <v>16</v>
      </c>
      <c r="X106" s="147">
        <v>0</v>
      </c>
      <c r="Y106" s="146">
        <v>0</v>
      </c>
      <c r="Z106" s="146">
        <v>0</v>
      </c>
      <c r="AA106" s="146">
        <v>0</v>
      </c>
      <c r="AB106" s="146">
        <v>0</v>
      </c>
      <c r="AC106" s="146"/>
      <c r="AD106" s="146">
        <v>0</v>
      </c>
      <c r="AE106" s="146">
        <v>0</v>
      </c>
      <c r="AF106" s="146">
        <v>0</v>
      </c>
      <c r="AG106" s="146">
        <v>0</v>
      </c>
      <c r="AH106" s="146">
        <v>2</v>
      </c>
      <c r="AI106" s="146">
        <v>2</v>
      </c>
      <c r="AJ106" s="146">
        <v>0</v>
      </c>
      <c r="AK106" s="146">
        <v>0</v>
      </c>
      <c r="AL106" s="146">
        <v>0</v>
      </c>
      <c r="AM106" s="146">
        <v>0</v>
      </c>
      <c r="AN106" s="146">
        <v>0</v>
      </c>
      <c r="AO106" s="146">
        <v>0</v>
      </c>
      <c r="AP106" s="146">
        <v>2</v>
      </c>
      <c r="AQ106" s="146">
        <v>2</v>
      </c>
      <c r="AR106" s="146">
        <v>0</v>
      </c>
      <c r="AS106" s="146">
        <v>0</v>
      </c>
      <c r="AT106" s="146">
        <v>2</v>
      </c>
      <c r="AU106" s="146">
        <v>2</v>
      </c>
      <c r="AV106" s="146">
        <v>0</v>
      </c>
      <c r="AW106" s="146">
        <v>0</v>
      </c>
      <c r="AX106" s="146">
        <f t="shared" si="16"/>
        <v>3260</v>
      </c>
      <c r="AY106" s="146">
        <f t="shared" si="17"/>
        <v>3260</v>
      </c>
      <c r="AZ106" s="140" t="s">
        <v>562</v>
      </c>
      <c r="BA106" s="137" t="s">
        <v>562</v>
      </c>
      <c r="BB106" s="137">
        <v>2</v>
      </c>
      <c r="BC106" s="148">
        <v>102</v>
      </c>
      <c r="BD106" s="149"/>
      <c r="BE106" s="145"/>
      <c r="BF106" s="150"/>
      <c r="BG106" s="151">
        <v>45931</v>
      </c>
      <c r="BH106" s="153" t="s">
        <v>535</v>
      </c>
      <c r="BI106" s="153" t="s">
        <v>562</v>
      </c>
      <c r="CC106" s="41"/>
      <c r="CD106" s="41"/>
      <c r="CE106" s="41"/>
      <c r="CF106" s="41"/>
      <c r="CG106" s="41"/>
      <c r="CH106" s="41"/>
      <c r="CI106" s="41"/>
      <c r="CJ106" s="41"/>
      <c r="CK106" s="41"/>
      <c r="CL106" s="41"/>
      <c r="CM106" s="41"/>
      <c r="CN106" s="41"/>
      <c r="CO106" s="41"/>
      <c r="CP106" s="41"/>
      <c r="CQ106" s="41"/>
      <c r="CR106" s="41"/>
      <c r="CS106" s="41"/>
      <c r="CT106" s="41"/>
      <c r="CU106" s="41"/>
      <c r="CV106" s="41"/>
      <c r="CW106" s="41"/>
      <c r="CX106" s="41"/>
      <c r="CY106" s="41"/>
      <c r="CZ106" s="41"/>
      <c r="DA106" s="41"/>
      <c r="DB106" s="41"/>
      <c r="DC106" s="41"/>
      <c r="DD106" s="41"/>
      <c r="DE106" s="41"/>
      <c r="DF106" s="41"/>
      <c r="DG106" s="41"/>
      <c r="DH106" s="41"/>
      <c r="DI106" s="41"/>
      <c r="DJ106" s="41"/>
      <c r="DK106" s="41"/>
      <c r="DL106" s="41"/>
      <c r="DM106" s="41"/>
      <c r="DN106" s="41"/>
      <c r="DO106" s="41"/>
      <c r="DP106" s="41"/>
      <c r="DQ106" s="41"/>
      <c r="DR106" s="41"/>
      <c r="DS106" s="41"/>
      <c r="DT106" s="41"/>
      <c r="DU106" s="41"/>
      <c r="DV106" s="41"/>
      <c r="DW106" s="41"/>
      <c r="DX106" s="41"/>
      <c r="DY106" s="41"/>
      <c r="DZ106" s="41"/>
      <c r="EA106" s="41"/>
      <c r="EB106" s="41"/>
      <c r="EC106" s="41"/>
      <c r="ED106" s="41"/>
      <c r="EE106" s="41"/>
      <c r="EF106" s="41"/>
      <c r="EG106" s="41"/>
      <c r="EH106" s="41"/>
      <c r="EI106" s="41"/>
      <c r="EJ106" s="41"/>
      <c r="EK106" s="41"/>
      <c r="EL106" s="41"/>
      <c r="EM106" s="41"/>
      <c r="EN106" s="41"/>
      <c r="EO106" s="41"/>
      <c r="EP106" s="41"/>
      <c r="EQ106" s="41"/>
      <c r="ER106" s="41"/>
      <c r="ES106" s="41"/>
      <c r="ET106" s="41"/>
      <c r="EU106" s="41"/>
      <c r="EV106" s="41"/>
      <c r="EW106" s="41"/>
      <c r="EX106" s="41"/>
      <c r="EY106" s="41"/>
      <c r="EZ106" s="41"/>
      <c r="FA106" s="41"/>
      <c r="FB106" s="41"/>
      <c r="FC106" s="41"/>
      <c r="FD106" s="41"/>
      <c r="FE106" s="41"/>
      <c r="FF106" s="41"/>
      <c r="FG106" s="41"/>
      <c r="FH106" s="41"/>
      <c r="FI106" s="41"/>
      <c r="FJ106" s="41"/>
      <c r="FK106" s="41"/>
      <c r="FL106" s="41"/>
      <c r="FM106" s="41"/>
      <c r="FN106" s="41"/>
      <c r="FO106" s="41"/>
      <c r="FP106" s="41"/>
      <c r="FQ106" s="41"/>
      <c r="FR106" s="41"/>
      <c r="FS106" s="41"/>
      <c r="FT106" s="41"/>
      <c r="FU106" s="41"/>
      <c r="FV106" s="41"/>
      <c r="FW106" s="41"/>
      <c r="FX106" s="41"/>
      <c r="FY106" s="41"/>
      <c r="FZ106" s="41"/>
      <c r="GA106" s="41"/>
      <c r="GB106" s="41"/>
      <c r="GC106" s="41"/>
      <c r="GD106" s="41"/>
      <c r="GE106" s="41"/>
      <c r="GF106" s="41"/>
      <c r="GG106" s="41"/>
      <c r="GH106" s="41"/>
      <c r="GI106" s="41"/>
      <c r="GJ106" s="41"/>
      <c r="GK106" s="41"/>
      <c r="GL106" s="41"/>
      <c r="GM106" s="41"/>
      <c r="GN106" s="41"/>
      <c r="GO106" s="41"/>
      <c r="GP106" s="41"/>
      <c r="GQ106" s="41"/>
      <c r="GR106" s="41"/>
      <c r="GS106" s="41"/>
      <c r="GT106" s="41"/>
      <c r="GU106" s="41"/>
      <c r="GV106" s="41"/>
      <c r="GW106" s="41"/>
      <c r="GX106" s="41"/>
      <c r="GY106" s="41"/>
      <c r="GZ106" s="41"/>
      <c r="HA106" s="41"/>
      <c r="HB106" s="41"/>
      <c r="HC106" s="41"/>
      <c r="HD106" s="41"/>
      <c r="HE106" s="41"/>
      <c r="HF106" s="41"/>
      <c r="HG106" s="41"/>
      <c r="HH106" s="41"/>
      <c r="HI106" s="41"/>
      <c r="HJ106" s="41"/>
      <c r="HK106" s="41"/>
      <c r="HL106" s="41"/>
      <c r="HM106" s="41"/>
      <c r="HN106" s="41"/>
      <c r="HO106" s="41"/>
      <c r="HP106" s="41"/>
      <c r="HQ106" s="41"/>
      <c r="HR106" s="41"/>
      <c r="HS106" s="41"/>
      <c r="HT106" s="41"/>
      <c r="HU106" s="41"/>
      <c r="HV106" s="41"/>
      <c r="HW106" s="41"/>
      <c r="HX106" s="41"/>
      <c r="HY106" s="41"/>
      <c r="HZ106" s="41"/>
      <c r="IA106" s="41"/>
      <c r="IB106" s="41"/>
      <c r="IC106" s="41"/>
      <c r="ID106" s="41"/>
      <c r="IE106" s="41"/>
      <c r="IF106" s="41"/>
      <c r="IG106" s="41"/>
      <c r="IH106" s="41"/>
      <c r="II106" s="41"/>
      <c r="IJ106" s="41"/>
      <c r="IK106" s="41"/>
      <c r="IL106" s="41"/>
      <c r="IM106" s="41"/>
      <c r="IN106" s="41"/>
      <c r="IO106" s="41"/>
      <c r="IP106" s="41"/>
      <c r="IQ106" s="41"/>
      <c r="IR106" s="41"/>
      <c r="IS106" s="41"/>
      <c r="IT106" s="41"/>
      <c r="IU106" s="41"/>
      <c r="IV106" s="41"/>
      <c r="IW106" s="41"/>
      <c r="IX106" s="41"/>
      <c r="IY106" s="41"/>
      <c r="IZ106" s="41"/>
      <c r="JA106" s="41"/>
      <c r="JB106" s="41"/>
      <c r="JC106" s="41"/>
      <c r="JD106" s="41"/>
      <c r="JE106" s="41"/>
      <c r="JF106" s="41"/>
      <c r="JG106" s="41"/>
      <c r="JH106" s="41"/>
      <c r="JI106" s="41"/>
      <c r="JJ106" s="41"/>
      <c r="JK106" s="41"/>
      <c r="JL106" s="41"/>
      <c r="JM106" s="41"/>
      <c r="JN106" s="41"/>
      <c r="JO106" s="41"/>
      <c r="JP106" s="41"/>
      <c r="JQ106" s="41"/>
      <c r="JR106" s="41"/>
      <c r="JS106" s="41"/>
      <c r="JT106" s="41"/>
      <c r="JU106" s="41"/>
      <c r="JV106" s="41"/>
      <c r="JW106" s="41"/>
      <c r="JX106" s="41"/>
      <c r="JY106" s="41"/>
      <c r="JZ106" s="41"/>
      <c r="KA106" s="41"/>
      <c r="KB106" s="41"/>
      <c r="KC106" s="41"/>
      <c r="KD106" s="41"/>
      <c r="KE106" s="41"/>
      <c r="KF106" s="41"/>
      <c r="KG106" s="41"/>
      <c r="KH106" s="41"/>
      <c r="KI106" s="41"/>
      <c r="KJ106" s="41"/>
      <c r="KK106" s="41"/>
      <c r="KL106" s="41"/>
      <c r="KM106" s="41"/>
      <c r="KN106" s="41"/>
      <c r="KO106" s="41"/>
      <c r="KP106" s="41"/>
      <c r="KQ106" s="41"/>
      <c r="KR106" s="41"/>
      <c r="KS106" s="41"/>
      <c r="KT106" s="41"/>
      <c r="KU106" s="41"/>
      <c r="KV106" s="41"/>
      <c r="KW106" s="41"/>
      <c r="KX106" s="41"/>
      <c r="KY106" s="41"/>
      <c r="KZ106" s="41"/>
      <c r="LA106" s="41"/>
      <c r="LB106" s="41"/>
      <c r="LC106" s="41"/>
      <c r="LD106" s="41"/>
      <c r="LE106" s="41"/>
      <c r="LF106" s="41"/>
      <c r="LG106" s="41"/>
      <c r="LH106" s="41"/>
      <c r="LI106" s="41"/>
      <c r="LJ106" s="41"/>
      <c r="LK106" s="41"/>
      <c r="LL106" s="41"/>
      <c r="LM106" s="41"/>
      <c r="LN106" s="41"/>
      <c r="LO106" s="41"/>
      <c r="LP106" s="41"/>
      <c r="LQ106" s="41"/>
      <c r="LR106" s="41"/>
      <c r="LS106" s="41"/>
      <c r="LT106" s="41"/>
      <c r="LU106" s="41"/>
      <c r="LV106" s="41"/>
      <c r="LW106" s="41"/>
      <c r="LX106" s="41"/>
      <c r="LY106" s="41"/>
      <c r="LZ106" s="41"/>
      <c r="MA106" s="41"/>
      <c r="MB106" s="41"/>
      <c r="MC106" s="41"/>
      <c r="MD106" s="41"/>
      <c r="ME106" s="41"/>
      <c r="MF106" s="41"/>
      <c r="MG106" s="41"/>
      <c r="MH106" s="41"/>
      <c r="MI106" s="41"/>
      <c r="MJ106" s="41"/>
      <c r="MK106" s="41"/>
      <c r="ML106" s="41"/>
      <c r="MM106" s="41"/>
      <c r="MN106" s="41"/>
      <c r="MO106" s="41"/>
      <c r="MP106" s="41"/>
      <c r="MQ106" s="41"/>
      <c r="MR106" s="41"/>
      <c r="MS106" s="41"/>
      <c r="MT106" s="41"/>
      <c r="MU106" s="41"/>
      <c r="MV106" s="41"/>
      <c r="MW106" s="41"/>
      <c r="MX106" s="41"/>
      <c r="MY106" s="41"/>
      <c r="MZ106" s="41"/>
      <c r="NA106" s="41"/>
      <c r="NB106" s="41"/>
      <c r="NC106" s="41"/>
      <c r="ND106" s="41"/>
      <c r="NE106" s="41"/>
      <c r="NF106" s="41"/>
      <c r="NG106" s="41"/>
      <c r="NH106" s="41"/>
      <c r="NI106" s="41"/>
      <c r="NJ106" s="41"/>
      <c r="NK106" s="41"/>
      <c r="NL106" s="41"/>
      <c r="NM106" s="41"/>
      <c r="NN106" s="41"/>
      <c r="NO106" s="41"/>
      <c r="NP106" s="41"/>
      <c r="NQ106" s="41"/>
      <c r="NR106" s="41"/>
      <c r="NS106" s="41"/>
      <c r="NT106" s="41"/>
      <c r="NU106" s="41"/>
      <c r="NV106" s="41"/>
      <c r="NW106" s="41"/>
      <c r="NX106" s="41"/>
      <c r="NY106" s="41"/>
      <c r="NZ106" s="41"/>
      <c r="OA106" s="41"/>
      <c r="OB106" s="41"/>
      <c r="OC106" s="41"/>
      <c r="OD106" s="41"/>
      <c r="OE106" s="41"/>
      <c r="OF106" s="41"/>
      <c r="OG106" s="41"/>
      <c r="OH106" s="41"/>
      <c r="OI106" s="41"/>
      <c r="OJ106" s="41"/>
      <c r="OK106" s="41"/>
      <c r="OL106" s="41"/>
      <c r="OM106" s="41"/>
      <c r="ON106" s="41"/>
      <c r="OO106" s="41"/>
      <c r="OP106" s="41"/>
      <c r="OQ106" s="41"/>
      <c r="OR106" s="41"/>
      <c r="OS106" s="41"/>
      <c r="OT106" s="41"/>
      <c r="OU106" s="41"/>
      <c r="OV106" s="41"/>
      <c r="OW106" s="41"/>
      <c r="OX106" s="41"/>
      <c r="OY106" s="41"/>
      <c r="OZ106" s="41"/>
      <c r="PA106" s="41"/>
      <c r="PB106" s="41"/>
      <c r="PC106" s="41"/>
      <c r="PD106" s="41"/>
      <c r="PE106" s="41"/>
      <c r="PF106" s="41"/>
      <c r="PG106" s="41"/>
      <c r="PH106" s="41"/>
      <c r="PI106" s="41"/>
      <c r="PJ106" s="41"/>
      <c r="PK106" s="41"/>
      <c r="PL106" s="41"/>
      <c r="PM106" s="41"/>
      <c r="PN106" s="41"/>
      <c r="PO106" s="41"/>
      <c r="PP106" s="41"/>
      <c r="PQ106" s="41"/>
      <c r="PR106" s="41"/>
      <c r="PS106" s="41"/>
      <c r="PT106" s="41"/>
      <c r="PU106" s="41"/>
      <c r="PV106" s="41"/>
      <c r="PW106" s="41"/>
      <c r="PX106" s="41"/>
      <c r="PY106" s="41"/>
      <c r="PZ106" s="41"/>
      <c r="QA106" s="41"/>
      <c r="QB106" s="41"/>
      <c r="QC106" s="41"/>
      <c r="QD106" s="41"/>
      <c r="QE106" s="41"/>
      <c r="QF106" s="41"/>
      <c r="QG106" s="41"/>
      <c r="QH106" s="41"/>
      <c r="QI106" s="41"/>
      <c r="QJ106" s="41"/>
      <c r="QK106" s="41"/>
      <c r="QL106" s="41"/>
      <c r="QM106" s="41"/>
      <c r="QN106" s="41"/>
      <c r="QO106" s="41"/>
      <c r="QP106" s="41"/>
      <c r="QQ106" s="41"/>
      <c r="QR106" s="41"/>
      <c r="QS106" s="41"/>
      <c r="QT106" s="41"/>
      <c r="QU106" s="41"/>
      <c r="QV106" s="41"/>
      <c r="QW106" s="41"/>
      <c r="QX106" s="41"/>
      <c r="QY106" s="41"/>
      <c r="QZ106" s="41"/>
      <c r="RA106" s="41"/>
      <c r="RB106" s="41"/>
      <c r="RC106" s="41"/>
      <c r="RD106" s="41"/>
      <c r="RE106" s="41"/>
      <c r="RF106" s="41"/>
      <c r="RG106" s="41"/>
      <c r="RH106" s="41"/>
      <c r="RI106" s="41"/>
      <c r="RJ106" s="41"/>
      <c r="RK106" s="41"/>
      <c r="RL106" s="41"/>
      <c r="RM106" s="41"/>
      <c r="RN106" s="41"/>
      <c r="RO106" s="41"/>
      <c r="RP106" s="41"/>
      <c r="RQ106" s="41"/>
      <c r="RR106" s="41"/>
      <c r="RS106" s="41"/>
      <c r="RT106" s="41"/>
      <c r="RU106" s="41"/>
      <c r="RV106" s="41"/>
      <c r="RW106" s="41"/>
      <c r="RX106" s="41"/>
      <c r="RY106" s="41"/>
      <c r="RZ106" s="41"/>
      <c r="SA106" s="41"/>
      <c r="SB106" s="41"/>
      <c r="SC106" s="41"/>
      <c r="SD106" s="41"/>
      <c r="SE106" s="41"/>
      <c r="SF106" s="41"/>
      <c r="SG106" s="41"/>
      <c r="SH106" s="41"/>
      <c r="SI106" s="41"/>
      <c r="SJ106" s="41"/>
      <c r="SK106" s="41"/>
      <c r="SL106" s="41"/>
      <c r="SM106" s="41"/>
      <c r="SN106" s="41"/>
      <c r="SO106" s="41"/>
      <c r="SP106" s="41"/>
      <c r="SQ106" s="41"/>
      <c r="SR106" s="41"/>
      <c r="SS106" s="41"/>
      <c r="ST106" s="41"/>
      <c r="SU106" s="41"/>
      <c r="SV106" s="41"/>
      <c r="SW106" s="41"/>
      <c r="SX106" s="41"/>
      <c r="SY106" s="41"/>
      <c r="SZ106" s="41"/>
      <c r="TA106" s="41"/>
      <c r="TB106" s="41"/>
      <c r="TC106" s="41"/>
      <c r="TD106" s="41"/>
      <c r="TE106" s="41"/>
      <c r="TF106" s="41"/>
      <c r="TG106" s="41"/>
      <c r="TH106" s="41"/>
      <c r="TI106" s="41"/>
      <c r="TJ106" s="41"/>
      <c r="TK106" s="41"/>
      <c r="TL106" s="41"/>
      <c r="TM106" s="41"/>
      <c r="TN106" s="41"/>
      <c r="TO106" s="41"/>
      <c r="TP106" s="41"/>
      <c r="TQ106" s="41"/>
      <c r="TR106" s="41"/>
      <c r="TS106" s="41"/>
      <c r="TT106" s="41"/>
      <c r="TU106" s="41"/>
      <c r="TV106" s="41"/>
      <c r="TW106" s="41"/>
      <c r="TX106" s="41"/>
      <c r="TY106" s="41"/>
      <c r="TZ106" s="41"/>
      <c r="UA106" s="41"/>
      <c r="UB106" s="41"/>
      <c r="UC106" s="41"/>
      <c r="UD106" s="41"/>
      <c r="UE106" s="41"/>
      <c r="UF106" s="41"/>
      <c r="UG106" s="41"/>
      <c r="UH106" s="41"/>
      <c r="UI106" s="41"/>
      <c r="UJ106" s="41"/>
      <c r="UK106" s="41"/>
      <c r="UL106" s="41"/>
      <c r="UM106" s="41"/>
      <c r="UN106" s="41"/>
      <c r="UO106" s="41"/>
      <c r="UP106" s="41"/>
      <c r="UQ106" s="41"/>
      <c r="UR106" s="41"/>
      <c r="US106" s="41"/>
      <c r="UT106" s="41"/>
      <c r="UU106" s="41"/>
      <c r="UV106" s="41"/>
      <c r="UW106" s="41"/>
      <c r="UX106" s="41"/>
      <c r="UY106" s="41"/>
      <c r="UZ106" s="41"/>
      <c r="VA106" s="41"/>
      <c r="VB106" s="41"/>
      <c r="VC106" s="41"/>
      <c r="VD106" s="41"/>
      <c r="VE106" s="41"/>
      <c r="VF106" s="41"/>
      <c r="VG106" s="41"/>
      <c r="VH106" s="41"/>
      <c r="VI106" s="41"/>
      <c r="VJ106" s="41"/>
      <c r="VK106" s="41"/>
      <c r="VL106" s="41"/>
      <c r="VM106" s="41"/>
      <c r="VN106" s="41"/>
      <c r="VO106" s="41"/>
      <c r="VP106" s="41"/>
      <c r="VQ106" s="41"/>
      <c r="VR106" s="41"/>
      <c r="VS106" s="41"/>
      <c r="VT106" s="41"/>
      <c r="VU106" s="41"/>
      <c r="VV106" s="41"/>
      <c r="VW106" s="41"/>
      <c r="VX106" s="41"/>
      <c r="VY106" s="41"/>
      <c r="VZ106" s="41"/>
      <c r="WA106" s="41"/>
      <c r="WB106" s="41"/>
      <c r="WC106" s="41"/>
      <c r="WD106" s="41"/>
      <c r="WE106" s="41"/>
      <c r="WF106" s="41"/>
      <c r="WG106" s="41"/>
      <c r="WH106" s="41"/>
      <c r="WI106" s="41"/>
      <c r="WJ106" s="41"/>
      <c r="WK106" s="41"/>
      <c r="WL106" s="41"/>
      <c r="WM106" s="41"/>
      <c r="WN106" s="41"/>
      <c r="WO106" s="41"/>
      <c r="WP106" s="41"/>
      <c r="WQ106" s="41"/>
      <c r="WR106" s="41"/>
      <c r="WS106" s="41"/>
      <c r="WT106" s="41"/>
      <c r="WU106" s="41"/>
      <c r="WV106" s="41"/>
      <c r="WW106" s="41"/>
      <c r="WX106" s="41"/>
      <c r="WY106" s="41"/>
      <c r="WZ106" s="41"/>
      <c r="XA106" s="41"/>
      <c r="XB106" s="41"/>
      <c r="XC106" s="41"/>
      <c r="XD106" s="41"/>
      <c r="XE106" s="41"/>
      <c r="XF106" s="41"/>
      <c r="XG106" s="41"/>
      <c r="XH106" s="41"/>
      <c r="XI106" s="41"/>
      <c r="XJ106" s="41"/>
      <c r="XK106" s="41"/>
      <c r="XL106" s="41"/>
      <c r="XM106" s="41"/>
      <c r="XN106" s="41"/>
      <c r="XO106" s="41"/>
      <c r="XP106" s="41"/>
      <c r="XQ106" s="41"/>
      <c r="XR106" s="41"/>
      <c r="XS106" s="41"/>
      <c r="XT106" s="41"/>
      <c r="XU106" s="41"/>
      <c r="XV106" s="41"/>
      <c r="XW106" s="41"/>
      <c r="XX106" s="41"/>
      <c r="XY106" s="41"/>
      <c r="XZ106" s="41"/>
      <c r="YA106" s="41"/>
      <c r="YB106" s="41"/>
      <c r="YC106" s="41"/>
      <c r="YD106" s="41"/>
      <c r="YE106" s="41"/>
      <c r="YF106" s="41"/>
      <c r="YG106" s="41"/>
      <c r="YH106" s="41"/>
      <c r="YI106" s="41"/>
      <c r="YJ106" s="41"/>
      <c r="YK106" s="41"/>
      <c r="YL106" s="41"/>
      <c r="YM106" s="41"/>
      <c r="YN106" s="41"/>
      <c r="YO106" s="41"/>
      <c r="YP106" s="41"/>
      <c r="YQ106" s="41"/>
      <c r="YR106" s="41"/>
      <c r="YS106" s="41"/>
      <c r="YT106" s="41"/>
      <c r="YU106" s="41"/>
      <c r="YV106" s="41"/>
      <c r="YW106" s="41"/>
      <c r="YX106" s="41"/>
      <c r="YY106" s="41"/>
      <c r="YZ106" s="41"/>
      <c r="ZA106" s="41"/>
      <c r="ZB106" s="41"/>
      <c r="ZC106" s="41"/>
      <c r="ZD106" s="41"/>
      <c r="ZE106" s="41"/>
      <c r="ZF106" s="41"/>
      <c r="ZG106" s="41"/>
      <c r="ZH106" s="41"/>
      <c r="ZI106" s="41"/>
      <c r="ZJ106" s="41"/>
      <c r="ZK106" s="41"/>
      <c r="ZL106" s="41"/>
      <c r="ZM106" s="41"/>
      <c r="ZN106" s="41"/>
      <c r="ZO106" s="41"/>
      <c r="ZP106" s="41"/>
      <c r="ZQ106" s="41"/>
      <c r="ZR106" s="41"/>
      <c r="ZS106" s="41"/>
      <c r="ZT106" s="41"/>
      <c r="ZU106" s="41"/>
      <c r="ZV106" s="41"/>
      <c r="ZW106" s="41"/>
      <c r="ZX106" s="41"/>
      <c r="ZY106" s="41"/>
      <c r="ZZ106" s="41"/>
      <c r="AAA106" s="41"/>
      <c r="AAB106" s="41"/>
      <c r="AAC106" s="41"/>
    </row>
    <row r="107" spans="1:705" s="42" customFormat="1" ht="42" hidden="1" x14ac:dyDescent="0.3">
      <c r="A107" s="26">
        <v>103</v>
      </c>
      <c r="B107" s="137">
        <v>240001</v>
      </c>
      <c r="C107" s="138">
        <v>103</v>
      </c>
      <c r="D107" s="139">
        <v>45924</v>
      </c>
      <c r="E107" s="139">
        <f t="shared" si="18"/>
        <v>45923</v>
      </c>
      <c r="F107" s="139">
        <f t="shared" si="15"/>
        <v>45934</v>
      </c>
      <c r="G107" s="139">
        <v>45934</v>
      </c>
      <c r="H107" s="139">
        <v>45939</v>
      </c>
      <c r="I107" s="139" t="s">
        <v>75</v>
      </c>
      <c r="J107" s="140" t="s">
        <v>296</v>
      </c>
      <c r="K107" s="141">
        <f t="shared" si="19"/>
        <v>5</v>
      </c>
      <c r="L107" s="141">
        <v>1147149</v>
      </c>
      <c r="M107" s="140" t="s">
        <v>15</v>
      </c>
      <c r="N107" s="140">
        <v>804492</v>
      </c>
      <c r="O107" s="140" t="s">
        <v>246</v>
      </c>
      <c r="P107" s="143">
        <v>45934</v>
      </c>
      <c r="Q107" s="143">
        <v>45949</v>
      </c>
      <c r="R107" s="157" t="s">
        <v>211</v>
      </c>
      <c r="S107" s="144" t="s">
        <v>297</v>
      </c>
      <c r="T107" s="145">
        <v>2</v>
      </c>
      <c r="U107" s="137" t="s">
        <v>82</v>
      </c>
      <c r="V107" s="146">
        <v>11</v>
      </c>
      <c r="W107" s="146">
        <v>11</v>
      </c>
      <c r="X107" s="147">
        <v>0</v>
      </c>
      <c r="Y107" s="146">
        <v>0</v>
      </c>
      <c r="Z107" s="146">
        <v>0</v>
      </c>
      <c r="AA107" s="146">
        <v>0</v>
      </c>
      <c r="AB107" s="146">
        <v>0</v>
      </c>
      <c r="AC107" s="146"/>
      <c r="AD107" s="146">
        <v>0</v>
      </c>
      <c r="AE107" s="146">
        <v>0</v>
      </c>
      <c r="AF107" s="146">
        <v>0</v>
      </c>
      <c r="AG107" s="146">
        <v>0</v>
      </c>
      <c r="AH107" s="146">
        <v>2</v>
      </c>
      <c r="AI107" s="146">
        <v>2</v>
      </c>
      <c r="AJ107" s="146">
        <v>0</v>
      </c>
      <c r="AK107" s="146">
        <v>0</v>
      </c>
      <c r="AL107" s="146">
        <v>0</v>
      </c>
      <c r="AM107" s="146">
        <v>0</v>
      </c>
      <c r="AN107" s="146">
        <v>0</v>
      </c>
      <c r="AO107" s="146">
        <v>0</v>
      </c>
      <c r="AP107" s="146">
        <v>2</v>
      </c>
      <c r="AQ107" s="146">
        <v>2</v>
      </c>
      <c r="AR107" s="146">
        <v>0</v>
      </c>
      <c r="AS107" s="146">
        <v>0</v>
      </c>
      <c r="AT107" s="146">
        <v>2</v>
      </c>
      <c r="AU107" s="146">
        <v>2</v>
      </c>
      <c r="AV107" s="146">
        <v>0</v>
      </c>
      <c r="AW107" s="146">
        <v>0</v>
      </c>
      <c r="AX107" s="146">
        <f t="shared" si="16"/>
        <v>2960</v>
      </c>
      <c r="AY107" s="146">
        <f t="shared" si="17"/>
        <v>2960</v>
      </c>
      <c r="AZ107" s="140" t="s">
        <v>562</v>
      </c>
      <c r="BA107" s="137" t="s">
        <v>562</v>
      </c>
      <c r="BB107" s="137">
        <v>2</v>
      </c>
      <c r="BC107" s="148">
        <v>103</v>
      </c>
      <c r="BD107" s="149"/>
      <c r="BE107" s="145"/>
      <c r="BF107" s="150"/>
      <c r="BG107" s="151">
        <v>45931</v>
      </c>
      <c r="BH107" s="153" t="s">
        <v>535</v>
      </c>
      <c r="BI107" s="153" t="s">
        <v>562</v>
      </c>
      <c r="CC107" s="41"/>
      <c r="CD107" s="41"/>
      <c r="CE107" s="41"/>
      <c r="CF107" s="41"/>
      <c r="CG107" s="41"/>
      <c r="CH107" s="41"/>
      <c r="CI107" s="41"/>
      <c r="CJ107" s="41"/>
      <c r="CK107" s="41"/>
      <c r="CL107" s="41"/>
      <c r="CM107" s="41"/>
      <c r="CN107" s="41"/>
      <c r="CO107" s="41"/>
      <c r="CP107" s="41"/>
      <c r="CQ107" s="41"/>
      <c r="CR107" s="41"/>
      <c r="CS107" s="41"/>
      <c r="CT107" s="41"/>
      <c r="CU107" s="41"/>
      <c r="CV107" s="41"/>
      <c r="CW107" s="41"/>
      <c r="CX107" s="41"/>
      <c r="CY107" s="41"/>
      <c r="CZ107" s="41"/>
      <c r="DA107" s="41"/>
      <c r="DB107" s="41"/>
      <c r="DC107" s="41"/>
      <c r="DD107" s="41"/>
      <c r="DE107" s="41"/>
      <c r="DF107" s="41"/>
      <c r="DG107" s="41"/>
      <c r="DH107" s="41"/>
      <c r="DI107" s="41"/>
      <c r="DJ107" s="41"/>
      <c r="DK107" s="41"/>
      <c r="DL107" s="41"/>
      <c r="DM107" s="41"/>
      <c r="DN107" s="41"/>
      <c r="DO107" s="41"/>
      <c r="DP107" s="41"/>
      <c r="DQ107" s="41"/>
      <c r="DR107" s="41"/>
      <c r="DS107" s="41"/>
      <c r="DT107" s="41"/>
      <c r="DU107" s="41"/>
      <c r="DV107" s="41"/>
      <c r="DW107" s="41"/>
      <c r="DX107" s="41"/>
      <c r="DY107" s="41"/>
      <c r="DZ107" s="41"/>
      <c r="EA107" s="41"/>
      <c r="EB107" s="41"/>
      <c r="EC107" s="41"/>
      <c r="ED107" s="41"/>
      <c r="EE107" s="41"/>
      <c r="EF107" s="41"/>
      <c r="EG107" s="41"/>
      <c r="EH107" s="41"/>
      <c r="EI107" s="41"/>
      <c r="EJ107" s="41"/>
      <c r="EK107" s="41"/>
      <c r="EL107" s="41"/>
      <c r="EM107" s="41"/>
      <c r="EN107" s="41"/>
      <c r="EO107" s="41"/>
      <c r="EP107" s="41"/>
      <c r="EQ107" s="41"/>
      <c r="ER107" s="41"/>
      <c r="ES107" s="41"/>
      <c r="ET107" s="41"/>
      <c r="EU107" s="41"/>
      <c r="EV107" s="41"/>
      <c r="EW107" s="41"/>
      <c r="EX107" s="41"/>
      <c r="EY107" s="41"/>
      <c r="EZ107" s="41"/>
      <c r="FA107" s="41"/>
      <c r="FB107" s="41"/>
      <c r="FC107" s="41"/>
      <c r="FD107" s="41"/>
      <c r="FE107" s="41"/>
      <c r="FF107" s="41"/>
      <c r="FG107" s="41"/>
      <c r="FH107" s="41"/>
      <c r="FI107" s="41"/>
      <c r="FJ107" s="41"/>
      <c r="FK107" s="41"/>
      <c r="FL107" s="41"/>
      <c r="FM107" s="41"/>
      <c r="FN107" s="41"/>
      <c r="FO107" s="41"/>
      <c r="FP107" s="41"/>
      <c r="FQ107" s="41"/>
      <c r="FR107" s="41"/>
      <c r="FS107" s="41"/>
      <c r="FT107" s="41"/>
      <c r="FU107" s="41"/>
      <c r="FV107" s="41"/>
      <c r="FW107" s="41"/>
      <c r="FX107" s="41"/>
      <c r="FY107" s="41"/>
      <c r="FZ107" s="41"/>
      <c r="GA107" s="41"/>
      <c r="GB107" s="41"/>
      <c r="GC107" s="41"/>
      <c r="GD107" s="41"/>
      <c r="GE107" s="41"/>
      <c r="GF107" s="41"/>
      <c r="GG107" s="41"/>
      <c r="GH107" s="41"/>
      <c r="GI107" s="41"/>
      <c r="GJ107" s="41"/>
      <c r="GK107" s="41"/>
      <c r="GL107" s="41"/>
      <c r="GM107" s="41"/>
      <c r="GN107" s="41"/>
      <c r="GO107" s="41"/>
      <c r="GP107" s="41"/>
      <c r="GQ107" s="41"/>
      <c r="GR107" s="41"/>
      <c r="GS107" s="41"/>
      <c r="GT107" s="41"/>
      <c r="GU107" s="41"/>
      <c r="GV107" s="41"/>
      <c r="GW107" s="41"/>
      <c r="GX107" s="41"/>
      <c r="GY107" s="41"/>
      <c r="GZ107" s="41"/>
      <c r="HA107" s="41"/>
      <c r="HB107" s="41"/>
      <c r="HC107" s="41"/>
      <c r="HD107" s="41"/>
      <c r="HE107" s="41"/>
      <c r="HF107" s="41"/>
      <c r="HG107" s="41"/>
      <c r="HH107" s="41"/>
      <c r="HI107" s="41"/>
      <c r="HJ107" s="41"/>
      <c r="HK107" s="41"/>
      <c r="HL107" s="41"/>
      <c r="HM107" s="41"/>
      <c r="HN107" s="41"/>
      <c r="HO107" s="41"/>
      <c r="HP107" s="41"/>
      <c r="HQ107" s="41"/>
      <c r="HR107" s="41"/>
      <c r="HS107" s="41"/>
      <c r="HT107" s="41"/>
      <c r="HU107" s="41"/>
      <c r="HV107" s="41"/>
      <c r="HW107" s="41"/>
      <c r="HX107" s="41"/>
      <c r="HY107" s="41"/>
      <c r="HZ107" s="41"/>
      <c r="IA107" s="41"/>
      <c r="IB107" s="41"/>
      <c r="IC107" s="41"/>
      <c r="ID107" s="41"/>
      <c r="IE107" s="41"/>
      <c r="IF107" s="41"/>
      <c r="IG107" s="41"/>
      <c r="IH107" s="41"/>
      <c r="II107" s="41"/>
      <c r="IJ107" s="41"/>
      <c r="IK107" s="41"/>
      <c r="IL107" s="41"/>
      <c r="IM107" s="41"/>
      <c r="IN107" s="41"/>
      <c r="IO107" s="41"/>
      <c r="IP107" s="41"/>
      <c r="IQ107" s="41"/>
      <c r="IR107" s="41"/>
      <c r="IS107" s="41"/>
      <c r="IT107" s="41"/>
      <c r="IU107" s="41"/>
      <c r="IV107" s="41"/>
      <c r="IW107" s="41"/>
      <c r="IX107" s="41"/>
      <c r="IY107" s="41"/>
      <c r="IZ107" s="41"/>
      <c r="JA107" s="41"/>
      <c r="JB107" s="41"/>
      <c r="JC107" s="41"/>
      <c r="JD107" s="41"/>
      <c r="JE107" s="41"/>
      <c r="JF107" s="41"/>
      <c r="JG107" s="41"/>
      <c r="JH107" s="41"/>
      <c r="JI107" s="41"/>
      <c r="JJ107" s="41"/>
      <c r="JK107" s="41"/>
      <c r="JL107" s="41"/>
      <c r="JM107" s="41"/>
      <c r="JN107" s="41"/>
      <c r="JO107" s="41"/>
      <c r="JP107" s="41"/>
      <c r="JQ107" s="41"/>
      <c r="JR107" s="41"/>
      <c r="JS107" s="41"/>
      <c r="JT107" s="41"/>
      <c r="JU107" s="41"/>
      <c r="JV107" s="41"/>
      <c r="JW107" s="41"/>
      <c r="JX107" s="41"/>
      <c r="JY107" s="41"/>
      <c r="JZ107" s="41"/>
      <c r="KA107" s="41"/>
      <c r="KB107" s="41"/>
      <c r="KC107" s="41"/>
      <c r="KD107" s="41"/>
      <c r="KE107" s="41"/>
      <c r="KF107" s="41"/>
      <c r="KG107" s="41"/>
      <c r="KH107" s="41"/>
      <c r="KI107" s="41"/>
      <c r="KJ107" s="41"/>
      <c r="KK107" s="41"/>
      <c r="KL107" s="41"/>
      <c r="KM107" s="41"/>
      <c r="KN107" s="41"/>
      <c r="KO107" s="41"/>
      <c r="KP107" s="41"/>
      <c r="KQ107" s="41"/>
      <c r="KR107" s="41"/>
      <c r="KS107" s="41"/>
      <c r="KT107" s="41"/>
      <c r="KU107" s="41"/>
      <c r="KV107" s="41"/>
      <c r="KW107" s="41"/>
      <c r="KX107" s="41"/>
      <c r="KY107" s="41"/>
      <c r="KZ107" s="41"/>
      <c r="LA107" s="41"/>
      <c r="LB107" s="41"/>
      <c r="LC107" s="41"/>
      <c r="LD107" s="41"/>
      <c r="LE107" s="41"/>
      <c r="LF107" s="41"/>
      <c r="LG107" s="41"/>
      <c r="LH107" s="41"/>
      <c r="LI107" s="41"/>
      <c r="LJ107" s="41"/>
      <c r="LK107" s="41"/>
      <c r="LL107" s="41"/>
      <c r="LM107" s="41"/>
      <c r="LN107" s="41"/>
      <c r="LO107" s="41"/>
      <c r="LP107" s="41"/>
      <c r="LQ107" s="41"/>
      <c r="LR107" s="41"/>
      <c r="LS107" s="41"/>
      <c r="LT107" s="41"/>
      <c r="LU107" s="41"/>
      <c r="LV107" s="41"/>
      <c r="LW107" s="41"/>
      <c r="LX107" s="41"/>
      <c r="LY107" s="41"/>
      <c r="LZ107" s="41"/>
      <c r="MA107" s="41"/>
      <c r="MB107" s="41"/>
      <c r="MC107" s="41"/>
      <c r="MD107" s="41"/>
      <c r="ME107" s="41"/>
      <c r="MF107" s="41"/>
      <c r="MG107" s="41"/>
      <c r="MH107" s="41"/>
      <c r="MI107" s="41"/>
      <c r="MJ107" s="41"/>
      <c r="MK107" s="41"/>
      <c r="ML107" s="41"/>
      <c r="MM107" s="41"/>
      <c r="MN107" s="41"/>
      <c r="MO107" s="41"/>
      <c r="MP107" s="41"/>
      <c r="MQ107" s="41"/>
      <c r="MR107" s="41"/>
      <c r="MS107" s="41"/>
      <c r="MT107" s="41"/>
      <c r="MU107" s="41"/>
      <c r="MV107" s="41"/>
      <c r="MW107" s="41"/>
      <c r="MX107" s="41"/>
      <c r="MY107" s="41"/>
      <c r="MZ107" s="41"/>
      <c r="NA107" s="41"/>
      <c r="NB107" s="41"/>
      <c r="NC107" s="41"/>
      <c r="ND107" s="41"/>
      <c r="NE107" s="41"/>
      <c r="NF107" s="41"/>
      <c r="NG107" s="41"/>
      <c r="NH107" s="41"/>
      <c r="NI107" s="41"/>
      <c r="NJ107" s="41"/>
      <c r="NK107" s="41"/>
      <c r="NL107" s="41"/>
      <c r="NM107" s="41"/>
      <c r="NN107" s="41"/>
      <c r="NO107" s="41"/>
      <c r="NP107" s="41"/>
      <c r="NQ107" s="41"/>
      <c r="NR107" s="41"/>
      <c r="NS107" s="41"/>
      <c r="NT107" s="41"/>
      <c r="NU107" s="41"/>
      <c r="NV107" s="41"/>
      <c r="NW107" s="41"/>
      <c r="NX107" s="41"/>
      <c r="NY107" s="41"/>
      <c r="NZ107" s="41"/>
      <c r="OA107" s="41"/>
      <c r="OB107" s="41"/>
      <c r="OC107" s="41"/>
      <c r="OD107" s="41"/>
      <c r="OE107" s="41"/>
      <c r="OF107" s="41"/>
      <c r="OG107" s="41"/>
      <c r="OH107" s="41"/>
      <c r="OI107" s="41"/>
      <c r="OJ107" s="41"/>
      <c r="OK107" s="41"/>
      <c r="OL107" s="41"/>
      <c r="OM107" s="41"/>
      <c r="ON107" s="41"/>
      <c r="OO107" s="41"/>
      <c r="OP107" s="41"/>
      <c r="OQ107" s="41"/>
      <c r="OR107" s="41"/>
      <c r="OS107" s="41"/>
      <c r="OT107" s="41"/>
      <c r="OU107" s="41"/>
      <c r="OV107" s="41"/>
      <c r="OW107" s="41"/>
      <c r="OX107" s="41"/>
      <c r="OY107" s="41"/>
      <c r="OZ107" s="41"/>
      <c r="PA107" s="41"/>
      <c r="PB107" s="41"/>
      <c r="PC107" s="41"/>
      <c r="PD107" s="41"/>
      <c r="PE107" s="41"/>
      <c r="PF107" s="41"/>
      <c r="PG107" s="41"/>
      <c r="PH107" s="41"/>
      <c r="PI107" s="41"/>
      <c r="PJ107" s="41"/>
      <c r="PK107" s="41"/>
      <c r="PL107" s="41"/>
      <c r="PM107" s="41"/>
      <c r="PN107" s="41"/>
      <c r="PO107" s="41"/>
      <c r="PP107" s="41"/>
      <c r="PQ107" s="41"/>
      <c r="PR107" s="41"/>
      <c r="PS107" s="41"/>
      <c r="PT107" s="41"/>
      <c r="PU107" s="41"/>
      <c r="PV107" s="41"/>
      <c r="PW107" s="41"/>
      <c r="PX107" s="41"/>
      <c r="PY107" s="41"/>
      <c r="PZ107" s="41"/>
      <c r="QA107" s="41"/>
      <c r="QB107" s="41"/>
      <c r="QC107" s="41"/>
      <c r="QD107" s="41"/>
      <c r="QE107" s="41"/>
      <c r="QF107" s="41"/>
      <c r="QG107" s="41"/>
      <c r="QH107" s="41"/>
      <c r="QI107" s="41"/>
      <c r="QJ107" s="41"/>
      <c r="QK107" s="41"/>
      <c r="QL107" s="41"/>
      <c r="QM107" s="41"/>
      <c r="QN107" s="41"/>
      <c r="QO107" s="41"/>
      <c r="QP107" s="41"/>
      <c r="QQ107" s="41"/>
      <c r="QR107" s="41"/>
      <c r="QS107" s="41"/>
      <c r="QT107" s="41"/>
      <c r="QU107" s="41"/>
      <c r="QV107" s="41"/>
      <c r="QW107" s="41"/>
      <c r="QX107" s="41"/>
      <c r="QY107" s="41"/>
      <c r="QZ107" s="41"/>
      <c r="RA107" s="41"/>
      <c r="RB107" s="41"/>
      <c r="RC107" s="41"/>
      <c r="RD107" s="41"/>
      <c r="RE107" s="41"/>
      <c r="RF107" s="41"/>
      <c r="RG107" s="41"/>
      <c r="RH107" s="41"/>
      <c r="RI107" s="41"/>
      <c r="RJ107" s="41"/>
      <c r="RK107" s="41"/>
      <c r="RL107" s="41"/>
      <c r="RM107" s="41"/>
      <c r="RN107" s="41"/>
      <c r="RO107" s="41"/>
      <c r="RP107" s="41"/>
      <c r="RQ107" s="41"/>
      <c r="RR107" s="41"/>
      <c r="RS107" s="41"/>
      <c r="RT107" s="41"/>
      <c r="RU107" s="41"/>
      <c r="RV107" s="41"/>
      <c r="RW107" s="41"/>
      <c r="RX107" s="41"/>
      <c r="RY107" s="41"/>
      <c r="RZ107" s="41"/>
      <c r="SA107" s="41"/>
      <c r="SB107" s="41"/>
      <c r="SC107" s="41"/>
      <c r="SD107" s="41"/>
      <c r="SE107" s="41"/>
      <c r="SF107" s="41"/>
      <c r="SG107" s="41"/>
      <c r="SH107" s="41"/>
      <c r="SI107" s="41"/>
      <c r="SJ107" s="41"/>
      <c r="SK107" s="41"/>
      <c r="SL107" s="41"/>
      <c r="SM107" s="41"/>
      <c r="SN107" s="41"/>
      <c r="SO107" s="41"/>
      <c r="SP107" s="41"/>
      <c r="SQ107" s="41"/>
      <c r="SR107" s="41"/>
      <c r="SS107" s="41"/>
      <c r="ST107" s="41"/>
      <c r="SU107" s="41"/>
      <c r="SV107" s="41"/>
      <c r="SW107" s="41"/>
      <c r="SX107" s="41"/>
      <c r="SY107" s="41"/>
      <c r="SZ107" s="41"/>
      <c r="TA107" s="41"/>
      <c r="TB107" s="41"/>
      <c r="TC107" s="41"/>
      <c r="TD107" s="41"/>
      <c r="TE107" s="41"/>
      <c r="TF107" s="41"/>
      <c r="TG107" s="41"/>
      <c r="TH107" s="41"/>
      <c r="TI107" s="41"/>
      <c r="TJ107" s="41"/>
      <c r="TK107" s="41"/>
      <c r="TL107" s="41"/>
      <c r="TM107" s="41"/>
      <c r="TN107" s="41"/>
      <c r="TO107" s="41"/>
      <c r="TP107" s="41"/>
      <c r="TQ107" s="41"/>
      <c r="TR107" s="41"/>
      <c r="TS107" s="41"/>
      <c r="TT107" s="41"/>
      <c r="TU107" s="41"/>
      <c r="TV107" s="41"/>
      <c r="TW107" s="41"/>
      <c r="TX107" s="41"/>
      <c r="TY107" s="41"/>
      <c r="TZ107" s="41"/>
      <c r="UA107" s="41"/>
      <c r="UB107" s="41"/>
      <c r="UC107" s="41"/>
      <c r="UD107" s="41"/>
      <c r="UE107" s="41"/>
      <c r="UF107" s="41"/>
      <c r="UG107" s="41"/>
      <c r="UH107" s="41"/>
      <c r="UI107" s="41"/>
      <c r="UJ107" s="41"/>
      <c r="UK107" s="41"/>
      <c r="UL107" s="41"/>
      <c r="UM107" s="41"/>
      <c r="UN107" s="41"/>
      <c r="UO107" s="41"/>
      <c r="UP107" s="41"/>
      <c r="UQ107" s="41"/>
      <c r="UR107" s="41"/>
      <c r="US107" s="41"/>
      <c r="UT107" s="41"/>
      <c r="UU107" s="41"/>
      <c r="UV107" s="41"/>
      <c r="UW107" s="41"/>
      <c r="UX107" s="41"/>
      <c r="UY107" s="41"/>
      <c r="UZ107" s="41"/>
      <c r="VA107" s="41"/>
      <c r="VB107" s="41"/>
      <c r="VC107" s="41"/>
      <c r="VD107" s="41"/>
      <c r="VE107" s="41"/>
      <c r="VF107" s="41"/>
      <c r="VG107" s="41"/>
      <c r="VH107" s="41"/>
      <c r="VI107" s="41"/>
      <c r="VJ107" s="41"/>
      <c r="VK107" s="41"/>
      <c r="VL107" s="41"/>
      <c r="VM107" s="41"/>
      <c r="VN107" s="41"/>
      <c r="VO107" s="41"/>
      <c r="VP107" s="41"/>
      <c r="VQ107" s="41"/>
      <c r="VR107" s="41"/>
      <c r="VS107" s="41"/>
      <c r="VT107" s="41"/>
      <c r="VU107" s="41"/>
      <c r="VV107" s="41"/>
      <c r="VW107" s="41"/>
      <c r="VX107" s="41"/>
      <c r="VY107" s="41"/>
      <c r="VZ107" s="41"/>
      <c r="WA107" s="41"/>
      <c r="WB107" s="41"/>
      <c r="WC107" s="41"/>
      <c r="WD107" s="41"/>
      <c r="WE107" s="41"/>
      <c r="WF107" s="41"/>
      <c r="WG107" s="41"/>
      <c r="WH107" s="41"/>
      <c r="WI107" s="41"/>
      <c r="WJ107" s="41"/>
      <c r="WK107" s="41"/>
      <c r="WL107" s="41"/>
      <c r="WM107" s="41"/>
      <c r="WN107" s="41"/>
      <c r="WO107" s="41"/>
      <c r="WP107" s="41"/>
      <c r="WQ107" s="41"/>
      <c r="WR107" s="41"/>
      <c r="WS107" s="41"/>
      <c r="WT107" s="41"/>
      <c r="WU107" s="41"/>
      <c r="WV107" s="41"/>
      <c r="WW107" s="41"/>
      <c r="WX107" s="41"/>
      <c r="WY107" s="41"/>
      <c r="WZ107" s="41"/>
      <c r="XA107" s="41"/>
      <c r="XB107" s="41"/>
      <c r="XC107" s="41"/>
      <c r="XD107" s="41"/>
      <c r="XE107" s="41"/>
      <c r="XF107" s="41"/>
      <c r="XG107" s="41"/>
      <c r="XH107" s="41"/>
      <c r="XI107" s="41"/>
      <c r="XJ107" s="41"/>
      <c r="XK107" s="41"/>
      <c r="XL107" s="41"/>
      <c r="XM107" s="41"/>
      <c r="XN107" s="41"/>
      <c r="XO107" s="41"/>
      <c r="XP107" s="41"/>
      <c r="XQ107" s="41"/>
      <c r="XR107" s="41"/>
      <c r="XS107" s="41"/>
      <c r="XT107" s="41"/>
      <c r="XU107" s="41"/>
      <c r="XV107" s="41"/>
      <c r="XW107" s="41"/>
      <c r="XX107" s="41"/>
      <c r="XY107" s="41"/>
      <c r="XZ107" s="41"/>
      <c r="YA107" s="41"/>
      <c r="YB107" s="41"/>
      <c r="YC107" s="41"/>
      <c r="YD107" s="41"/>
      <c r="YE107" s="41"/>
      <c r="YF107" s="41"/>
      <c r="YG107" s="41"/>
      <c r="YH107" s="41"/>
      <c r="YI107" s="41"/>
      <c r="YJ107" s="41"/>
      <c r="YK107" s="41"/>
      <c r="YL107" s="41"/>
      <c r="YM107" s="41"/>
      <c r="YN107" s="41"/>
      <c r="YO107" s="41"/>
      <c r="YP107" s="41"/>
      <c r="YQ107" s="41"/>
      <c r="YR107" s="41"/>
      <c r="YS107" s="41"/>
      <c r="YT107" s="41"/>
      <c r="YU107" s="41"/>
      <c r="YV107" s="41"/>
      <c r="YW107" s="41"/>
      <c r="YX107" s="41"/>
      <c r="YY107" s="41"/>
      <c r="YZ107" s="41"/>
      <c r="ZA107" s="41"/>
      <c r="ZB107" s="41"/>
      <c r="ZC107" s="41"/>
      <c r="ZD107" s="41"/>
      <c r="ZE107" s="41"/>
      <c r="ZF107" s="41"/>
      <c r="ZG107" s="41"/>
      <c r="ZH107" s="41"/>
      <c r="ZI107" s="41"/>
      <c r="ZJ107" s="41"/>
      <c r="ZK107" s="41"/>
      <c r="ZL107" s="41"/>
      <c r="ZM107" s="41"/>
      <c r="ZN107" s="41"/>
      <c r="ZO107" s="41"/>
      <c r="ZP107" s="41"/>
      <c r="ZQ107" s="41"/>
      <c r="ZR107" s="41"/>
      <c r="ZS107" s="41"/>
      <c r="ZT107" s="41"/>
      <c r="ZU107" s="41"/>
      <c r="ZV107" s="41"/>
      <c r="ZW107" s="41"/>
      <c r="ZX107" s="41"/>
      <c r="ZY107" s="41"/>
      <c r="ZZ107" s="41"/>
      <c r="AAA107" s="41"/>
      <c r="AAB107" s="41"/>
      <c r="AAC107" s="41"/>
    </row>
    <row r="108" spans="1:705" s="42" customFormat="1" hidden="1" x14ac:dyDescent="0.3">
      <c r="A108" s="26">
        <v>104</v>
      </c>
      <c r="B108" s="137">
        <v>240002</v>
      </c>
      <c r="C108" s="138">
        <v>104</v>
      </c>
      <c r="D108" s="139">
        <v>45924</v>
      </c>
      <c r="E108" s="139">
        <f t="shared" si="18"/>
        <v>45923</v>
      </c>
      <c r="F108" s="139">
        <f t="shared" si="15"/>
        <v>45934</v>
      </c>
      <c r="G108" s="139">
        <v>45934</v>
      </c>
      <c r="H108" s="139">
        <v>45942</v>
      </c>
      <c r="I108" s="139" t="s">
        <v>75</v>
      </c>
      <c r="J108" s="140" t="s">
        <v>298</v>
      </c>
      <c r="K108" s="141">
        <f t="shared" si="19"/>
        <v>8</v>
      </c>
      <c r="L108" s="141">
        <v>1147151</v>
      </c>
      <c r="M108" s="140" t="s">
        <v>15</v>
      </c>
      <c r="N108" s="140">
        <v>804493</v>
      </c>
      <c r="O108" s="140" t="s">
        <v>246</v>
      </c>
      <c r="P108" s="143">
        <v>45932</v>
      </c>
      <c r="Q108" s="143">
        <v>45947</v>
      </c>
      <c r="R108" s="157" t="s">
        <v>211</v>
      </c>
      <c r="S108" s="144" t="s">
        <v>299</v>
      </c>
      <c r="T108" s="145">
        <v>1</v>
      </c>
      <c r="U108" s="137" t="s">
        <v>128</v>
      </c>
      <c r="V108" s="146">
        <v>10</v>
      </c>
      <c r="W108" s="146">
        <v>10</v>
      </c>
      <c r="X108" s="147">
        <v>0</v>
      </c>
      <c r="Y108" s="146">
        <v>0</v>
      </c>
      <c r="Z108" s="146">
        <v>0</v>
      </c>
      <c r="AA108" s="146">
        <v>0</v>
      </c>
      <c r="AB108" s="146"/>
      <c r="AC108" s="146"/>
      <c r="AD108" s="146">
        <v>0</v>
      </c>
      <c r="AE108" s="146">
        <v>0</v>
      </c>
      <c r="AF108" s="146">
        <v>0</v>
      </c>
      <c r="AG108" s="146">
        <v>0</v>
      </c>
      <c r="AH108" s="146">
        <v>1</v>
      </c>
      <c r="AI108" s="146">
        <v>1</v>
      </c>
      <c r="AJ108" s="146">
        <v>0</v>
      </c>
      <c r="AK108" s="146">
        <v>0</v>
      </c>
      <c r="AL108" s="146">
        <v>0</v>
      </c>
      <c r="AM108" s="146">
        <v>0</v>
      </c>
      <c r="AN108" s="146">
        <v>1</v>
      </c>
      <c r="AO108" s="146">
        <v>1</v>
      </c>
      <c r="AP108" s="146">
        <v>2</v>
      </c>
      <c r="AQ108" s="146">
        <v>2</v>
      </c>
      <c r="AR108" s="146">
        <v>0</v>
      </c>
      <c r="AS108" s="146">
        <v>0</v>
      </c>
      <c r="AT108" s="146">
        <v>1</v>
      </c>
      <c r="AU108" s="146">
        <v>1</v>
      </c>
      <c r="AV108" s="146">
        <v>0</v>
      </c>
      <c r="AW108" s="146">
        <v>0</v>
      </c>
      <c r="AX108" s="146">
        <f t="shared" si="16"/>
        <v>2440</v>
      </c>
      <c r="AY108" s="146">
        <f t="shared" si="17"/>
        <v>2440</v>
      </c>
      <c r="AZ108" s="140" t="s">
        <v>562</v>
      </c>
      <c r="BA108" s="137" t="s">
        <v>562</v>
      </c>
      <c r="BB108" s="137">
        <v>5</v>
      </c>
      <c r="BC108" s="148">
        <v>104</v>
      </c>
      <c r="BD108" s="149"/>
      <c r="BE108" s="145"/>
      <c r="BF108" s="150"/>
      <c r="BG108" s="151">
        <v>45931</v>
      </c>
      <c r="BH108" s="153" t="s">
        <v>15</v>
      </c>
      <c r="BI108" s="153" t="s">
        <v>562</v>
      </c>
      <c r="CC108" s="41"/>
      <c r="CD108" s="41"/>
      <c r="CE108" s="41"/>
      <c r="CF108" s="41"/>
      <c r="CG108" s="41"/>
      <c r="CH108" s="41"/>
      <c r="CI108" s="41"/>
      <c r="CJ108" s="41"/>
      <c r="CK108" s="41"/>
      <c r="CL108" s="41"/>
      <c r="CM108" s="41"/>
      <c r="CN108" s="41"/>
      <c r="CO108" s="41"/>
      <c r="CP108" s="41"/>
      <c r="CQ108" s="41"/>
      <c r="CR108" s="41"/>
      <c r="CS108" s="41"/>
      <c r="CT108" s="41"/>
      <c r="CU108" s="41"/>
      <c r="CV108" s="41"/>
      <c r="CW108" s="41"/>
      <c r="CX108" s="41"/>
      <c r="CY108" s="41"/>
      <c r="CZ108" s="41"/>
      <c r="DA108" s="41"/>
      <c r="DB108" s="41"/>
      <c r="DC108" s="41"/>
      <c r="DD108" s="41"/>
      <c r="DE108" s="41"/>
      <c r="DF108" s="41"/>
      <c r="DG108" s="41"/>
      <c r="DH108" s="41"/>
      <c r="DI108" s="41"/>
      <c r="DJ108" s="41"/>
      <c r="DK108" s="41"/>
      <c r="DL108" s="41"/>
      <c r="DM108" s="41"/>
      <c r="DN108" s="41"/>
      <c r="DO108" s="41"/>
      <c r="DP108" s="41"/>
      <c r="DQ108" s="41"/>
      <c r="DR108" s="41"/>
      <c r="DS108" s="41"/>
      <c r="DT108" s="41"/>
      <c r="DU108" s="41"/>
      <c r="DV108" s="41"/>
      <c r="DW108" s="41"/>
      <c r="DX108" s="41"/>
      <c r="DY108" s="41"/>
      <c r="DZ108" s="41"/>
      <c r="EA108" s="41"/>
      <c r="EB108" s="41"/>
      <c r="EC108" s="41"/>
      <c r="ED108" s="41"/>
      <c r="EE108" s="41"/>
      <c r="EF108" s="41"/>
      <c r="EG108" s="41"/>
      <c r="EH108" s="41"/>
      <c r="EI108" s="41"/>
      <c r="EJ108" s="41"/>
      <c r="EK108" s="41"/>
      <c r="EL108" s="41"/>
      <c r="EM108" s="41"/>
      <c r="EN108" s="41"/>
      <c r="EO108" s="41"/>
      <c r="EP108" s="41"/>
      <c r="EQ108" s="41"/>
      <c r="ER108" s="41"/>
      <c r="ES108" s="41"/>
      <c r="ET108" s="41"/>
      <c r="EU108" s="41"/>
      <c r="EV108" s="41"/>
      <c r="EW108" s="41"/>
      <c r="EX108" s="41"/>
      <c r="EY108" s="41"/>
      <c r="EZ108" s="41"/>
      <c r="FA108" s="41"/>
      <c r="FB108" s="41"/>
      <c r="FC108" s="41"/>
      <c r="FD108" s="41"/>
      <c r="FE108" s="41"/>
      <c r="FF108" s="41"/>
      <c r="FG108" s="41"/>
      <c r="FH108" s="41"/>
      <c r="FI108" s="41"/>
      <c r="FJ108" s="41"/>
      <c r="FK108" s="41"/>
      <c r="FL108" s="41"/>
      <c r="FM108" s="41"/>
      <c r="FN108" s="41"/>
      <c r="FO108" s="41"/>
      <c r="FP108" s="41"/>
      <c r="FQ108" s="41"/>
      <c r="FR108" s="41"/>
      <c r="FS108" s="41"/>
      <c r="FT108" s="41"/>
      <c r="FU108" s="41"/>
      <c r="FV108" s="41"/>
      <c r="FW108" s="41"/>
      <c r="FX108" s="41"/>
      <c r="FY108" s="41"/>
      <c r="FZ108" s="41"/>
      <c r="GA108" s="41"/>
      <c r="GB108" s="41"/>
      <c r="GC108" s="41"/>
      <c r="GD108" s="41"/>
      <c r="GE108" s="41"/>
      <c r="GF108" s="41"/>
      <c r="GG108" s="41"/>
      <c r="GH108" s="41"/>
      <c r="GI108" s="41"/>
      <c r="GJ108" s="41"/>
      <c r="GK108" s="41"/>
      <c r="GL108" s="41"/>
      <c r="GM108" s="41"/>
      <c r="GN108" s="41"/>
      <c r="GO108" s="41"/>
      <c r="GP108" s="41"/>
      <c r="GQ108" s="41"/>
      <c r="GR108" s="41"/>
      <c r="GS108" s="41"/>
      <c r="GT108" s="41"/>
      <c r="GU108" s="41"/>
      <c r="GV108" s="41"/>
      <c r="GW108" s="41"/>
      <c r="GX108" s="41"/>
      <c r="GY108" s="41"/>
      <c r="GZ108" s="41"/>
      <c r="HA108" s="41"/>
      <c r="HB108" s="41"/>
      <c r="HC108" s="41"/>
      <c r="HD108" s="41"/>
      <c r="HE108" s="41"/>
      <c r="HF108" s="41"/>
      <c r="HG108" s="41"/>
      <c r="HH108" s="41"/>
      <c r="HI108" s="41"/>
      <c r="HJ108" s="41"/>
      <c r="HK108" s="41"/>
      <c r="HL108" s="41"/>
      <c r="HM108" s="41"/>
      <c r="HN108" s="41"/>
      <c r="HO108" s="41"/>
      <c r="HP108" s="41"/>
      <c r="HQ108" s="41"/>
      <c r="HR108" s="41"/>
      <c r="HS108" s="41"/>
      <c r="HT108" s="41"/>
      <c r="HU108" s="41"/>
      <c r="HV108" s="41"/>
      <c r="HW108" s="41"/>
      <c r="HX108" s="41"/>
      <c r="HY108" s="41"/>
      <c r="HZ108" s="41"/>
      <c r="IA108" s="41"/>
      <c r="IB108" s="41"/>
      <c r="IC108" s="41"/>
      <c r="ID108" s="41"/>
      <c r="IE108" s="41"/>
      <c r="IF108" s="41"/>
      <c r="IG108" s="41"/>
      <c r="IH108" s="41"/>
      <c r="II108" s="41"/>
      <c r="IJ108" s="41"/>
      <c r="IK108" s="41"/>
      <c r="IL108" s="41"/>
      <c r="IM108" s="41"/>
      <c r="IN108" s="41"/>
      <c r="IO108" s="41"/>
      <c r="IP108" s="41"/>
      <c r="IQ108" s="41"/>
      <c r="IR108" s="41"/>
      <c r="IS108" s="41"/>
      <c r="IT108" s="41"/>
      <c r="IU108" s="41"/>
      <c r="IV108" s="41"/>
      <c r="IW108" s="41"/>
      <c r="IX108" s="41"/>
      <c r="IY108" s="41"/>
      <c r="IZ108" s="41"/>
      <c r="JA108" s="41"/>
      <c r="JB108" s="41"/>
      <c r="JC108" s="41"/>
      <c r="JD108" s="41"/>
      <c r="JE108" s="41"/>
      <c r="JF108" s="41"/>
      <c r="JG108" s="41"/>
      <c r="JH108" s="41"/>
      <c r="JI108" s="41"/>
      <c r="JJ108" s="41"/>
      <c r="JK108" s="41"/>
      <c r="JL108" s="41"/>
      <c r="JM108" s="41"/>
      <c r="JN108" s="41"/>
      <c r="JO108" s="41"/>
      <c r="JP108" s="41"/>
      <c r="JQ108" s="41"/>
      <c r="JR108" s="41"/>
      <c r="JS108" s="41"/>
      <c r="JT108" s="41"/>
      <c r="JU108" s="41"/>
      <c r="JV108" s="41"/>
      <c r="JW108" s="41"/>
      <c r="JX108" s="41"/>
      <c r="JY108" s="41"/>
      <c r="JZ108" s="41"/>
      <c r="KA108" s="41"/>
      <c r="KB108" s="41"/>
      <c r="KC108" s="41"/>
      <c r="KD108" s="41"/>
      <c r="KE108" s="41"/>
      <c r="KF108" s="41"/>
      <c r="KG108" s="41"/>
      <c r="KH108" s="41"/>
      <c r="KI108" s="41"/>
      <c r="KJ108" s="41"/>
      <c r="KK108" s="41"/>
      <c r="KL108" s="41"/>
      <c r="KM108" s="41"/>
      <c r="KN108" s="41"/>
      <c r="KO108" s="41"/>
      <c r="KP108" s="41"/>
      <c r="KQ108" s="41"/>
      <c r="KR108" s="41"/>
      <c r="KS108" s="41"/>
      <c r="KT108" s="41"/>
      <c r="KU108" s="41"/>
      <c r="KV108" s="41"/>
      <c r="KW108" s="41"/>
      <c r="KX108" s="41"/>
      <c r="KY108" s="41"/>
      <c r="KZ108" s="41"/>
      <c r="LA108" s="41"/>
      <c r="LB108" s="41"/>
      <c r="LC108" s="41"/>
      <c r="LD108" s="41"/>
      <c r="LE108" s="41"/>
      <c r="LF108" s="41"/>
      <c r="LG108" s="41"/>
      <c r="LH108" s="41"/>
      <c r="LI108" s="41"/>
      <c r="LJ108" s="41"/>
      <c r="LK108" s="41"/>
      <c r="LL108" s="41"/>
      <c r="LM108" s="41"/>
      <c r="LN108" s="41"/>
      <c r="LO108" s="41"/>
      <c r="LP108" s="41"/>
      <c r="LQ108" s="41"/>
      <c r="LR108" s="41"/>
      <c r="LS108" s="41"/>
      <c r="LT108" s="41"/>
      <c r="LU108" s="41"/>
      <c r="LV108" s="41"/>
      <c r="LW108" s="41"/>
      <c r="LX108" s="41"/>
      <c r="LY108" s="41"/>
      <c r="LZ108" s="41"/>
      <c r="MA108" s="41"/>
      <c r="MB108" s="41"/>
      <c r="MC108" s="41"/>
      <c r="MD108" s="41"/>
      <c r="ME108" s="41"/>
      <c r="MF108" s="41"/>
      <c r="MG108" s="41"/>
      <c r="MH108" s="41"/>
      <c r="MI108" s="41"/>
      <c r="MJ108" s="41"/>
      <c r="MK108" s="41"/>
      <c r="ML108" s="41"/>
      <c r="MM108" s="41"/>
      <c r="MN108" s="41"/>
      <c r="MO108" s="41"/>
      <c r="MP108" s="41"/>
      <c r="MQ108" s="41"/>
      <c r="MR108" s="41"/>
      <c r="MS108" s="41"/>
      <c r="MT108" s="41"/>
      <c r="MU108" s="41"/>
      <c r="MV108" s="41"/>
      <c r="MW108" s="41"/>
      <c r="MX108" s="41"/>
      <c r="MY108" s="41"/>
      <c r="MZ108" s="41"/>
      <c r="NA108" s="41"/>
      <c r="NB108" s="41"/>
      <c r="NC108" s="41"/>
      <c r="ND108" s="41"/>
      <c r="NE108" s="41"/>
      <c r="NF108" s="41"/>
      <c r="NG108" s="41"/>
      <c r="NH108" s="41"/>
      <c r="NI108" s="41"/>
      <c r="NJ108" s="41"/>
      <c r="NK108" s="41"/>
      <c r="NL108" s="41"/>
      <c r="NM108" s="41"/>
      <c r="NN108" s="41"/>
      <c r="NO108" s="41"/>
      <c r="NP108" s="41"/>
      <c r="NQ108" s="41"/>
      <c r="NR108" s="41"/>
      <c r="NS108" s="41"/>
      <c r="NT108" s="41"/>
      <c r="NU108" s="41"/>
      <c r="NV108" s="41"/>
      <c r="NW108" s="41"/>
      <c r="NX108" s="41"/>
      <c r="NY108" s="41"/>
      <c r="NZ108" s="41"/>
      <c r="OA108" s="41"/>
      <c r="OB108" s="41"/>
      <c r="OC108" s="41"/>
      <c r="OD108" s="41"/>
      <c r="OE108" s="41"/>
      <c r="OF108" s="41"/>
      <c r="OG108" s="41"/>
      <c r="OH108" s="41"/>
      <c r="OI108" s="41"/>
      <c r="OJ108" s="41"/>
      <c r="OK108" s="41"/>
      <c r="OL108" s="41"/>
      <c r="OM108" s="41"/>
      <c r="ON108" s="41"/>
      <c r="OO108" s="41"/>
      <c r="OP108" s="41"/>
      <c r="OQ108" s="41"/>
      <c r="OR108" s="41"/>
      <c r="OS108" s="41"/>
      <c r="OT108" s="41"/>
      <c r="OU108" s="41"/>
      <c r="OV108" s="41"/>
      <c r="OW108" s="41"/>
      <c r="OX108" s="41"/>
      <c r="OY108" s="41"/>
      <c r="OZ108" s="41"/>
      <c r="PA108" s="41"/>
      <c r="PB108" s="41"/>
      <c r="PC108" s="41"/>
      <c r="PD108" s="41"/>
      <c r="PE108" s="41"/>
      <c r="PF108" s="41"/>
      <c r="PG108" s="41"/>
      <c r="PH108" s="41"/>
      <c r="PI108" s="41"/>
      <c r="PJ108" s="41"/>
      <c r="PK108" s="41"/>
      <c r="PL108" s="41"/>
      <c r="PM108" s="41"/>
      <c r="PN108" s="41"/>
      <c r="PO108" s="41"/>
      <c r="PP108" s="41"/>
      <c r="PQ108" s="41"/>
      <c r="PR108" s="41"/>
      <c r="PS108" s="41"/>
      <c r="PT108" s="41"/>
      <c r="PU108" s="41"/>
      <c r="PV108" s="41"/>
      <c r="PW108" s="41"/>
      <c r="PX108" s="41"/>
      <c r="PY108" s="41"/>
      <c r="PZ108" s="41"/>
      <c r="QA108" s="41"/>
      <c r="QB108" s="41"/>
      <c r="QC108" s="41"/>
      <c r="QD108" s="41"/>
      <c r="QE108" s="41"/>
      <c r="QF108" s="41"/>
      <c r="QG108" s="41"/>
      <c r="QH108" s="41"/>
      <c r="QI108" s="41"/>
      <c r="QJ108" s="41"/>
      <c r="QK108" s="41"/>
      <c r="QL108" s="41"/>
      <c r="QM108" s="41"/>
      <c r="QN108" s="41"/>
      <c r="QO108" s="41"/>
      <c r="QP108" s="41"/>
      <c r="QQ108" s="41"/>
      <c r="QR108" s="41"/>
      <c r="QS108" s="41"/>
      <c r="QT108" s="41"/>
      <c r="QU108" s="41"/>
      <c r="QV108" s="41"/>
      <c r="QW108" s="41"/>
      <c r="QX108" s="41"/>
      <c r="QY108" s="41"/>
      <c r="QZ108" s="41"/>
      <c r="RA108" s="41"/>
      <c r="RB108" s="41"/>
      <c r="RC108" s="41"/>
      <c r="RD108" s="41"/>
      <c r="RE108" s="41"/>
      <c r="RF108" s="41"/>
      <c r="RG108" s="41"/>
      <c r="RH108" s="41"/>
      <c r="RI108" s="41"/>
      <c r="RJ108" s="41"/>
      <c r="RK108" s="41"/>
      <c r="RL108" s="41"/>
      <c r="RM108" s="41"/>
      <c r="RN108" s="41"/>
      <c r="RO108" s="41"/>
      <c r="RP108" s="41"/>
      <c r="RQ108" s="41"/>
      <c r="RR108" s="41"/>
      <c r="RS108" s="41"/>
      <c r="RT108" s="41"/>
      <c r="RU108" s="41"/>
      <c r="RV108" s="41"/>
      <c r="RW108" s="41"/>
      <c r="RX108" s="41"/>
      <c r="RY108" s="41"/>
      <c r="RZ108" s="41"/>
      <c r="SA108" s="41"/>
      <c r="SB108" s="41"/>
      <c r="SC108" s="41"/>
      <c r="SD108" s="41"/>
      <c r="SE108" s="41"/>
      <c r="SF108" s="41"/>
      <c r="SG108" s="41"/>
      <c r="SH108" s="41"/>
      <c r="SI108" s="41"/>
      <c r="SJ108" s="41"/>
      <c r="SK108" s="41"/>
      <c r="SL108" s="41"/>
      <c r="SM108" s="41"/>
      <c r="SN108" s="41"/>
      <c r="SO108" s="41"/>
      <c r="SP108" s="41"/>
      <c r="SQ108" s="41"/>
      <c r="SR108" s="41"/>
      <c r="SS108" s="41"/>
      <c r="ST108" s="41"/>
      <c r="SU108" s="41"/>
      <c r="SV108" s="41"/>
      <c r="SW108" s="41"/>
      <c r="SX108" s="41"/>
      <c r="SY108" s="41"/>
      <c r="SZ108" s="41"/>
      <c r="TA108" s="41"/>
      <c r="TB108" s="41"/>
      <c r="TC108" s="41"/>
      <c r="TD108" s="41"/>
      <c r="TE108" s="41"/>
      <c r="TF108" s="41"/>
      <c r="TG108" s="41"/>
      <c r="TH108" s="41"/>
      <c r="TI108" s="41"/>
      <c r="TJ108" s="41"/>
      <c r="TK108" s="41"/>
      <c r="TL108" s="41"/>
      <c r="TM108" s="41"/>
      <c r="TN108" s="41"/>
      <c r="TO108" s="41"/>
      <c r="TP108" s="41"/>
      <c r="TQ108" s="41"/>
      <c r="TR108" s="41"/>
      <c r="TS108" s="41"/>
      <c r="TT108" s="41"/>
      <c r="TU108" s="41"/>
      <c r="TV108" s="41"/>
      <c r="TW108" s="41"/>
      <c r="TX108" s="41"/>
      <c r="TY108" s="41"/>
      <c r="TZ108" s="41"/>
      <c r="UA108" s="41"/>
      <c r="UB108" s="41"/>
      <c r="UC108" s="41"/>
      <c r="UD108" s="41"/>
      <c r="UE108" s="41"/>
      <c r="UF108" s="41"/>
      <c r="UG108" s="41"/>
      <c r="UH108" s="41"/>
      <c r="UI108" s="41"/>
      <c r="UJ108" s="41"/>
      <c r="UK108" s="41"/>
      <c r="UL108" s="41"/>
      <c r="UM108" s="41"/>
      <c r="UN108" s="41"/>
      <c r="UO108" s="41"/>
      <c r="UP108" s="41"/>
      <c r="UQ108" s="41"/>
      <c r="UR108" s="41"/>
      <c r="US108" s="41"/>
      <c r="UT108" s="41"/>
      <c r="UU108" s="41"/>
      <c r="UV108" s="41"/>
      <c r="UW108" s="41"/>
      <c r="UX108" s="41"/>
      <c r="UY108" s="41"/>
      <c r="UZ108" s="41"/>
      <c r="VA108" s="41"/>
      <c r="VB108" s="41"/>
      <c r="VC108" s="41"/>
      <c r="VD108" s="41"/>
      <c r="VE108" s="41"/>
      <c r="VF108" s="41"/>
      <c r="VG108" s="41"/>
      <c r="VH108" s="41"/>
      <c r="VI108" s="41"/>
      <c r="VJ108" s="41"/>
      <c r="VK108" s="41"/>
      <c r="VL108" s="41"/>
      <c r="VM108" s="41"/>
      <c r="VN108" s="41"/>
      <c r="VO108" s="41"/>
      <c r="VP108" s="41"/>
      <c r="VQ108" s="41"/>
      <c r="VR108" s="41"/>
      <c r="VS108" s="41"/>
      <c r="VT108" s="41"/>
      <c r="VU108" s="41"/>
      <c r="VV108" s="41"/>
      <c r="VW108" s="41"/>
      <c r="VX108" s="41"/>
      <c r="VY108" s="41"/>
      <c r="VZ108" s="41"/>
      <c r="WA108" s="41"/>
      <c r="WB108" s="41"/>
      <c r="WC108" s="41"/>
      <c r="WD108" s="41"/>
      <c r="WE108" s="41"/>
      <c r="WF108" s="41"/>
      <c r="WG108" s="41"/>
      <c r="WH108" s="41"/>
      <c r="WI108" s="41"/>
      <c r="WJ108" s="41"/>
      <c r="WK108" s="41"/>
      <c r="WL108" s="41"/>
      <c r="WM108" s="41"/>
      <c r="WN108" s="41"/>
      <c r="WO108" s="41"/>
      <c r="WP108" s="41"/>
      <c r="WQ108" s="41"/>
      <c r="WR108" s="41"/>
      <c r="WS108" s="41"/>
      <c r="WT108" s="41"/>
      <c r="WU108" s="41"/>
      <c r="WV108" s="41"/>
      <c r="WW108" s="41"/>
      <c r="WX108" s="41"/>
      <c r="WY108" s="41"/>
      <c r="WZ108" s="41"/>
      <c r="XA108" s="41"/>
      <c r="XB108" s="41"/>
      <c r="XC108" s="41"/>
      <c r="XD108" s="41"/>
      <c r="XE108" s="41"/>
      <c r="XF108" s="41"/>
      <c r="XG108" s="41"/>
      <c r="XH108" s="41"/>
      <c r="XI108" s="41"/>
      <c r="XJ108" s="41"/>
      <c r="XK108" s="41"/>
      <c r="XL108" s="41"/>
      <c r="XM108" s="41"/>
      <c r="XN108" s="41"/>
      <c r="XO108" s="41"/>
      <c r="XP108" s="41"/>
      <c r="XQ108" s="41"/>
      <c r="XR108" s="41"/>
      <c r="XS108" s="41"/>
      <c r="XT108" s="41"/>
      <c r="XU108" s="41"/>
      <c r="XV108" s="41"/>
      <c r="XW108" s="41"/>
      <c r="XX108" s="41"/>
      <c r="XY108" s="41"/>
      <c r="XZ108" s="41"/>
      <c r="YA108" s="41"/>
      <c r="YB108" s="41"/>
      <c r="YC108" s="41"/>
      <c r="YD108" s="41"/>
      <c r="YE108" s="41"/>
      <c r="YF108" s="41"/>
      <c r="YG108" s="41"/>
      <c r="YH108" s="41"/>
      <c r="YI108" s="41"/>
      <c r="YJ108" s="41"/>
      <c r="YK108" s="41"/>
      <c r="YL108" s="41"/>
      <c r="YM108" s="41"/>
      <c r="YN108" s="41"/>
      <c r="YO108" s="41"/>
      <c r="YP108" s="41"/>
      <c r="YQ108" s="41"/>
      <c r="YR108" s="41"/>
      <c r="YS108" s="41"/>
      <c r="YT108" s="41"/>
      <c r="YU108" s="41"/>
      <c r="YV108" s="41"/>
      <c r="YW108" s="41"/>
      <c r="YX108" s="41"/>
      <c r="YY108" s="41"/>
      <c r="YZ108" s="41"/>
      <c r="ZA108" s="41"/>
      <c r="ZB108" s="41"/>
      <c r="ZC108" s="41"/>
      <c r="ZD108" s="41"/>
      <c r="ZE108" s="41"/>
      <c r="ZF108" s="41"/>
      <c r="ZG108" s="41"/>
      <c r="ZH108" s="41"/>
      <c r="ZI108" s="41"/>
      <c r="ZJ108" s="41"/>
      <c r="ZK108" s="41"/>
      <c r="ZL108" s="41"/>
      <c r="ZM108" s="41"/>
      <c r="ZN108" s="41"/>
      <c r="ZO108" s="41"/>
      <c r="ZP108" s="41"/>
      <c r="ZQ108" s="41"/>
      <c r="ZR108" s="41"/>
      <c r="ZS108" s="41"/>
      <c r="ZT108" s="41"/>
      <c r="ZU108" s="41"/>
      <c r="ZV108" s="41"/>
      <c r="ZW108" s="41"/>
      <c r="ZX108" s="41"/>
      <c r="ZY108" s="41"/>
      <c r="ZZ108" s="41"/>
      <c r="AAA108" s="41"/>
      <c r="AAB108" s="41"/>
      <c r="AAC108" s="41"/>
    </row>
    <row r="109" spans="1:705" s="42" customFormat="1" ht="42" hidden="1" x14ac:dyDescent="0.3">
      <c r="A109" s="26">
        <v>105</v>
      </c>
      <c r="B109" s="137">
        <v>240024</v>
      </c>
      <c r="C109" s="138">
        <v>105</v>
      </c>
      <c r="D109" s="139">
        <v>45925</v>
      </c>
      <c r="E109" s="139">
        <f t="shared" si="18"/>
        <v>45924</v>
      </c>
      <c r="F109" s="139">
        <f t="shared" si="15"/>
        <v>45935</v>
      </c>
      <c r="G109" s="139">
        <v>46016</v>
      </c>
      <c r="H109" s="139">
        <v>45986</v>
      </c>
      <c r="I109" s="139" t="s">
        <v>321</v>
      </c>
      <c r="J109" s="140" t="s">
        <v>300</v>
      </c>
      <c r="K109" s="141">
        <f t="shared" si="19"/>
        <v>51</v>
      </c>
      <c r="L109" s="142">
        <v>1147409</v>
      </c>
      <c r="M109" s="140" t="s">
        <v>15</v>
      </c>
      <c r="N109" s="140">
        <v>804715</v>
      </c>
      <c r="O109" s="137" t="s">
        <v>246</v>
      </c>
      <c r="P109" s="143">
        <v>45950</v>
      </c>
      <c r="Q109" s="143">
        <v>46121</v>
      </c>
      <c r="R109" s="157" t="s">
        <v>211</v>
      </c>
      <c r="S109" s="144" t="s">
        <v>301</v>
      </c>
      <c r="T109" s="145">
        <v>1</v>
      </c>
      <c r="U109" s="137" t="s">
        <v>160</v>
      </c>
      <c r="V109" s="146">
        <v>73</v>
      </c>
      <c r="W109" s="146">
        <v>73</v>
      </c>
      <c r="X109" s="147">
        <v>0</v>
      </c>
      <c r="Y109" s="146">
        <v>0</v>
      </c>
      <c r="Z109" s="146">
        <v>0</v>
      </c>
      <c r="AA109" s="146">
        <v>0</v>
      </c>
      <c r="AB109" s="146">
        <v>20</v>
      </c>
      <c r="AC109" s="146">
        <v>20</v>
      </c>
      <c r="AD109" s="146">
        <v>0</v>
      </c>
      <c r="AE109" s="146">
        <v>0</v>
      </c>
      <c r="AF109" s="146">
        <v>0</v>
      </c>
      <c r="AG109" s="146">
        <v>0</v>
      </c>
      <c r="AH109" s="146">
        <v>0</v>
      </c>
      <c r="AI109" s="146">
        <v>0</v>
      </c>
      <c r="AJ109" s="146">
        <v>0</v>
      </c>
      <c r="AK109" s="146"/>
      <c r="AL109" s="146">
        <v>1</v>
      </c>
      <c r="AM109" s="146">
        <v>1</v>
      </c>
      <c r="AN109" s="146">
        <v>1</v>
      </c>
      <c r="AO109" s="146">
        <v>1</v>
      </c>
      <c r="AP109" s="146">
        <v>0</v>
      </c>
      <c r="AQ109" s="146"/>
      <c r="AR109" s="146">
        <v>0</v>
      </c>
      <c r="AS109" s="146">
        <v>0</v>
      </c>
      <c r="AT109" s="146">
        <v>0</v>
      </c>
      <c r="AU109" s="146">
        <v>0</v>
      </c>
      <c r="AV109" s="146">
        <v>0</v>
      </c>
      <c r="AW109" s="146">
        <v>0</v>
      </c>
      <c r="AX109" s="146">
        <f t="shared" si="16"/>
        <v>6170</v>
      </c>
      <c r="AY109" s="146">
        <f t="shared" si="17"/>
        <v>6170</v>
      </c>
      <c r="AZ109" s="140" t="s">
        <v>562</v>
      </c>
      <c r="BA109" s="137" t="s">
        <v>562</v>
      </c>
      <c r="BB109" s="137">
        <v>5</v>
      </c>
      <c r="BC109" s="148">
        <v>105</v>
      </c>
      <c r="BD109" s="149"/>
      <c r="BE109" s="145"/>
      <c r="BF109" s="150"/>
      <c r="BG109" s="188">
        <v>45962</v>
      </c>
      <c r="BH109" s="153" t="s">
        <v>15</v>
      </c>
      <c r="BI109" s="153" t="s">
        <v>562</v>
      </c>
      <c r="CC109" s="41"/>
      <c r="CD109" s="41"/>
      <c r="CE109" s="41"/>
      <c r="CF109" s="41"/>
      <c r="CG109" s="41"/>
      <c r="CH109" s="41"/>
      <c r="CI109" s="41"/>
      <c r="CJ109" s="41"/>
      <c r="CK109" s="41"/>
      <c r="CL109" s="41"/>
      <c r="CM109" s="41"/>
      <c r="CN109" s="41"/>
      <c r="CO109" s="41"/>
      <c r="CP109" s="41"/>
      <c r="CQ109" s="41"/>
      <c r="CR109" s="41"/>
      <c r="CS109" s="41"/>
      <c r="CT109" s="41"/>
      <c r="CU109" s="41"/>
      <c r="CV109" s="41"/>
      <c r="CW109" s="41"/>
      <c r="CX109" s="41"/>
      <c r="CY109" s="41"/>
      <c r="CZ109" s="41"/>
      <c r="DA109" s="41"/>
      <c r="DB109" s="41"/>
      <c r="DC109" s="41"/>
      <c r="DD109" s="41"/>
      <c r="DE109" s="41"/>
      <c r="DF109" s="41"/>
      <c r="DG109" s="41"/>
      <c r="DH109" s="41"/>
      <c r="DI109" s="41"/>
      <c r="DJ109" s="41"/>
      <c r="DK109" s="41"/>
      <c r="DL109" s="41"/>
      <c r="DM109" s="41"/>
      <c r="DN109" s="41"/>
      <c r="DO109" s="41"/>
      <c r="DP109" s="41"/>
      <c r="DQ109" s="41"/>
      <c r="DR109" s="41"/>
      <c r="DS109" s="41"/>
      <c r="DT109" s="41"/>
      <c r="DU109" s="41"/>
      <c r="DV109" s="41"/>
      <c r="DW109" s="41"/>
      <c r="DX109" s="41"/>
      <c r="DY109" s="41"/>
      <c r="DZ109" s="41"/>
      <c r="EA109" s="41"/>
      <c r="EB109" s="41"/>
      <c r="EC109" s="41"/>
      <c r="ED109" s="41"/>
      <c r="EE109" s="41"/>
      <c r="EF109" s="41"/>
      <c r="EG109" s="41"/>
      <c r="EH109" s="41"/>
      <c r="EI109" s="41"/>
      <c r="EJ109" s="41"/>
      <c r="EK109" s="41"/>
      <c r="EL109" s="41"/>
      <c r="EM109" s="41"/>
      <c r="EN109" s="41"/>
      <c r="EO109" s="41"/>
      <c r="EP109" s="41"/>
      <c r="EQ109" s="41"/>
      <c r="ER109" s="41"/>
      <c r="ES109" s="41"/>
      <c r="ET109" s="41"/>
      <c r="EU109" s="41"/>
      <c r="EV109" s="41"/>
      <c r="EW109" s="41"/>
      <c r="EX109" s="41"/>
      <c r="EY109" s="41"/>
      <c r="EZ109" s="41"/>
      <c r="FA109" s="41"/>
      <c r="FB109" s="41"/>
      <c r="FC109" s="41"/>
      <c r="FD109" s="41"/>
      <c r="FE109" s="41"/>
      <c r="FF109" s="41"/>
      <c r="FG109" s="41"/>
      <c r="FH109" s="41"/>
      <c r="FI109" s="41"/>
      <c r="FJ109" s="41"/>
      <c r="FK109" s="41"/>
      <c r="FL109" s="41"/>
      <c r="FM109" s="41"/>
      <c r="FN109" s="41"/>
      <c r="FO109" s="41"/>
      <c r="FP109" s="41"/>
      <c r="FQ109" s="41"/>
      <c r="FR109" s="41"/>
      <c r="FS109" s="41"/>
      <c r="FT109" s="41"/>
      <c r="FU109" s="41"/>
      <c r="FV109" s="41"/>
      <c r="FW109" s="41"/>
      <c r="FX109" s="41"/>
      <c r="FY109" s="41"/>
      <c r="FZ109" s="41"/>
      <c r="GA109" s="41"/>
      <c r="GB109" s="41"/>
      <c r="GC109" s="41"/>
      <c r="GD109" s="41"/>
      <c r="GE109" s="41"/>
      <c r="GF109" s="41"/>
      <c r="GG109" s="41"/>
      <c r="GH109" s="41"/>
      <c r="GI109" s="41"/>
      <c r="GJ109" s="41"/>
      <c r="GK109" s="41"/>
      <c r="GL109" s="41"/>
      <c r="GM109" s="41"/>
      <c r="GN109" s="41"/>
      <c r="GO109" s="41"/>
      <c r="GP109" s="41"/>
      <c r="GQ109" s="41"/>
      <c r="GR109" s="41"/>
      <c r="GS109" s="41"/>
      <c r="GT109" s="41"/>
      <c r="GU109" s="41"/>
      <c r="GV109" s="41"/>
      <c r="GW109" s="41"/>
      <c r="GX109" s="41"/>
      <c r="GY109" s="41"/>
      <c r="GZ109" s="41"/>
      <c r="HA109" s="41"/>
      <c r="HB109" s="41"/>
      <c r="HC109" s="41"/>
      <c r="HD109" s="41"/>
      <c r="HE109" s="41"/>
      <c r="HF109" s="41"/>
      <c r="HG109" s="41"/>
      <c r="HH109" s="41"/>
      <c r="HI109" s="41"/>
      <c r="HJ109" s="41"/>
      <c r="HK109" s="41"/>
      <c r="HL109" s="41"/>
      <c r="HM109" s="41"/>
      <c r="HN109" s="41"/>
      <c r="HO109" s="41"/>
      <c r="HP109" s="41"/>
      <c r="HQ109" s="41"/>
      <c r="HR109" s="41"/>
      <c r="HS109" s="41"/>
      <c r="HT109" s="41"/>
      <c r="HU109" s="41"/>
      <c r="HV109" s="41"/>
      <c r="HW109" s="41"/>
      <c r="HX109" s="41"/>
      <c r="HY109" s="41"/>
      <c r="HZ109" s="41"/>
      <c r="IA109" s="41"/>
      <c r="IB109" s="41"/>
      <c r="IC109" s="41"/>
      <c r="ID109" s="41"/>
      <c r="IE109" s="41"/>
      <c r="IF109" s="41"/>
      <c r="IG109" s="41"/>
      <c r="IH109" s="41"/>
      <c r="II109" s="41"/>
      <c r="IJ109" s="41"/>
      <c r="IK109" s="41"/>
      <c r="IL109" s="41"/>
      <c r="IM109" s="41"/>
      <c r="IN109" s="41"/>
      <c r="IO109" s="41"/>
      <c r="IP109" s="41"/>
      <c r="IQ109" s="41"/>
      <c r="IR109" s="41"/>
      <c r="IS109" s="41"/>
      <c r="IT109" s="41"/>
      <c r="IU109" s="41"/>
      <c r="IV109" s="41"/>
      <c r="IW109" s="41"/>
      <c r="IX109" s="41"/>
      <c r="IY109" s="41"/>
      <c r="IZ109" s="41"/>
      <c r="JA109" s="41"/>
      <c r="JB109" s="41"/>
      <c r="JC109" s="41"/>
      <c r="JD109" s="41"/>
      <c r="JE109" s="41"/>
      <c r="JF109" s="41"/>
      <c r="JG109" s="41"/>
      <c r="JH109" s="41"/>
      <c r="JI109" s="41"/>
      <c r="JJ109" s="41"/>
      <c r="JK109" s="41"/>
      <c r="JL109" s="41"/>
      <c r="JM109" s="41"/>
      <c r="JN109" s="41"/>
      <c r="JO109" s="41"/>
      <c r="JP109" s="41"/>
      <c r="JQ109" s="41"/>
      <c r="JR109" s="41"/>
      <c r="JS109" s="41"/>
      <c r="JT109" s="41"/>
      <c r="JU109" s="41"/>
      <c r="JV109" s="41"/>
      <c r="JW109" s="41"/>
      <c r="JX109" s="41"/>
      <c r="JY109" s="41"/>
      <c r="JZ109" s="41"/>
      <c r="KA109" s="41"/>
      <c r="KB109" s="41"/>
      <c r="KC109" s="41"/>
      <c r="KD109" s="41"/>
      <c r="KE109" s="41"/>
      <c r="KF109" s="41"/>
      <c r="KG109" s="41"/>
      <c r="KH109" s="41"/>
      <c r="KI109" s="41"/>
      <c r="KJ109" s="41"/>
      <c r="KK109" s="41"/>
      <c r="KL109" s="41"/>
      <c r="KM109" s="41"/>
      <c r="KN109" s="41"/>
      <c r="KO109" s="41"/>
      <c r="KP109" s="41"/>
      <c r="KQ109" s="41"/>
      <c r="KR109" s="41"/>
      <c r="KS109" s="41"/>
      <c r="KT109" s="41"/>
      <c r="KU109" s="41"/>
      <c r="KV109" s="41"/>
      <c r="KW109" s="41"/>
      <c r="KX109" s="41"/>
      <c r="KY109" s="41"/>
      <c r="KZ109" s="41"/>
      <c r="LA109" s="41"/>
      <c r="LB109" s="41"/>
      <c r="LC109" s="41"/>
      <c r="LD109" s="41"/>
      <c r="LE109" s="41"/>
      <c r="LF109" s="41"/>
      <c r="LG109" s="41"/>
      <c r="LH109" s="41"/>
      <c r="LI109" s="41"/>
      <c r="LJ109" s="41"/>
      <c r="LK109" s="41"/>
      <c r="LL109" s="41"/>
      <c r="LM109" s="41"/>
      <c r="LN109" s="41"/>
      <c r="LO109" s="41"/>
      <c r="LP109" s="41"/>
      <c r="LQ109" s="41"/>
      <c r="LR109" s="41"/>
      <c r="LS109" s="41"/>
      <c r="LT109" s="41"/>
      <c r="LU109" s="41"/>
      <c r="LV109" s="41"/>
      <c r="LW109" s="41"/>
      <c r="LX109" s="41"/>
      <c r="LY109" s="41"/>
      <c r="LZ109" s="41"/>
      <c r="MA109" s="41"/>
      <c r="MB109" s="41"/>
      <c r="MC109" s="41"/>
      <c r="MD109" s="41"/>
      <c r="ME109" s="41"/>
      <c r="MF109" s="41"/>
      <c r="MG109" s="41"/>
      <c r="MH109" s="41"/>
      <c r="MI109" s="41"/>
      <c r="MJ109" s="41"/>
      <c r="MK109" s="41"/>
      <c r="ML109" s="41"/>
      <c r="MM109" s="41"/>
      <c r="MN109" s="41"/>
      <c r="MO109" s="41"/>
      <c r="MP109" s="41"/>
      <c r="MQ109" s="41"/>
      <c r="MR109" s="41"/>
      <c r="MS109" s="41"/>
      <c r="MT109" s="41"/>
      <c r="MU109" s="41"/>
      <c r="MV109" s="41"/>
      <c r="MW109" s="41"/>
      <c r="MX109" s="41"/>
      <c r="MY109" s="41"/>
      <c r="MZ109" s="41"/>
      <c r="NA109" s="41"/>
      <c r="NB109" s="41"/>
      <c r="NC109" s="41"/>
      <c r="ND109" s="41"/>
      <c r="NE109" s="41"/>
      <c r="NF109" s="41"/>
      <c r="NG109" s="41"/>
      <c r="NH109" s="41"/>
      <c r="NI109" s="41"/>
      <c r="NJ109" s="41"/>
      <c r="NK109" s="41"/>
      <c r="NL109" s="41"/>
      <c r="NM109" s="41"/>
      <c r="NN109" s="41"/>
      <c r="NO109" s="41"/>
      <c r="NP109" s="41"/>
      <c r="NQ109" s="41"/>
      <c r="NR109" s="41"/>
      <c r="NS109" s="41"/>
      <c r="NT109" s="41"/>
      <c r="NU109" s="41"/>
      <c r="NV109" s="41"/>
      <c r="NW109" s="41"/>
      <c r="NX109" s="41"/>
      <c r="NY109" s="41"/>
      <c r="NZ109" s="41"/>
      <c r="OA109" s="41"/>
      <c r="OB109" s="41"/>
      <c r="OC109" s="41"/>
      <c r="OD109" s="41"/>
      <c r="OE109" s="41"/>
      <c r="OF109" s="41"/>
      <c r="OG109" s="41"/>
      <c r="OH109" s="41"/>
      <c r="OI109" s="41"/>
      <c r="OJ109" s="41"/>
      <c r="OK109" s="41"/>
      <c r="OL109" s="41"/>
      <c r="OM109" s="41"/>
      <c r="ON109" s="41"/>
      <c r="OO109" s="41"/>
      <c r="OP109" s="41"/>
      <c r="OQ109" s="41"/>
      <c r="OR109" s="41"/>
      <c r="OS109" s="41"/>
      <c r="OT109" s="41"/>
      <c r="OU109" s="41"/>
      <c r="OV109" s="41"/>
      <c r="OW109" s="41"/>
      <c r="OX109" s="41"/>
      <c r="OY109" s="41"/>
      <c r="OZ109" s="41"/>
      <c r="PA109" s="41"/>
      <c r="PB109" s="41"/>
      <c r="PC109" s="41"/>
      <c r="PD109" s="41"/>
      <c r="PE109" s="41"/>
      <c r="PF109" s="41"/>
      <c r="PG109" s="41"/>
      <c r="PH109" s="41"/>
      <c r="PI109" s="41"/>
      <c r="PJ109" s="41"/>
      <c r="PK109" s="41"/>
      <c r="PL109" s="41"/>
      <c r="PM109" s="41"/>
      <c r="PN109" s="41"/>
      <c r="PO109" s="41"/>
      <c r="PP109" s="41"/>
      <c r="PQ109" s="41"/>
      <c r="PR109" s="41"/>
      <c r="PS109" s="41"/>
      <c r="PT109" s="41"/>
      <c r="PU109" s="41"/>
      <c r="PV109" s="41"/>
      <c r="PW109" s="41"/>
      <c r="PX109" s="41"/>
      <c r="PY109" s="41"/>
      <c r="PZ109" s="41"/>
      <c r="QA109" s="41"/>
      <c r="QB109" s="41"/>
      <c r="QC109" s="41"/>
      <c r="QD109" s="41"/>
      <c r="QE109" s="41"/>
      <c r="QF109" s="41"/>
      <c r="QG109" s="41"/>
      <c r="QH109" s="41"/>
      <c r="QI109" s="41"/>
      <c r="QJ109" s="41"/>
      <c r="QK109" s="41"/>
      <c r="QL109" s="41"/>
      <c r="QM109" s="41"/>
      <c r="QN109" s="41"/>
      <c r="QO109" s="41"/>
      <c r="QP109" s="41"/>
      <c r="QQ109" s="41"/>
      <c r="QR109" s="41"/>
      <c r="QS109" s="41"/>
      <c r="QT109" s="41"/>
      <c r="QU109" s="41"/>
      <c r="QV109" s="41"/>
      <c r="QW109" s="41"/>
      <c r="QX109" s="41"/>
      <c r="QY109" s="41"/>
      <c r="QZ109" s="41"/>
      <c r="RA109" s="41"/>
      <c r="RB109" s="41"/>
      <c r="RC109" s="41"/>
      <c r="RD109" s="41"/>
      <c r="RE109" s="41"/>
      <c r="RF109" s="41"/>
      <c r="RG109" s="41"/>
      <c r="RH109" s="41"/>
      <c r="RI109" s="41"/>
      <c r="RJ109" s="41"/>
      <c r="RK109" s="41"/>
      <c r="RL109" s="41"/>
      <c r="RM109" s="41"/>
      <c r="RN109" s="41"/>
      <c r="RO109" s="41"/>
      <c r="RP109" s="41"/>
      <c r="RQ109" s="41"/>
      <c r="RR109" s="41"/>
      <c r="RS109" s="41"/>
      <c r="RT109" s="41"/>
      <c r="RU109" s="41"/>
      <c r="RV109" s="41"/>
      <c r="RW109" s="41"/>
      <c r="RX109" s="41"/>
      <c r="RY109" s="41"/>
      <c r="RZ109" s="41"/>
      <c r="SA109" s="41"/>
      <c r="SB109" s="41"/>
      <c r="SC109" s="41"/>
      <c r="SD109" s="41"/>
      <c r="SE109" s="41"/>
      <c r="SF109" s="41"/>
      <c r="SG109" s="41"/>
      <c r="SH109" s="41"/>
      <c r="SI109" s="41"/>
      <c r="SJ109" s="41"/>
      <c r="SK109" s="41"/>
      <c r="SL109" s="41"/>
      <c r="SM109" s="41"/>
      <c r="SN109" s="41"/>
      <c r="SO109" s="41"/>
      <c r="SP109" s="41"/>
      <c r="SQ109" s="41"/>
      <c r="SR109" s="41"/>
      <c r="SS109" s="41"/>
      <c r="ST109" s="41"/>
      <c r="SU109" s="41"/>
      <c r="SV109" s="41"/>
      <c r="SW109" s="41"/>
      <c r="SX109" s="41"/>
      <c r="SY109" s="41"/>
      <c r="SZ109" s="41"/>
      <c r="TA109" s="41"/>
      <c r="TB109" s="41"/>
      <c r="TC109" s="41"/>
      <c r="TD109" s="41"/>
      <c r="TE109" s="41"/>
      <c r="TF109" s="41"/>
      <c r="TG109" s="41"/>
      <c r="TH109" s="41"/>
      <c r="TI109" s="41"/>
      <c r="TJ109" s="41"/>
      <c r="TK109" s="41"/>
      <c r="TL109" s="41"/>
      <c r="TM109" s="41"/>
      <c r="TN109" s="41"/>
      <c r="TO109" s="41"/>
      <c r="TP109" s="41"/>
      <c r="TQ109" s="41"/>
      <c r="TR109" s="41"/>
      <c r="TS109" s="41"/>
      <c r="TT109" s="41"/>
      <c r="TU109" s="41"/>
      <c r="TV109" s="41"/>
      <c r="TW109" s="41"/>
      <c r="TX109" s="41"/>
      <c r="TY109" s="41"/>
      <c r="TZ109" s="41"/>
      <c r="UA109" s="41"/>
      <c r="UB109" s="41"/>
      <c r="UC109" s="41"/>
      <c r="UD109" s="41"/>
      <c r="UE109" s="41"/>
      <c r="UF109" s="41"/>
      <c r="UG109" s="41"/>
      <c r="UH109" s="41"/>
      <c r="UI109" s="41"/>
      <c r="UJ109" s="41"/>
      <c r="UK109" s="41"/>
      <c r="UL109" s="41"/>
      <c r="UM109" s="41"/>
      <c r="UN109" s="41"/>
      <c r="UO109" s="41"/>
      <c r="UP109" s="41"/>
      <c r="UQ109" s="41"/>
      <c r="UR109" s="41"/>
      <c r="US109" s="41"/>
      <c r="UT109" s="41"/>
      <c r="UU109" s="41"/>
      <c r="UV109" s="41"/>
      <c r="UW109" s="41"/>
      <c r="UX109" s="41"/>
      <c r="UY109" s="41"/>
      <c r="UZ109" s="41"/>
      <c r="VA109" s="41"/>
      <c r="VB109" s="41"/>
      <c r="VC109" s="41"/>
      <c r="VD109" s="41"/>
      <c r="VE109" s="41"/>
      <c r="VF109" s="41"/>
      <c r="VG109" s="41"/>
      <c r="VH109" s="41"/>
      <c r="VI109" s="41"/>
      <c r="VJ109" s="41"/>
      <c r="VK109" s="41"/>
      <c r="VL109" s="41"/>
      <c r="VM109" s="41"/>
      <c r="VN109" s="41"/>
      <c r="VO109" s="41"/>
      <c r="VP109" s="41"/>
      <c r="VQ109" s="41"/>
      <c r="VR109" s="41"/>
      <c r="VS109" s="41"/>
      <c r="VT109" s="41"/>
      <c r="VU109" s="41"/>
      <c r="VV109" s="41"/>
      <c r="VW109" s="41"/>
      <c r="VX109" s="41"/>
      <c r="VY109" s="41"/>
      <c r="VZ109" s="41"/>
      <c r="WA109" s="41"/>
      <c r="WB109" s="41"/>
      <c r="WC109" s="41"/>
      <c r="WD109" s="41"/>
      <c r="WE109" s="41"/>
      <c r="WF109" s="41"/>
      <c r="WG109" s="41"/>
      <c r="WH109" s="41"/>
      <c r="WI109" s="41"/>
      <c r="WJ109" s="41"/>
      <c r="WK109" s="41"/>
      <c r="WL109" s="41"/>
      <c r="WM109" s="41"/>
      <c r="WN109" s="41"/>
      <c r="WO109" s="41"/>
      <c r="WP109" s="41"/>
      <c r="WQ109" s="41"/>
      <c r="WR109" s="41"/>
      <c r="WS109" s="41"/>
      <c r="WT109" s="41"/>
      <c r="WU109" s="41"/>
      <c r="WV109" s="41"/>
      <c r="WW109" s="41"/>
      <c r="WX109" s="41"/>
      <c r="WY109" s="41"/>
      <c r="WZ109" s="41"/>
      <c r="XA109" s="41"/>
      <c r="XB109" s="41"/>
      <c r="XC109" s="41"/>
      <c r="XD109" s="41"/>
      <c r="XE109" s="41"/>
      <c r="XF109" s="41"/>
      <c r="XG109" s="41"/>
      <c r="XH109" s="41"/>
      <c r="XI109" s="41"/>
      <c r="XJ109" s="41"/>
      <c r="XK109" s="41"/>
      <c r="XL109" s="41"/>
      <c r="XM109" s="41"/>
      <c r="XN109" s="41"/>
      <c r="XO109" s="41"/>
      <c r="XP109" s="41"/>
      <c r="XQ109" s="41"/>
      <c r="XR109" s="41"/>
      <c r="XS109" s="41"/>
      <c r="XT109" s="41"/>
      <c r="XU109" s="41"/>
      <c r="XV109" s="41"/>
      <c r="XW109" s="41"/>
      <c r="XX109" s="41"/>
      <c r="XY109" s="41"/>
      <c r="XZ109" s="41"/>
      <c r="YA109" s="41"/>
      <c r="YB109" s="41"/>
      <c r="YC109" s="41"/>
      <c r="YD109" s="41"/>
      <c r="YE109" s="41"/>
      <c r="YF109" s="41"/>
      <c r="YG109" s="41"/>
      <c r="YH109" s="41"/>
      <c r="YI109" s="41"/>
      <c r="YJ109" s="41"/>
      <c r="YK109" s="41"/>
      <c r="YL109" s="41"/>
      <c r="YM109" s="41"/>
      <c r="YN109" s="41"/>
      <c r="YO109" s="41"/>
      <c r="YP109" s="41"/>
      <c r="YQ109" s="41"/>
      <c r="YR109" s="41"/>
      <c r="YS109" s="41"/>
      <c r="YT109" s="41"/>
      <c r="YU109" s="41"/>
      <c r="YV109" s="41"/>
      <c r="YW109" s="41"/>
      <c r="YX109" s="41"/>
      <c r="YY109" s="41"/>
      <c r="YZ109" s="41"/>
      <c r="ZA109" s="41"/>
      <c r="ZB109" s="41"/>
      <c r="ZC109" s="41"/>
      <c r="ZD109" s="41"/>
      <c r="ZE109" s="41"/>
      <c r="ZF109" s="41"/>
      <c r="ZG109" s="41"/>
      <c r="ZH109" s="41"/>
      <c r="ZI109" s="41"/>
      <c r="ZJ109" s="41"/>
      <c r="ZK109" s="41"/>
      <c r="ZL109" s="41"/>
      <c r="ZM109" s="41"/>
      <c r="ZN109" s="41"/>
      <c r="ZO109" s="41"/>
      <c r="ZP109" s="41"/>
      <c r="ZQ109" s="41"/>
      <c r="ZR109" s="41"/>
      <c r="ZS109" s="41"/>
      <c r="ZT109" s="41"/>
      <c r="ZU109" s="41"/>
      <c r="ZV109" s="41"/>
      <c r="ZW109" s="41"/>
      <c r="ZX109" s="41"/>
      <c r="ZY109" s="41"/>
      <c r="ZZ109" s="41"/>
      <c r="AAA109" s="41"/>
      <c r="AAB109" s="41"/>
      <c r="AAC109" s="41"/>
    </row>
    <row r="110" spans="1:705" s="42" customFormat="1" ht="42" hidden="1" x14ac:dyDescent="0.3">
      <c r="A110" s="26">
        <v>106</v>
      </c>
      <c r="B110" s="137">
        <v>240025</v>
      </c>
      <c r="C110" s="138">
        <v>106</v>
      </c>
      <c r="D110" s="139">
        <v>45929</v>
      </c>
      <c r="E110" s="139">
        <f t="shared" si="18"/>
        <v>45928</v>
      </c>
      <c r="F110" s="139">
        <f t="shared" si="15"/>
        <v>45939</v>
      </c>
      <c r="G110" s="139">
        <v>45990</v>
      </c>
      <c r="H110" s="139">
        <v>45956</v>
      </c>
      <c r="I110" s="139" t="s">
        <v>123</v>
      </c>
      <c r="J110" s="140" t="s">
        <v>332</v>
      </c>
      <c r="K110" s="141">
        <f t="shared" si="19"/>
        <v>17</v>
      </c>
      <c r="L110" s="141">
        <v>1147486</v>
      </c>
      <c r="M110" s="140" t="s">
        <v>15</v>
      </c>
      <c r="N110" s="140">
        <v>805335</v>
      </c>
      <c r="O110" s="137" t="s">
        <v>246</v>
      </c>
      <c r="P110" s="143">
        <v>45946</v>
      </c>
      <c r="Q110" s="143">
        <v>45961</v>
      </c>
      <c r="R110" s="157" t="s">
        <v>211</v>
      </c>
      <c r="S110" s="144" t="s">
        <v>302</v>
      </c>
      <c r="T110" s="145">
        <v>1</v>
      </c>
      <c r="U110" s="137" t="s">
        <v>106</v>
      </c>
      <c r="V110" s="146">
        <v>15</v>
      </c>
      <c r="W110" s="146">
        <v>15</v>
      </c>
      <c r="X110" s="147"/>
      <c r="Y110" s="146"/>
      <c r="Z110" s="146">
        <v>0</v>
      </c>
      <c r="AA110" s="146">
        <v>0</v>
      </c>
      <c r="AB110" s="146">
        <v>5</v>
      </c>
      <c r="AC110" s="146">
        <v>5</v>
      </c>
      <c r="AD110" s="146">
        <v>0</v>
      </c>
      <c r="AE110" s="146">
        <v>0</v>
      </c>
      <c r="AF110" s="146">
        <v>0</v>
      </c>
      <c r="AG110" s="146">
        <v>0</v>
      </c>
      <c r="AH110" s="146">
        <v>1</v>
      </c>
      <c r="AI110" s="146">
        <v>1</v>
      </c>
      <c r="AJ110" s="146">
        <v>0</v>
      </c>
      <c r="AK110" s="146"/>
      <c r="AL110" s="146">
        <v>2</v>
      </c>
      <c r="AM110" s="146">
        <v>2</v>
      </c>
      <c r="AN110" s="146">
        <v>1</v>
      </c>
      <c r="AO110" s="146">
        <v>1</v>
      </c>
      <c r="AP110" s="146">
        <v>1</v>
      </c>
      <c r="AQ110" s="146">
        <v>1</v>
      </c>
      <c r="AR110" s="146">
        <v>0</v>
      </c>
      <c r="AS110" s="146">
        <v>0</v>
      </c>
      <c r="AT110" s="146">
        <v>0</v>
      </c>
      <c r="AU110" s="146">
        <v>0</v>
      </c>
      <c r="AV110" s="146">
        <v>1</v>
      </c>
      <c r="AW110" s="146">
        <v>1</v>
      </c>
      <c r="AX110" s="146">
        <f t="shared" si="16"/>
        <v>4175</v>
      </c>
      <c r="AY110" s="146">
        <f t="shared" si="17"/>
        <v>4175</v>
      </c>
      <c r="AZ110" s="140" t="s">
        <v>562</v>
      </c>
      <c r="BA110" s="137" t="s">
        <v>618</v>
      </c>
      <c r="BB110" s="137">
        <v>6</v>
      </c>
      <c r="BC110" s="148">
        <v>106</v>
      </c>
      <c r="BD110" s="149"/>
      <c r="BE110" s="145"/>
      <c r="BF110" s="150"/>
      <c r="BG110" s="151">
        <v>45931</v>
      </c>
      <c r="BH110" s="153" t="s">
        <v>15</v>
      </c>
      <c r="BI110" s="153" t="s">
        <v>562</v>
      </c>
      <c r="CC110" s="41"/>
      <c r="CD110" s="41"/>
      <c r="CE110" s="41"/>
      <c r="CF110" s="41"/>
      <c r="CG110" s="41"/>
      <c r="CH110" s="41"/>
      <c r="CI110" s="41"/>
      <c r="CJ110" s="41"/>
      <c r="CK110" s="41"/>
      <c r="CL110" s="41"/>
      <c r="CM110" s="41"/>
      <c r="CN110" s="41"/>
      <c r="CO110" s="41"/>
      <c r="CP110" s="41"/>
      <c r="CQ110" s="41"/>
      <c r="CR110" s="41"/>
      <c r="CS110" s="41"/>
      <c r="CT110" s="41"/>
      <c r="CU110" s="41"/>
      <c r="CV110" s="41"/>
      <c r="CW110" s="41"/>
      <c r="CX110" s="41"/>
      <c r="CY110" s="41"/>
      <c r="CZ110" s="41"/>
      <c r="DA110" s="41"/>
      <c r="DB110" s="41"/>
      <c r="DC110" s="41"/>
      <c r="DD110" s="41"/>
      <c r="DE110" s="41"/>
      <c r="DF110" s="41"/>
      <c r="DG110" s="41"/>
      <c r="DH110" s="41"/>
      <c r="DI110" s="41"/>
      <c r="DJ110" s="41"/>
      <c r="DK110" s="41"/>
      <c r="DL110" s="41"/>
      <c r="DM110" s="41"/>
      <c r="DN110" s="41"/>
      <c r="DO110" s="41"/>
      <c r="DP110" s="41"/>
      <c r="DQ110" s="41"/>
      <c r="DR110" s="41"/>
      <c r="DS110" s="41"/>
      <c r="DT110" s="41"/>
      <c r="DU110" s="41"/>
      <c r="DV110" s="41"/>
      <c r="DW110" s="41"/>
      <c r="DX110" s="41"/>
      <c r="DY110" s="41"/>
      <c r="DZ110" s="41"/>
      <c r="EA110" s="41"/>
      <c r="EB110" s="41"/>
      <c r="EC110" s="41"/>
      <c r="ED110" s="41"/>
      <c r="EE110" s="41"/>
      <c r="EF110" s="41"/>
      <c r="EG110" s="41"/>
      <c r="EH110" s="41"/>
      <c r="EI110" s="41"/>
      <c r="EJ110" s="41"/>
      <c r="EK110" s="41"/>
      <c r="EL110" s="41"/>
      <c r="EM110" s="41"/>
      <c r="EN110" s="41"/>
      <c r="EO110" s="41"/>
      <c r="EP110" s="41"/>
      <c r="EQ110" s="41"/>
      <c r="ER110" s="41"/>
      <c r="ES110" s="41"/>
      <c r="ET110" s="41"/>
      <c r="EU110" s="41"/>
      <c r="EV110" s="41"/>
      <c r="EW110" s="41"/>
      <c r="EX110" s="41"/>
      <c r="EY110" s="41"/>
      <c r="EZ110" s="41"/>
      <c r="FA110" s="41"/>
      <c r="FB110" s="41"/>
      <c r="FC110" s="41"/>
      <c r="FD110" s="41"/>
      <c r="FE110" s="41"/>
      <c r="FF110" s="41"/>
      <c r="FG110" s="41"/>
      <c r="FH110" s="41"/>
      <c r="FI110" s="41"/>
      <c r="FJ110" s="41"/>
      <c r="FK110" s="41"/>
      <c r="FL110" s="41"/>
      <c r="FM110" s="41"/>
      <c r="FN110" s="41"/>
      <c r="FO110" s="41"/>
      <c r="FP110" s="41"/>
      <c r="FQ110" s="41"/>
      <c r="FR110" s="41"/>
      <c r="FS110" s="41"/>
      <c r="FT110" s="41"/>
      <c r="FU110" s="41"/>
      <c r="FV110" s="41"/>
      <c r="FW110" s="41"/>
      <c r="FX110" s="41"/>
      <c r="FY110" s="41"/>
      <c r="FZ110" s="41"/>
      <c r="GA110" s="41"/>
      <c r="GB110" s="41"/>
      <c r="GC110" s="41"/>
      <c r="GD110" s="41"/>
      <c r="GE110" s="41"/>
      <c r="GF110" s="41"/>
      <c r="GG110" s="41"/>
      <c r="GH110" s="41"/>
      <c r="GI110" s="41"/>
      <c r="GJ110" s="41"/>
      <c r="GK110" s="41"/>
      <c r="GL110" s="41"/>
      <c r="GM110" s="41"/>
      <c r="GN110" s="41"/>
      <c r="GO110" s="41"/>
      <c r="GP110" s="41"/>
      <c r="GQ110" s="41"/>
      <c r="GR110" s="41"/>
      <c r="GS110" s="41"/>
      <c r="GT110" s="41"/>
      <c r="GU110" s="41"/>
      <c r="GV110" s="41"/>
      <c r="GW110" s="41"/>
      <c r="GX110" s="41"/>
      <c r="GY110" s="41"/>
      <c r="GZ110" s="41"/>
      <c r="HA110" s="41"/>
      <c r="HB110" s="41"/>
      <c r="HC110" s="41"/>
      <c r="HD110" s="41"/>
      <c r="HE110" s="41"/>
      <c r="HF110" s="41"/>
      <c r="HG110" s="41"/>
      <c r="HH110" s="41"/>
      <c r="HI110" s="41"/>
      <c r="HJ110" s="41"/>
      <c r="HK110" s="41"/>
      <c r="HL110" s="41"/>
      <c r="HM110" s="41"/>
      <c r="HN110" s="41"/>
      <c r="HO110" s="41"/>
      <c r="HP110" s="41"/>
      <c r="HQ110" s="41"/>
      <c r="HR110" s="41"/>
      <c r="HS110" s="41"/>
      <c r="HT110" s="41"/>
      <c r="HU110" s="41"/>
      <c r="HV110" s="41"/>
      <c r="HW110" s="41"/>
      <c r="HX110" s="41"/>
      <c r="HY110" s="41"/>
      <c r="HZ110" s="41"/>
      <c r="IA110" s="41"/>
      <c r="IB110" s="41"/>
      <c r="IC110" s="41"/>
      <c r="ID110" s="41"/>
      <c r="IE110" s="41"/>
      <c r="IF110" s="41"/>
      <c r="IG110" s="41"/>
      <c r="IH110" s="41"/>
      <c r="II110" s="41"/>
      <c r="IJ110" s="41"/>
      <c r="IK110" s="41"/>
      <c r="IL110" s="41"/>
      <c r="IM110" s="41"/>
      <c r="IN110" s="41"/>
      <c r="IO110" s="41"/>
      <c r="IP110" s="41"/>
      <c r="IQ110" s="41"/>
      <c r="IR110" s="41"/>
      <c r="IS110" s="41"/>
      <c r="IT110" s="41"/>
      <c r="IU110" s="41"/>
      <c r="IV110" s="41"/>
      <c r="IW110" s="41"/>
      <c r="IX110" s="41"/>
      <c r="IY110" s="41"/>
      <c r="IZ110" s="41"/>
      <c r="JA110" s="41"/>
      <c r="JB110" s="41"/>
      <c r="JC110" s="41"/>
      <c r="JD110" s="41"/>
      <c r="JE110" s="41"/>
      <c r="JF110" s="41"/>
      <c r="JG110" s="41"/>
      <c r="JH110" s="41"/>
      <c r="JI110" s="41"/>
      <c r="JJ110" s="41"/>
      <c r="JK110" s="41"/>
      <c r="JL110" s="41"/>
      <c r="JM110" s="41"/>
      <c r="JN110" s="41"/>
      <c r="JO110" s="41"/>
      <c r="JP110" s="41"/>
      <c r="JQ110" s="41"/>
      <c r="JR110" s="41"/>
      <c r="JS110" s="41"/>
      <c r="JT110" s="41"/>
      <c r="JU110" s="41"/>
      <c r="JV110" s="41"/>
      <c r="JW110" s="41"/>
      <c r="JX110" s="41"/>
      <c r="JY110" s="41"/>
      <c r="JZ110" s="41"/>
      <c r="KA110" s="41"/>
      <c r="KB110" s="41"/>
      <c r="KC110" s="41"/>
      <c r="KD110" s="41"/>
      <c r="KE110" s="41"/>
      <c r="KF110" s="41"/>
      <c r="KG110" s="41"/>
      <c r="KH110" s="41"/>
      <c r="KI110" s="41"/>
      <c r="KJ110" s="41"/>
      <c r="KK110" s="41"/>
      <c r="KL110" s="41"/>
      <c r="KM110" s="41"/>
      <c r="KN110" s="41"/>
      <c r="KO110" s="41"/>
      <c r="KP110" s="41"/>
      <c r="KQ110" s="41"/>
      <c r="KR110" s="41"/>
      <c r="KS110" s="41"/>
      <c r="KT110" s="41"/>
      <c r="KU110" s="41"/>
      <c r="KV110" s="41"/>
      <c r="KW110" s="41"/>
      <c r="KX110" s="41"/>
      <c r="KY110" s="41"/>
      <c r="KZ110" s="41"/>
      <c r="LA110" s="41"/>
      <c r="LB110" s="41"/>
      <c r="LC110" s="41"/>
      <c r="LD110" s="41"/>
      <c r="LE110" s="41"/>
      <c r="LF110" s="41"/>
      <c r="LG110" s="41"/>
      <c r="LH110" s="41"/>
      <c r="LI110" s="41"/>
      <c r="LJ110" s="41"/>
      <c r="LK110" s="41"/>
      <c r="LL110" s="41"/>
      <c r="LM110" s="41"/>
      <c r="LN110" s="41"/>
      <c r="LO110" s="41"/>
      <c r="LP110" s="41"/>
      <c r="LQ110" s="41"/>
      <c r="LR110" s="41"/>
      <c r="LS110" s="41"/>
      <c r="LT110" s="41"/>
      <c r="LU110" s="41"/>
      <c r="LV110" s="41"/>
      <c r="LW110" s="41"/>
      <c r="LX110" s="41"/>
      <c r="LY110" s="41"/>
      <c r="LZ110" s="41"/>
      <c r="MA110" s="41"/>
      <c r="MB110" s="41"/>
      <c r="MC110" s="41"/>
      <c r="MD110" s="41"/>
      <c r="ME110" s="41"/>
      <c r="MF110" s="41"/>
      <c r="MG110" s="41"/>
      <c r="MH110" s="41"/>
      <c r="MI110" s="41"/>
      <c r="MJ110" s="41"/>
      <c r="MK110" s="41"/>
      <c r="ML110" s="41"/>
      <c r="MM110" s="41"/>
      <c r="MN110" s="41"/>
      <c r="MO110" s="41"/>
      <c r="MP110" s="41"/>
      <c r="MQ110" s="41"/>
      <c r="MR110" s="41"/>
      <c r="MS110" s="41"/>
      <c r="MT110" s="41"/>
      <c r="MU110" s="41"/>
      <c r="MV110" s="41"/>
      <c r="MW110" s="41"/>
      <c r="MX110" s="41"/>
      <c r="MY110" s="41"/>
      <c r="MZ110" s="41"/>
      <c r="NA110" s="41"/>
      <c r="NB110" s="41"/>
      <c r="NC110" s="41"/>
      <c r="ND110" s="41"/>
      <c r="NE110" s="41"/>
      <c r="NF110" s="41"/>
      <c r="NG110" s="41"/>
      <c r="NH110" s="41"/>
      <c r="NI110" s="41"/>
      <c r="NJ110" s="41"/>
      <c r="NK110" s="41"/>
      <c r="NL110" s="41"/>
      <c r="NM110" s="41"/>
      <c r="NN110" s="41"/>
      <c r="NO110" s="41"/>
      <c r="NP110" s="41"/>
      <c r="NQ110" s="41"/>
      <c r="NR110" s="41"/>
      <c r="NS110" s="41"/>
      <c r="NT110" s="41"/>
      <c r="NU110" s="41"/>
      <c r="NV110" s="41"/>
      <c r="NW110" s="41"/>
      <c r="NX110" s="41"/>
      <c r="NY110" s="41"/>
      <c r="NZ110" s="41"/>
      <c r="OA110" s="41"/>
      <c r="OB110" s="41"/>
      <c r="OC110" s="41"/>
      <c r="OD110" s="41"/>
      <c r="OE110" s="41"/>
      <c r="OF110" s="41"/>
      <c r="OG110" s="41"/>
      <c r="OH110" s="41"/>
      <c r="OI110" s="41"/>
      <c r="OJ110" s="41"/>
      <c r="OK110" s="41"/>
      <c r="OL110" s="41"/>
      <c r="OM110" s="41"/>
      <c r="ON110" s="41"/>
      <c r="OO110" s="41"/>
      <c r="OP110" s="41"/>
      <c r="OQ110" s="41"/>
      <c r="OR110" s="41"/>
      <c r="OS110" s="41"/>
      <c r="OT110" s="41"/>
      <c r="OU110" s="41"/>
      <c r="OV110" s="41"/>
      <c r="OW110" s="41"/>
      <c r="OX110" s="41"/>
      <c r="OY110" s="41"/>
      <c r="OZ110" s="41"/>
      <c r="PA110" s="41"/>
      <c r="PB110" s="41"/>
      <c r="PC110" s="41"/>
      <c r="PD110" s="41"/>
      <c r="PE110" s="41"/>
      <c r="PF110" s="41"/>
      <c r="PG110" s="41"/>
      <c r="PH110" s="41"/>
      <c r="PI110" s="41"/>
      <c r="PJ110" s="41"/>
      <c r="PK110" s="41"/>
      <c r="PL110" s="41"/>
      <c r="PM110" s="41"/>
      <c r="PN110" s="41"/>
      <c r="PO110" s="41"/>
      <c r="PP110" s="41"/>
      <c r="PQ110" s="41"/>
      <c r="PR110" s="41"/>
      <c r="PS110" s="41"/>
      <c r="PT110" s="41"/>
      <c r="PU110" s="41"/>
      <c r="PV110" s="41"/>
      <c r="PW110" s="41"/>
      <c r="PX110" s="41"/>
      <c r="PY110" s="41"/>
      <c r="PZ110" s="41"/>
      <c r="QA110" s="41"/>
      <c r="QB110" s="41"/>
      <c r="QC110" s="41"/>
      <c r="QD110" s="41"/>
      <c r="QE110" s="41"/>
      <c r="QF110" s="41"/>
      <c r="QG110" s="41"/>
      <c r="QH110" s="41"/>
      <c r="QI110" s="41"/>
      <c r="QJ110" s="41"/>
      <c r="QK110" s="41"/>
      <c r="QL110" s="41"/>
      <c r="QM110" s="41"/>
      <c r="QN110" s="41"/>
      <c r="QO110" s="41"/>
      <c r="QP110" s="41"/>
      <c r="QQ110" s="41"/>
      <c r="QR110" s="41"/>
      <c r="QS110" s="41"/>
      <c r="QT110" s="41"/>
      <c r="QU110" s="41"/>
      <c r="QV110" s="41"/>
      <c r="QW110" s="41"/>
      <c r="QX110" s="41"/>
      <c r="QY110" s="41"/>
      <c r="QZ110" s="41"/>
      <c r="RA110" s="41"/>
      <c r="RB110" s="41"/>
      <c r="RC110" s="41"/>
      <c r="RD110" s="41"/>
      <c r="RE110" s="41"/>
      <c r="RF110" s="41"/>
      <c r="RG110" s="41"/>
      <c r="RH110" s="41"/>
      <c r="RI110" s="41"/>
      <c r="RJ110" s="41"/>
      <c r="RK110" s="41"/>
      <c r="RL110" s="41"/>
      <c r="RM110" s="41"/>
      <c r="RN110" s="41"/>
      <c r="RO110" s="41"/>
      <c r="RP110" s="41"/>
      <c r="RQ110" s="41"/>
      <c r="RR110" s="41"/>
      <c r="RS110" s="41"/>
      <c r="RT110" s="41"/>
      <c r="RU110" s="41"/>
      <c r="RV110" s="41"/>
      <c r="RW110" s="41"/>
      <c r="RX110" s="41"/>
      <c r="RY110" s="41"/>
      <c r="RZ110" s="41"/>
      <c r="SA110" s="41"/>
      <c r="SB110" s="41"/>
      <c r="SC110" s="41"/>
      <c r="SD110" s="41"/>
      <c r="SE110" s="41"/>
      <c r="SF110" s="41"/>
      <c r="SG110" s="41"/>
      <c r="SH110" s="41"/>
      <c r="SI110" s="41"/>
      <c r="SJ110" s="41"/>
      <c r="SK110" s="41"/>
      <c r="SL110" s="41"/>
      <c r="SM110" s="41"/>
      <c r="SN110" s="41"/>
      <c r="SO110" s="41"/>
      <c r="SP110" s="41"/>
      <c r="SQ110" s="41"/>
      <c r="SR110" s="41"/>
      <c r="SS110" s="41"/>
      <c r="ST110" s="41"/>
      <c r="SU110" s="41"/>
      <c r="SV110" s="41"/>
      <c r="SW110" s="41"/>
      <c r="SX110" s="41"/>
      <c r="SY110" s="41"/>
      <c r="SZ110" s="41"/>
      <c r="TA110" s="41"/>
      <c r="TB110" s="41"/>
      <c r="TC110" s="41"/>
      <c r="TD110" s="41"/>
      <c r="TE110" s="41"/>
      <c r="TF110" s="41"/>
      <c r="TG110" s="41"/>
      <c r="TH110" s="41"/>
      <c r="TI110" s="41"/>
      <c r="TJ110" s="41"/>
      <c r="TK110" s="41"/>
      <c r="TL110" s="41"/>
      <c r="TM110" s="41"/>
      <c r="TN110" s="41"/>
      <c r="TO110" s="41"/>
      <c r="TP110" s="41"/>
      <c r="TQ110" s="41"/>
      <c r="TR110" s="41"/>
      <c r="TS110" s="41"/>
      <c r="TT110" s="41"/>
      <c r="TU110" s="41"/>
      <c r="TV110" s="41"/>
      <c r="TW110" s="41"/>
      <c r="TX110" s="41"/>
      <c r="TY110" s="41"/>
      <c r="TZ110" s="41"/>
      <c r="UA110" s="41"/>
      <c r="UB110" s="41"/>
      <c r="UC110" s="41"/>
      <c r="UD110" s="41"/>
      <c r="UE110" s="41"/>
      <c r="UF110" s="41"/>
      <c r="UG110" s="41"/>
      <c r="UH110" s="41"/>
      <c r="UI110" s="41"/>
      <c r="UJ110" s="41"/>
      <c r="UK110" s="41"/>
      <c r="UL110" s="41"/>
      <c r="UM110" s="41"/>
      <c r="UN110" s="41"/>
      <c r="UO110" s="41"/>
      <c r="UP110" s="41"/>
      <c r="UQ110" s="41"/>
      <c r="UR110" s="41"/>
      <c r="US110" s="41"/>
      <c r="UT110" s="41"/>
      <c r="UU110" s="41"/>
      <c r="UV110" s="41"/>
      <c r="UW110" s="41"/>
      <c r="UX110" s="41"/>
      <c r="UY110" s="41"/>
      <c r="UZ110" s="41"/>
      <c r="VA110" s="41"/>
      <c r="VB110" s="41"/>
      <c r="VC110" s="41"/>
      <c r="VD110" s="41"/>
      <c r="VE110" s="41"/>
      <c r="VF110" s="41"/>
      <c r="VG110" s="41"/>
      <c r="VH110" s="41"/>
      <c r="VI110" s="41"/>
      <c r="VJ110" s="41"/>
      <c r="VK110" s="41"/>
      <c r="VL110" s="41"/>
      <c r="VM110" s="41"/>
      <c r="VN110" s="41"/>
      <c r="VO110" s="41"/>
      <c r="VP110" s="41"/>
      <c r="VQ110" s="41"/>
      <c r="VR110" s="41"/>
      <c r="VS110" s="41"/>
      <c r="VT110" s="41"/>
      <c r="VU110" s="41"/>
      <c r="VV110" s="41"/>
      <c r="VW110" s="41"/>
      <c r="VX110" s="41"/>
      <c r="VY110" s="41"/>
      <c r="VZ110" s="41"/>
      <c r="WA110" s="41"/>
      <c r="WB110" s="41"/>
      <c r="WC110" s="41"/>
      <c r="WD110" s="41"/>
      <c r="WE110" s="41"/>
      <c r="WF110" s="41"/>
      <c r="WG110" s="41"/>
      <c r="WH110" s="41"/>
      <c r="WI110" s="41"/>
      <c r="WJ110" s="41"/>
      <c r="WK110" s="41"/>
      <c r="WL110" s="41"/>
      <c r="WM110" s="41"/>
      <c r="WN110" s="41"/>
      <c r="WO110" s="41"/>
      <c r="WP110" s="41"/>
      <c r="WQ110" s="41"/>
      <c r="WR110" s="41"/>
      <c r="WS110" s="41"/>
      <c r="WT110" s="41"/>
      <c r="WU110" s="41"/>
      <c r="WV110" s="41"/>
      <c r="WW110" s="41"/>
      <c r="WX110" s="41"/>
      <c r="WY110" s="41"/>
      <c r="WZ110" s="41"/>
      <c r="XA110" s="41"/>
      <c r="XB110" s="41"/>
      <c r="XC110" s="41"/>
      <c r="XD110" s="41"/>
      <c r="XE110" s="41"/>
      <c r="XF110" s="41"/>
      <c r="XG110" s="41"/>
      <c r="XH110" s="41"/>
      <c r="XI110" s="41"/>
      <c r="XJ110" s="41"/>
      <c r="XK110" s="41"/>
      <c r="XL110" s="41"/>
      <c r="XM110" s="41"/>
      <c r="XN110" s="41"/>
      <c r="XO110" s="41"/>
      <c r="XP110" s="41"/>
      <c r="XQ110" s="41"/>
      <c r="XR110" s="41"/>
      <c r="XS110" s="41"/>
      <c r="XT110" s="41"/>
      <c r="XU110" s="41"/>
      <c r="XV110" s="41"/>
      <c r="XW110" s="41"/>
      <c r="XX110" s="41"/>
      <c r="XY110" s="41"/>
      <c r="XZ110" s="41"/>
      <c r="YA110" s="41"/>
      <c r="YB110" s="41"/>
      <c r="YC110" s="41"/>
      <c r="YD110" s="41"/>
      <c r="YE110" s="41"/>
      <c r="YF110" s="41"/>
      <c r="YG110" s="41"/>
      <c r="YH110" s="41"/>
      <c r="YI110" s="41"/>
      <c r="YJ110" s="41"/>
      <c r="YK110" s="41"/>
      <c r="YL110" s="41"/>
      <c r="YM110" s="41"/>
      <c r="YN110" s="41"/>
      <c r="YO110" s="41"/>
      <c r="YP110" s="41"/>
      <c r="YQ110" s="41"/>
      <c r="YR110" s="41"/>
      <c r="YS110" s="41"/>
      <c r="YT110" s="41"/>
      <c r="YU110" s="41"/>
      <c r="YV110" s="41"/>
      <c r="YW110" s="41"/>
      <c r="YX110" s="41"/>
      <c r="YY110" s="41"/>
      <c r="YZ110" s="41"/>
      <c r="ZA110" s="41"/>
      <c r="ZB110" s="41"/>
      <c r="ZC110" s="41"/>
      <c r="ZD110" s="41"/>
      <c r="ZE110" s="41"/>
      <c r="ZF110" s="41"/>
      <c r="ZG110" s="41"/>
      <c r="ZH110" s="41"/>
      <c r="ZI110" s="41"/>
      <c r="ZJ110" s="41"/>
      <c r="ZK110" s="41"/>
      <c r="ZL110" s="41"/>
      <c r="ZM110" s="41"/>
      <c r="ZN110" s="41"/>
      <c r="ZO110" s="41"/>
      <c r="ZP110" s="41"/>
      <c r="ZQ110" s="41"/>
      <c r="ZR110" s="41"/>
      <c r="ZS110" s="41"/>
      <c r="ZT110" s="41"/>
      <c r="ZU110" s="41"/>
      <c r="ZV110" s="41"/>
      <c r="ZW110" s="41"/>
      <c r="ZX110" s="41"/>
      <c r="ZY110" s="41"/>
      <c r="ZZ110" s="41"/>
      <c r="AAA110" s="41"/>
      <c r="AAB110" s="41"/>
      <c r="AAC110" s="41"/>
    </row>
    <row r="111" spans="1:705" s="42" customFormat="1" ht="42" hidden="1" x14ac:dyDescent="0.3">
      <c r="A111" s="26">
        <v>107</v>
      </c>
      <c r="B111" s="137">
        <v>240026</v>
      </c>
      <c r="C111" s="138">
        <v>107</v>
      </c>
      <c r="D111" s="139">
        <v>45925</v>
      </c>
      <c r="E111" s="139">
        <f t="shared" si="18"/>
        <v>45924</v>
      </c>
      <c r="F111" s="139">
        <f t="shared" si="15"/>
        <v>45935</v>
      </c>
      <c r="G111" s="139">
        <v>46016</v>
      </c>
      <c r="H111" s="139">
        <v>46057</v>
      </c>
      <c r="I111" s="139" t="s">
        <v>321</v>
      </c>
      <c r="J111" s="140" t="s">
        <v>303</v>
      </c>
      <c r="K111" s="141">
        <f t="shared" si="19"/>
        <v>122</v>
      </c>
      <c r="L111" s="141">
        <v>1147547</v>
      </c>
      <c r="M111" s="140" t="s">
        <v>15</v>
      </c>
      <c r="N111" s="140">
        <v>810947</v>
      </c>
      <c r="O111" s="140" t="s">
        <v>246</v>
      </c>
      <c r="P111" s="143">
        <v>46022</v>
      </c>
      <c r="Q111" s="143">
        <v>46198</v>
      </c>
      <c r="R111" s="157" t="s">
        <v>211</v>
      </c>
      <c r="S111" s="144" t="s">
        <v>304</v>
      </c>
      <c r="T111" s="145">
        <v>1</v>
      </c>
      <c r="U111" s="137" t="s">
        <v>82</v>
      </c>
      <c r="V111" s="146">
        <v>52</v>
      </c>
      <c r="W111" s="146">
        <v>52</v>
      </c>
      <c r="X111" s="147">
        <v>0</v>
      </c>
      <c r="Y111" s="146"/>
      <c r="Z111" s="146">
        <v>0</v>
      </c>
      <c r="AA111" s="146">
        <v>0</v>
      </c>
      <c r="AB111" s="146">
        <v>18</v>
      </c>
      <c r="AC111" s="146">
        <v>18</v>
      </c>
      <c r="AD111" s="146">
        <v>0</v>
      </c>
      <c r="AE111" s="146">
        <v>0</v>
      </c>
      <c r="AF111" s="146">
        <v>0</v>
      </c>
      <c r="AG111" s="146">
        <v>0</v>
      </c>
      <c r="AH111" s="146">
        <v>1</v>
      </c>
      <c r="AI111" s="146">
        <v>1</v>
      </c>
      <c r="AJ111" s="146">
        <v>0</v>
      </c>
      <c r="AK111" s="146">
        <v>0</v>
      </c>
      <c r="AL111" s="146">
        <v>0</v>
      </c>
      <c r="AM111" s="146"/>
      <c r="AN111" s="146">
        <v>2</v>
      </c>
      <c r="AO111" s="146">
        <v>2</v>
      </c>
      <c r="AP111" s="146">
        <v>2</v>
      </c>
      <c r="AQ111" s="146">
        <v>2</v>
      </c>
      <c r="AR111" s="146">
        <v>0</v>
      </c>
      <c r="AS111" s="146">
        <v>0</v>
      </c>
      <c r="AT111" s="146">
        <v>0</v>
      </c>
      <c r="AU111" s="146">
        <v>0</v>
      </c>
      <c r="AV111" s="146">
        <v>0</v>
      </c>
      <c r="AW111" s="146">
        <v>0</v>
      </c>
      <c r="AX111" s="146">
        <f t="shared" si="16"/>
        <v>5696</v>
      </c>
      <c r="AY111" s="146">
        <f t="shared" si="17"/>
        <v>5696</v>
      </c>
      <c r="AZ111" s="140" t="s">
        <v>562</v>
      </c>
      <c r="BA111" s="137" t="s">
        <v>562</v>
      </c>
      <c r="BB111" s="137">
        <v>9</v>
      </c>
      <c r="BC111" s="148">
        <v>107</v>
      </c>
      <c r="BD111" s="149"/>
      <c r="BE111" s="145"/>
      <c r="BF111" s="150"/>
      <c r="BG111" s="151">
        <v>46054</v>
      </c>
      <c r="BH111" s="153" t="s">
        <v>535</v>
      </c>
      <c r="BI111" s="153" t="s">
        <v>562</v>
      </c>
      <c r="CC111" s="41"/>
      <c r="CD111" s="41"/>
      <c r="CE111" s="41"/>
      <c r="CF111" s="41"/>
      <c r="CG111" s="41"/>
      <c r="CH111" s="41"/>
      <c r="CI111" s="41"/>
      <c r="CJ111" s="41"/>
      <c r="CK111" s="41"/>
      <c r="CL111" s="41"/>
      <c r="CM111" s="41"/>
      <c r="CN111" s="41"/>
      <c r="CO111" s="41"/>
      <c r="CP111" s="41"/>
      <c r="CQ111" s="41"/>
      <c r="CR111" s="41"/>
      <c r="CS111" s="41"/>
      <c r="CT111" s="41"/>
      <c r="CU111" s="41"/>
      <c r="CV111" s="41"/>
      <c r="CW111" s="41"/>
      <c r="CX111" s="41"/>
      <c r="CY111" s="41"/>
      <c r="CZ111" s="41"/>
      <c r="DA111" s="41"/>
      <c r="DB111" s="41"/>
      <c r="DC111" s="41"/>
      <c r="DD111" s="41"/>
      <c r="DE111" s="41"/>
      <c r="DF111" s="41"/>
      <c r="DG111" s="41"/>
      <c r="DH111" s="41"/>
      <c r="DI111" s="41"/>
      <c r="DJ111" s="41"/>
      <c r="DK111" s="41"/>
      <c r="DL111" s="41"/>
      <c r="DM111" s="41"/>
      <c r="DN111" s="41"/>
      <c r="DO111" s="41"/>
      <c r="DP111" s="41"/>
      <c r="DQ111" s="41"/>
      <c r="DR111" s="41"/>
      <c r="DS111" s="41"/>
      <c r="DT111" s="41"/>
      <c r="DU111" s="41"/>
      <c r="DV111" s="41"/>
      <c r="DW111" s="41"/>
      <c r="DX111" s="41"/>
      <c r="DY111" s="41"/>
      <c r="DZ111" s="41"/>
      <c r="EA111" s="41"/>
      <c r="EB111" s="41"/>
      <c r="EC111" s="41"/>
      <c r="ED111" s="41"/>
      <c r="EE111" s="41"/>
      <c r="EF111" s="41"/>
      <c r="EG111" s="41"/>
      <c r="EH111" s="41"/>
      <c r="EI111" s="41"/>
      <c r="EJ111" s="41"/>
      <c r="EK111" s="41"/>
      <c r="EL111" s="41"/>
      <c r="EM111" s="41"/>
      <c r="EN111" s="41"/>
      <c r="EO111" s="41"/>
      <c r="EP111" s="41"/>
      <c r="EQ111" s="41"/>
      <c r="ER111" s="41"/>
      <c r="ES111" s="41"/>
      <c r="ET111" s="41"/>
      <c r="EU111" s="41"/>
      <c r="EV111" s="41"/>
      <c r="EW111" s="41"/>
      <c r="EX111" s="41"/>
      <c r="EY111" s="41"/>
      <c r="EZ111" s="41"/>
      <c r="FA111" s="41"/>
      <c r="FB111" s="41"/>
      <c r="FC111" s="41"/>
      <c r="FD111" s="41"/>
      <c r="FE111" s="41"/>
      <c r="FF111" s="41"/>
      <c r="FG111" s="41"/>
      <c r="FH111" s="41"/>
      <c r="FI111" s="41"/>
      <c r="FJ111" s="41"/>
      <c r="FK111" s="41"/>
      <c r="FL111" s="41"/>
      <c r="FM111" s="41"/>
      <c r="FN111" s="41"/>
      <c r="FO111" s="41"/>
      <c r="FP111" s="41"/>
      <c r="FQ111" s="41"/>
      <c r="FR111" s="41"/>
      <c r="FS111" s="41"/>
      <c r="FT111" s="41"/>
      <c r="FU111" s="41"/>
      <c r="FV111" s="41"/>
      <c r="FW111" s="41"/>
      <c r="FX111" s="41"/>
      <c r="FY111" s="41"/>
      <c r="FZ111" s="41"/>
      <c r="GA111" s="41"/>
      <c r="GB111" s="41"/>
      <c r="GC111" s="41"/>
      <c r="GD111" s="41"/>
      <c r="GE111" s="41"/>
      <c r="GF111" s="41"/>
      <c r="GG111" s="41"/>
      <c r="GH111" s="41"/>
      <c r="GI111" s="41"/>
      <c r="GJ111" s="41"/>
      <c r="GK111" s="41"/>
      <c r="GL111" s="41"/>
      <c r="GM111" s="41"/>
      <c r="GN111" s="41"/>
      <c r="GO111" s="41"/>
      <c r="GP111" s="41"/>
      <c r="GQ111" s="41"/>
      <c r="GR111" s="41"/>
      <c r="GS111" s="41"/>
      <c r="GT111" s="41"/>
      <c r="GU111" s="41"/>
      <c r="GV111" s="41"/>
      <c r="GW111" s="41"/>
      <c r="GX111" s="41"/>
      <c r="GY111" s="41"/>
      <c r="GZ111" s="41"/>
      <c r="HA111" s="41"/>
      <c r="HB111" s="41"/>
      <c r="HC111" s="41"/>
      <c r="HD111" s="41"/>
      <c r="HE111" s="41"/>
      <c r="HF111" s="41"/>
      <c r="HG111" s="41"/>
      <c r="HH111" s="41"/>
      <c r="HI111" s="41"/>
      <c r="HJ111" s="41"/>
      <c r="HK111" s="41"/>
      <c r="HL111" s="41"/>
      <c r="HM111" s="41"/>
      <c r="HN111" s="41"/>
      <c r="HO111" s="41"/>
      <c r="HP111" s="41"/>
      <c r="HQ111" s="41"/>
      <c r="HR111" s="41"/>
      <c r="HS111" s="41"/>
      <c r="HT111" s="41"/>
      <c r="HU111" s="41"/>
      <c r="HV111" s="41"/>
      <c r="HW111" s="41"/>
      <c r="HX111" s="41"/>
      <c r="HY111" s="41"/>
      <c r="HZ111" s="41"/>
      <c r="IA111" s="41"/>
      <c r="IB111" s="41"/>
      <c r="IC111" s="41"/>
      <c r="ID111" s="41"/>
      <c r="IE111" s="41"/>
      <c r="IF111" s="41"/>
      <c r="IG111" s="41"/>
      <c r="IH111" s="41"/>
      <c r="II111" s="41"/>
      <c r="IJ111" s="41"/>
      <c r="IK111" s="41"/>
      <c r="IL111" s="41"/>
      <c r="IM111" s="41"/>
      <c r="IN111" s="41"/>
      <c r="IO111" s="41"/>
      <c r="IP111" s="41"/>
      <c r="IQ111" s="41"/>
      <c r="IR111" s="41"/>
      <c r="IS111" s="41"/>
      <c r="IT111" s="41"/>
      <c r="IU111" s="41"/>
      <c r="IV111" s="41"/>
      <c r="IW111" s="41"/>
      <c r="IX111" s="41"/>
      <c r="IY111" s="41"/>
      <c r="IZ111" s="41"/>
      <c r="JA111" s="41"/>
      <c r="JB111" s="41"/>
      <c r="JC111" s="41"/>
      <c r="JD111" s="41"/>
      <c r="JE111" s="41"/>
      <c r="JF111" s="41"/>
      <c r="JG111" s="41"/>
      <c r="JH111" s="41"/>
      <c r="JI111" s="41"/>
      <c r="JJ111" s="41"/>
      <c r="JK111" s="41"/>
      <c r="JL111" s="41"/>
      <c r="JM111" s="41"/>
      <c r="JN111" s="41"/>
      <c r="JO111" s="41"/>
      <c r="JP111" s="41"/>
      <c r="JQ111" s="41"/>
      <c r="JR111" s="41"/>
      <c r="JS111" s="41"/>
      <c r="JT111" s="41"/>
      <c r="JU111" s="41"/>
      <c r="JV111" s="41"/>
      <c r="JW111" s="41"/>
      <c r="JX111" s="41"/>
      <c r="JY111" s="41"/>
      <c r="JZ111" s="41"/>
      <c r="KA111" s="41"/>
      <c r="KB111" s="41"/>
      <c r="KC111" s="41"/>
      <c r="KD111" s="41"/>
      <c r="KE111" s="41"/>
      <c r="KF111" s="41"/>
      <c r="KG111" s="41"/>
      <c r="KH111" s="41"/>
      <c r="KI111" s="41"/>
      <c r="KJ111" s="41"/>
      <c r="KK111" s="41"/>
      <c r="KL111" s="41"/>
      <c r="KM111" s="41"/>
      <c r="KN111" s="41"/>
      <c r="KO111" s="41"/>
      <c r="KP111" s="41"/>
      <c r="KQ111" s="41"/>
      <c r="KR111" s="41"/>
      <c r="KS111" s="41"/>
      <c r="KT111" s="41"/>
      <c r="KU111" s="41"/>
      <c r="KV111" s="41"/>
      <c r="KW111" s="41"/>
      <c r="KX111" s="41"/>
      <c r="KY111" s="41"/>
      <c r="KZ111" s="41"/>
      <c r="LA111" s="41"/>
      <c r="LB111" s="41"/>
      <c r="LC111" s="41"/>
      <c r="LD111" s="41"/>
      <c r="LE111" s="41"/>
      <c r="LF111" s="41"/>
      <c r="LG111" s="41"/>
      <c r="LH111" s="41"/>
      <c r="LI111" s="41"/>
      <c r="LJ111" s="41"/>
      <c r="LK111" s="41"/>
      <c r="LL111" s="41"/>
      <c r="LM111" s="41"/>
      <c r="LN111" s="41"/>
      <c r="LO111" s="41"/>
      <c r="LP111" s="41"/>
      <c r="LQ111" s="41"/>
      <c r="LR111" s="41"/>
      <c r="LS111" s="41"/>
      <c r="LT111" s="41"/>
      <c r="LU111" s="41"/>
      <c r="LV111" s="41"/>
      <c r="LW111" s="41"/>
      <c r="LX111" s="41"/>
      <c r="LY111" s="41"/>
      <c r="LZ111" s="41"/>
      <c r="MA111" s="41"/>
      <c r="MB111" s="41"/>
      <c r="MC111" s="41"/>
      <c r="MD111" s="41"/>
      <c r="ME111" s="41"/>
      <c r="MF111" s="41"/>
      <c r="MG111" s="41"/>
      <c r="MH111" s="41"/>
      <c r="MI111" s="41"/>
      <c r="MJ111" s="41"/>
      <c r="MK111" s="41"/>
      <c r="ML111" s="41"/>
      <c r="MM111" s="41"/>
      <c r="MN111" s="41"/>
      <c r="MO111" s="41"/>
      <c r="MP111" s="41"/>
      <c r="MQ111" s="41"/>
      <c r="MR111" s="41"/>
      <c r="MS111" s="41"/>
      <c r="MT111" s="41"/>
      <c r="MU111" s="41"/>
      <c r="MV111" s="41"/>
      <c r="MW111" s="41"/>
      <c r="MX111" s="41"/>
      <c r="MY111" s="41"/>
      <c r="MZ111" s="41"/>
      <c r="NA111" s="41"/>
      <c r="NB111" s="41"/>
      <c r="NC111" s="41"/>
      <c r="ND111" s="41"/>
      <c r="NE111" s="41"/>
      <c r="NF111" s="41"/>
      <c r="NG111" s="41"/>
      <c r="NH111" s="41"/>
      <c r="NI111" s="41"/>
      <c r="NJ111" s="41"/>
      <c r="NK111" s="41"/>
      <c r="NL111" s="41"/>
      <c r="NM111" s="41"/>
      <c r="NN111" s="41"/>
      <c r="NO111" s="41"/>
      <c r="NP111" s="41"/>
      <c r="NQ111" s="41"/>
      <c r="NR111" s="41"/>
      <c r="NS111" s="41"/>
      <c r="NT111" s="41"/>
      <c r="NU111" s="41"/>
      <c r="NV111" s="41"/>
      <c r="NW111" s="41"/>
      <c r="NX111" s="41"/>
      <c r="NY111" s="41"/>
      <c r="NZ111" s="41"/>
      <c r="OA111" s="41"/>
      <c r="OB111" s="41"/>
      <c r="OC111" s="41"/>
      <c r="OD111" s="41"/>
      <c r="OE111" s="41"/>
      <c r="OF111" s="41"/>
      <c r="OG111" s="41"/>
      <c r="OH111" s="41"/>
      <c r="OI111" s="41"/>
      <c r="OJ111" s="41"/>
      <c r="OK111" s="41"/>
      <c r="OL111" s="41"/>
      <c r="OM111" s="41"/>
      <c r="ON111" s="41"/>
      <c r="OO111" s="41"/>
      <c r="OP111" s="41"/>
      <c r="OQ111" s="41"/>
      <c r="OR111" s="41"/>
      <c r="OS111" s="41"/>
      <c r="OT111" s="41"/>
      <c r="OU111" s="41"/>
      <c r="OV111" s="41"/>
      <c r="OW111" s="41"/>
      <c r="OX111" s="41"/>
      <c r="OY111" s="41"/>
      <c r="OZ111" s="41"/>
      <c r="PA111" s="41"/>
      <c r="PB111" s="41"/>
      <c r="PC111" s="41"/>
      <c r="PD111" s="41"/>
      <c r="PE111" s="41"/>
      <c r="PF111" s="41"/>
      <c r="PG111" s="41"/>
      <c r="PH111" s="41"/>
      <c r="PI111" s="41"/>
      <c r="PJ111" s="41"/>
      <c r="PK111" s="41"/>
      <c r="PL111" s="41"/>
      <c r="PM111" s="41"/>
      <c r="PN111" s="41"/>
      <c r="PO111" s="41"/>
      <c r="PP111" s="41"/>
      <c r="PQ111" s="41"/>
      <c r="PR111" s="41"/>
      <c r="PS111" s="41"/>
      <c r="PT111" s="41"/>
      <c r="PU111" s="41"/>
      <c r="PV111" s="41"/>
      <c r="PW111" s="41"/>
      <c r="PX111" s="41"/>
      <c r="PY111" s="41"/>
      <c r="PZ111" s="41"/>
      <c r="QA111" s="41"/>
      <c r="QB111" s="41"/>
      <c r="QC111" s="41"/>
      <c r="QD111" s="41"/>
      <c r="QE111" s="41"/>
      <c r="QF111" s="41"/>
      <c r="QG111" s="41"/>
      <c r="QH111" s="41"/>
      <c r="QI111" s="41"/>
      <c r="QJ111" s="41"/>
      <c r="QK111" s="41"/>
      <c r="QL111" s="41"/>
      <c r="QM111" s="41"/>
      <c r="QN111" s="41"/>
      <c r="QO111" s="41"/>
      <c r="QP111" s="41"/>
      <c r="QQ111" s="41"/>
      <c r="QR111" s="41"/>
      <c r="QS111" s="41"/>
      <c r="QT111" s="41"/>
      <c r="QU111" s="41"/>
      <c r="QV111" s="41"/>
      <c r="QW111" s="41"/>
      <c r="QX111" s="41"/>
      <c r="QY111" s="41"/>
      <c r="QZ111" s="41"/>
      <c r="RA111" s="41"/>
      <c r="RB111" s="41"/>
      <c r="RC111" s="41"/>
      <c r="RD111" s="41"/>
      <c r="RE111" s="41"/>
      <c r="RF111" s="41"/>
      <c r="RG111" s="41"/>
      <c r="RH111" s="41"/>
      <c r="RI111" s="41"/>
      <c r="RJ111" s="41"/>
      <c r="RK111" s="41"/>
      <c r="RL111" s="41"/>
      <c r="RM111" s="41"/>
      <c r="RN111" s="41"/>
      <c r="RO111" s="41"/>
      <c r="RP111" s="41"/>
      <c r="RQ111" s="41"/>
      <c r="RR111" s="41"/>
      <c r="RS111" s="41"/>
      <c r="RT111" s="41"/>
      <c r="RU111" s="41"/>
      <c r="RV111" s="41"/>
      <c r="RW111" s="41"/>
      <c r="RX111" s="41"/>
      <c r="RY111" s="41"/>
      <c r="RZ111" s="41"/>
      <c r="SA111" s="41"/>
      <c r="SB111" s="41"/>
      <c r="SC111" s="41"/>
      <c r="SD111" s="41"/>
      <c r="SE111" s="41"/>
      <c r="SF111" s="41"/>
      <c r="SG111" s="41"/>
      <c r="SH111" s="41"/>
      <c r="SI111" s="41"/>
      <c r="SJ111" s="41"/>
      <c r="SK111" s="41"/>
      <c r="SL111" s="41"/>
      <c r="SM111" s="41"/>
      <c r="SN111" s="41"/>
      <c r="SO111" s="41"/>
      <c r="SP111" s="41"/>
      <c r="SQ111" s="41"/>
      <c r="SR111" s="41"/>
      <c r="SS111" s="41"/>
      <c r="ST111" s="41"/>
      <c r="SU111" s="41"/>
      <c r="SV111" s="41"/>
      <c r="SW111" s="41"/>
      <c r="SX111" s="41"/>
      <c r="SY111" s="41"/>
      <c r="SZ111" s="41"/>
      <c r="TA111" s="41"/>
      <c r="TB111" s="41"/>
      <c r="TC111" s="41"/>
      <c r="TD111" s="41"/>
      <c r="TE111" s="41"/>
      <c r="TF111" s="41"/>
      <c r="TG111" s="41"/>
      <c r="TH111" s="41"/>
      <c r="TI111" s="41"/>
      <c r="TJ111" s="41"/>
      <c r="TK111" s="41"/>
      <c r="TL111" s="41"/>
      <c r="TM111" s="41"/>
      <c r="TN111" s="41"/>
      <c r="TO111" s="41"/>
      <c r="TP111" s="41"/>
      <c r="TQ111" s="41"/>
      <c r="TR111" s="41"/>
      <c r="TS111" s="41"/>
      <c r="TT111" s="41"/>
      <c r="TU111" s="41"/>
      <c r="TV111" s="41"/>
      <c r="TW111" s="41"/>
      <c r="TX111" s="41"/>
      <c r="TY111" s="41"/>
      <c r="TZ111" s="41"/>
      <c r="UA111" s="41"/>
      <c r="UB111" s="41"/>
      <c r="UC111" s="41"/>
      <c r="UD111" s="41"/>
      <c r="UE111" s="41"/>
      <c r="UF111" s="41"/>
      <c r="UG111" s="41"/>
      <c r="UH111" s="41"/>
      <c r="UI111" s="41"/>
      <c r="UJ111" s="41"/>
      <c r="UK111" s="41"/>
      <c r="UL111" s="41"/>
      <c r="UM111" s="41"/>
      <c r="UN111" s="41"/>
      <c r="UO111" s="41"/>
      <c r="UP111" s="41"/>
      <c r="UQ111" s="41"/>
      <c r="UR111" s="41"/>
      <c r="US111" s="41"/>
      <c r="UT111" s="41"/>
      <c r="UU111" s="41"/>
      <c r="UV111" s="41"/>
      <c r="UW111" s="41"/>
      <c r="UX111" s="41"/>
      <c r="UY111" s="41"/>
      <c r="UZ111" s="41"/>
      <c r="VA111" s="41"/>
      <c r="VB111" s="41"/>
      <c r="VC111" s="41"/>
      <c r="VD111" s="41"/>
      <c r="VE111" s="41"/>
      <c r="VF111" s="41"/>
      <c r="VG111" s="41"/>
      <c r="VH111" s="41"/>
      <c r="VI111" s="41"/>
      <c r="VJ111" s="41"/>
      <c r="VK111" s="41"/>
      <c r="VL111" s="41"/>
      <c r="VM111" s="41"/>
      <c r="VN111" s="41"/>
      <c r="VO111" s="41"/>
      <c r="VP111" s="41"/>
      <c r="VQ111" s="41"/>
      <c r="VR111" s="41"/>
      <c r="VS111" s="41"/>
      <c r="VT111" s="41"/>
      <c r="VU111" s="41"/>
      <c r="VV111" s="41"/>
      <c r="VW111" s="41"/>
      <c r="VX111" s="41"/>
      <c r="VY111" s="41"/>
      <c r="VZ111" s="41"/>
      <c r="WA111" s="41"/>
      <c r="WB111" s="41"/>
      <c r="WC111" s="41"/>
      <c r="WD111" s="41"/>
      <c r="WE111" s="41"/>
      <c r="WF111" s="41"/>
      <c r="WG111" s="41"/>
      <c r="WH111" s="41"/>
      <c r="WI111" s="41"/>
      <c r="WJ111" s="41"/>
      <c r="WK111" s="41"/>
      <c r="WL111" s="41"/>
      <c r="WM111" s="41"/>
      <c r="WN111" s="41"/>
      <c r="WO111" s="41"/>
      <c r="WP111" s="41"/>
      <c r="WQ111" s="41"/>
      <c r="WR111" s="41"/>
      <c r="WS111" s="41"/>
      <c r="WT111" s="41"/>
      <c r="WU111" s="41"/>
      <c r="WV111" s="41"/>
      <c r="WW111" s="41"/>
      <c r="WX111" s="41"/>
      <c r="WY111" s="41"/>
      <c r="WZ111" s="41"/>
      <c r="XA111" s="41"/>
      <c r="XB111" s="41"/>
      <c r="XC111" s="41"/>
      <c r="XD111" s="41"/>
      <c r="XE111" s="41"/>
      <c r="XF111" s="41"/>
      <c r="XG111" s="41"/>
      <c r="XH111" s="41"/>
      <c r="XI111" s="41"/>
      <c r="XJ111" s="41"/>
      <c r="XK111" s="41"/>
      <c r="XL111" s="41"/>
      <c r="XM111" s="41"/>
      <c r="XN111" s="41"/>
      <c r="XO111" s="41"/>
      <c r="XP111" s="41"/>
      <c r="XQ111" s="41"/>
      <c r="XR111" s="41"/>
      <c r="XS111" s="41"/>
      <c r="XT111" s="41"/>
      <c r="XU111" s="41"/>
      <c r="XV111" s="41"/>
      <c r="XW111" s="41"/>
      <c r="XX111" s="41"/>
      <c r="XY111" s="41"/>
      <c r="XZ111" s="41"/>
      <c r="YA111" s="41"/>
      <c r="YB111" s="41"/>
      <c r="YC111" s="41"/>
      <c r="YD111" s="41"/>
      <c r="YE111" s="41"/>
      <c r="YF111" s="41"/>
      <c r="YG111" s="41"/>
      <c r="YH111" s="41"/>
      <c r="YI111" s="41"/>
      <c r="YJ111" s="41"/>
      <c r="YK111" s="41"/>
      <c r="YL111" s="41"/>
      <c r="YM111" s="41"/>
      <c r="YN111" s="41"/>
      <c r="YO111" s="41"/>
      <c r="YP111" s="41"/>
      <c r="YQ111" s="41"/>
      <c r="YR111" s="41"/>
      <c r="YS111" s="41"/>
      <c r="YT111" s="41"/>
      <c r="YU111" s="41"/>
      <c r="YV111" s="41"/>
      <c r="YW111" s="41"/>
      <c r="YX111" s="41"/>
      <c r="YY111" s="41"/>
      <c r="YZ111" s="41"/>
      <c r="ZA111" s="41"/>
      <c r="ZB111" s="41"/>
      <c r="ZC111" s="41"/>
      <c r="ZD111" s="41"/>
      <c r="ZE111" s="41"/>
      <c r="ZF111" s="41"/>
      <c r="ZG111" s="41"/>
      <c r="ZH111" s="41"/>
      <c r="ZI111" s="41"/>
      <c r="ZJ111" s="41"/>
      <c r="ZK111" s="41"/>
      <c r="ZL111" s="41"/>
      <c r="ZM111" s="41"/>
      <c r="ZN111" s="41"/>
      <c r="ZO111" s="41"/>
      <c r="ZP111" s="41"/>
      <c r="ZQ111" s="41"/>
      <c r="ZR111" s="41"/>
      <c r="ZS111" s="41"/>
      <c r="ZT111" s="41"/>
      <c r="ZU111" s="41"/>
      <c r="ZV111" s="41"/>
      <c r="ZW111" s="41"/>
      <c r="ZX111" s="41"/>
      <c r="ZY111" s="41"/>
      <c r="ZZ111" s="41"/>
      <c r="AAA111" s="41"/>
      <c r="AAB111" s="41"/>
      <c r="AAC111" s="41"/>
    </row>
    <row r="112" spans="1:705" s="42" customFormat="1" ht="42" hidden="1" x14ac:dyDescent="0.3">
      <c r="A112" s="26">
        <v>108</v>
      </c>
      <c r="B112" s="137">
        <v>240029</v>
      </c>
      <c r="C112" s="138">
        <v>108</v>
      </c>
      <c r="D112" s="139">
        <v>45925</v>
      </c>
      <c r="E112" s="139">
        <f t="shared" si="18"/>
        <v>45924</v>
      </c>
      <c r="F112" s="139">
        <f t="shared" si="15"/>
        <v>45935</v>
      </c>
      <c r="G112" s="139">
        <v>46016</v>
      </c>
      <c r="H112" s="139">
        <v>46061</v>
      </c>
      <c r="I112" s="139" t="s">
        <v>321</v>
      </c>
      <c r="J112" s="140" t="s">
        <v>305</v>
      </c>
      <c r="K112" s="141">
        <f t="shared" si="19"/>
        <v>126</v>
      </c>
      <c r="L112" s="141">
        <v>1147571</v>
      </c>
      <c r="M112" s="140" t="s">
        <v>15</v>
      </c>
      <c r="N112" s="140">
        <v>810945</v>
      </c>
      <c r="O112" s="137" t="s">
        <v>246</v>
      </c>
      <c r="P112" s="143">
        <v>46020</v>
      </c>
      <c r="Q112" s="143">
        <v>46198</v>
      </c>
      <c r="R112" s="157" t="s">
        <v>211</v>
      </c>
      <c r="S112" s="144" t="s">
        <v>306</v>
      </c>
      <c r="T112" s="145">
        <v>1</v>
      </c>
      <c r="U112" s="137" t="s">
        <v>82</v>
      </c>
      <c r="V112" s="146">
        <v>90</v>
      </c>
      <c r="W112" s="146">
        <v>90</v>
      </c>
      <c r="X112" s="147">
        <v>0</v>
      </c>
      <c r="Y112" s="146"/>
      <c r="Z112" s="146">
        <v>0</v>
      </c>
      <c r="AA112" s="146">
        <v>0</v>
      </c>
      <c r="AB112" s="146">
        <v>20</v>
      </c>
      <c r="AC112" s="146">
        <v>20</v>
      </c>
      <c r="AD112" s="146">
        <v>0</v>
      </c>
      <c r="AE112" s="146">
        <v>0</v>
      </c>
      <c r="AF112" s="146">
        <v>0</v>
      </c>
      <c r="AG112" s="146">
        <v>0</v>
      </c>
      <c r="AH112" s="146">
        <v>0</v>
      </c>
      <c r="AI112" s="146">
        <v>0</v>
      </c>
      <c r="AJ112" s="146">
        <v>0</v>
      </c>
      <c r="AK112" s="146">
        <v>0</v>
      </c>
      <c r="AL112" s="146">
        <v>0</v>
      </c>
      <c r="AM112" s="146">
        <v>0</v>
      </c>
      <c r="AN112" s="146">
        <v>1</v>
      </c>
      <c r="AO112" s="146">
        <v>1</v>
      </c>
      <c r="AP112" s="146">
        <v>1</v>
      </c>
      <c r="AQ112" s="146">
        <v>1</v>
      </c>
      <c r="AR112" s="146">
        <v>0</v>
      </c>
      <c r="AS112" s="146">
        <v>0</v>
      </c>
      <c r="AT112" s="146">
        <v>0</v>
      </c>
      <c r="AU112" s="146">
        <v>0</v>
      </c>
      <c r="AV112" s="146">
        <v>0</v>
      </c>
      <c r="AW112" s="146">
        <v>0</v>
      </c>
      <c r="AX112" s="146">
        <f t="shared" si="16"/>
        <v>7230</v>
      </c>
      <c r="AY112" s="146">
        <f t="shared" si="17"/>
        <v>7230</v>
      </c>
      <c r="AZ112" s="137" t="s">
        <v>562</v>
      </c>
      <c r="BA112" s="137" t="s">
        <v>562</v>
      </c>
      <c r="BB112" s="137">
        <v>9</v>
      </c>
      <c r="BC112" s="148">
        <v>108</v>
      </c>
      <c r="BD112" s="149"/>
      <c r="BE112" s="145"/>
      <c r="BF112" s="150"/>
      <c r="BG112" s="151">
        <v>46054</v>
      </c>
      <c r="BH112" s="153" t="s">
        <v>535</v>
      </c>
      <c r="BI112" s="153" t="s">
        <v>562</v>
      </c>
      <c r="CC112" s="41"/>
      <c r="CD112" s="41"/>
      <c r="CE112" s="41"/>
      <c r="CF112" s="41"/>
      <c r="CG112" s="41"/>
      <c r="CH112" s="41"/>
      <c r="CI112" s="41"/>
      <c r="CJ112" s="41"/>
      <c r="CK112" s="41"/>
      <c r="CL112" s="41"/>
      <c r="CM112" s="41"/>
      <c r="CN112" s="41"/>
      <c r="CO112" s="41"/>
      <c r="CP112" s="41"/>
      <c r="CQ112" s="41"/>
      <c r="CR112" s="41"/>
      <c r="CS112" s="41"/>
      <c r="CT112" s="41"/>
      <c r="CU112" s="41"/>
      <c r="CV112" s="41"/>
      <c r="CW112" s="41"/>
      <c r="CX112" s="41"/>
      <c r="CY112" s="41"/>
      <c r="CZ112" s="41"/>
      <c r="DA112" s="41"/>
      <c r="DB112" s="41"/>
      <c r="DC112" s="41"/>
      <c r="DD112" s="41"/>
      <c r="DE112" s="41"/>
      <c r="DF112" s="41"/>
      <c r="DG112" s="41"/>
      <c r="DH112" s="41"/>
      <c r="DI112" s="41"/>
      <c r="DJ112" s="41"/>
      <c r="DK112" s="41"/>
      <c r="DL112" s="41"/>
      <c r="DM112" s="41"/>
      <c r="DN112" s="41"/>
      <c r="DO112" s="41"/>
      <c r="DP112" s="41"/>
      <c r="DQ112" s="41"/>
      <c r="DR112" s="41"/>
      <c r="DS112" s="41"/>
      <c r="DT112" s="41"/>
      <c r="DU112" s="41"/>
      <c r="DV112" s="41"/>
      <c r="DW112" s="41"/>
      <c r="DX112" s="41"/>
      <c r="DY112" s="41"/>
      <c r="DZ112" s="41"/>
      <c r="EA112" s="41"/>
      <c r="EB112" s="41"/>
      <c r="EC112" s="41"/>
      <c r="ED112" s="41"/>
      <c r="EE112" s="41"/>
      <c r="EF112" s="41"/>
      <c r="EG112" s="41"/>
      <c r="EH112" s="41"/>
      <c r="EI112" s="41"/>
      <c r="EJ112" s="41"/>
      <c r="EK112" s="41"/>
      <c r="EL112" s="41"/>
      <c r="EM112" s="41"/>
      <c r="EN112" s="41"/>
      <c r="EO112" s="41"/>
      <c r="EP112" s="41"/>
      <c r="EQ112" s="41"/>
      <c r="ER112" s="41"/>
      <c r="ES112" s="41"/>
      <c r="ET112" s="41"/>
      <c r="EU112" s="41"/>
      <c r="EV112" s="41"/>
      <c r="EW112" s="41"/>
      <c r="EX112" s="41"/>
      <c r="EY112" s="41"/>
      <c r="EZ112" s="41"/>
      <c r="FA112" s="41"/>
      <c r="FB112" s="41"/>
      <c r="FC112" s="41"/>
      <c r="FD112" s="41"/>
      <c r="FE112" s="41"/>
      <c r="FF112" s="41"/>
      <c r="FG112" s="41"/>
      <c r="FH112" s="41"/>
      <c r="FI112" s="41"/>
      <c r="FJ112" s="41"/>
      <c r="FK112" s="41"/>
      <c r="FL112" s="41"/>
      <c r="FM112" s="41"/>
      <c r="FN112" s="41"/>
      <c r="FO112" s="41"/>
      <c r="FP112" s="41"/>
      <c r="FQ112" s="41"/>
      <c r="FR112" s="41"/>
      <c r="FS112" s="41"/>
      <c r="FT112" s="41"/>
      <c r="FU112" s="41"/>
      <c r="FV112" s="41"/>
      <c r="FW112" s="41"/>
      <c r="FX112" s="41"/>
      <c r="FY112" s="41"/>
      <c r="FZ112" s="41"/>
      <c r="GA112" s="41"/>
      <c r="GB112" s="41"/>
      <c r="GC112" s="41"/>
      <c r="GD112" s="41"/>
      <c r="GE112" s="41"/>
      <c r="GF112" s="41"/>
      <c r="GG112" s="41"/>
      <c r="GH112" s="41"/>
      <c r="GI112" s="41"/>
      <c r="GJ112" s="41"/>
      <c r="GK112" s="41"/>
      <c r="GL112" s="41"/>
      <c r="GM112" s="41"/>
      <c r="GN112" s="41"/>
      <c r="GO112" s="41"/>
      <c r="GP112" s="41"/>
      <c r="GQ112" s="41"/>
      <c r="GR112" s="41"/>
      <c r="GS112" s="41"/>
      <c r="GT112" s="41"/>
      <c r="GU112" s="41"/>
      <c r="GV112" s="41"/>
      <c r="GW112" s="41"/>
      <c r="GX112" s="41"/>
      <c r="GY112" s="41"/>
      <c r="GZ112" s="41"/>
      <c r="HA112" s="41"/>
      <c r="HB112" s="41"/>
      <c r="HC112" s="41"/>
      <c r="HD112" s="41"/>
      <c r="HE112" s="41"/>
      <c r="HF112" s="41"/>
      <c r="HG112" s="41"/>
      <c r="HH112" s="41"/>
      <c r="HI112" s="41"/>
      <c r="HJ112" s="41"/>
      <c r="HK112" s="41"/>
      <c r="HL112" s="41"/>
      <c r="HM112" s="41"/>
      <c r="HN112" s="41"/>
      <c r="HO112" s="41"/>
      <c r="HP112" s="41"/>
      <c r="HQ112" s="41"/>
      <c r="HR112" s="41"/>
      <c r="HS112" s="41"/>
      <c r="HT112" s="41"/>
      <c r="HU112" s="41"/>
      <c r="HV112" s="41"/>
      <c r="HW112" s="41"/>
      <c r="HX112" s="41"/>
      <c r="HY112" s="41"/>
      <c r="HZ112" s="41"/>
      <c r="IA112" s="41"/>
      <c r="IB112" s="41"/>
      <c r="IC112" s="41"/>
      <c r="ID112" s="41"/>
      <c r="IE112" s="41"/>
      <c r="IF112" s="41"/>
      <c r="IG112" s="41"/>
      <c r="IH112" s="41"/>
      <c r="II112" s="41"/>
      <c r="IJ112" s="41"/>
      <c r="IK112" s="41"/>
      <c r="IL112" s="41"/>
      <c r="IM112" s="41"/>
      <c r="IN112" s="41"/>
      <c r="IO112" s="41"/>
      <c r="IP112" s="41"/>
      <c r="IQ112" s="41"/>
      <c r="IR112" s="41"/>
      <c r="IS112" s="41"/>
      <c r="IT112" s="41"/>
      <c r="IU112" s="41"/>
      <c r="IV112" s="41"/>
      <c r="IW112" s="41"/>
      <c r="IX112" s="41"/>
      <c r="IY112" s="41"/>
      <c r="IZ112" s="41"/>
      <c r="JA112" s="41"/>
      <c r="JB112" s="41"/>
      <c r="JC112" s="41"/>
      <c r="JD112" s="41"/>
      <c r="JE112" s="41"/>
      <c r="JF112" s="41"/>
      <c r="JG112" s="41"/>
      <c r="JH112" s="41"/>
      <c r="JI112" s="41"/>
      <c r="JJ112" s="41"/>
      <c r="JK112" s="41"/>
      <c r="JL112" s="41"/>
      <c r="JM112" s="41"/>
      <c r="JN112" s="41"/>
      <c r="JO112" s="41"/>
      <c r="JP112" s="41"/>
      <c r="JQ112" s="41"/>
      <c r="JR112" s="41"/>
      <c r="JS112" s="41"/>
      <c r="JT112" s="41"/>
      <c r="JU112" s="41"/>
      <c r="JV112" s="41"/>
      <c r="JW112" s="41"/>
      <c r="JX112" s="41"/>
      <c r="JY112" s="41"/>
      <c r="JZ112" s="41"/>
      <c r="KA112" s="41"/>
      <c r="KB112" s="41"/>
      <c r="KC112" s="41"/>
      <c r="KD112" s="41"/>
      <c r="KE112" s="41"/>
      <c r="KF112" s="41"/>
      <c r="KG112" s="41"/>
      <c r="KH112" s="41"/>
      <c r="KI112" s="41"/>
      <c r="KJ112" s="41"/>
      <c r="KK112" s="41"/>
      <c r="KL112" s="41"/>
      <c r="KM112" s="41"/>
      <c r="KN112" s="41"/>
      <c r="KO112" s="41"/>
      <c r="KP112" s="41"/>
      <c r="KQ112" s="41"/>
      <c r="KR112" s="41"/>
      <c r="KS112" s="41"/>
      <c r="KT112" s="41"/>
      <c r="KU112" s="41"/>
      <c r="KV112" s="41"/>
      <c r="KW112" s="41"/>
      <c r="KX112" s="41"/>
      <c r="KY112" s="41"/>
      <c r="KZ112" s="41"/>
      <c r="LA112" s="41"/>
      <c r="LB112" s="41"/>
      <c r="LC112" s="41"/>
      <c r="LD112" s="41"/>
      <c r="LE112" s="41"/>
      <c r="LF112" s="41"/>
      <c r="LG112" s="41"/>
      <c r="LH112" s="41"/>
      <c r="LI112" s="41"/>
      <c r="LJ112" s="41"/>
      <c r="LK112" s="41"/>
      <c r="LL112" s="41"/>
      <c r="LM112" s="41"/>
      <c r="LN112" s="41"/>
      <c r="LO112" s="41"/>
      <c r="LP112" s="41"/>
      <c r="LQ112" s="41"/>
      <c r="LR112" s="41"/>
      <c r="LS112" s="41"/>
      <c r="LT112" s="41"/>
      <c r="LU112" s="41"/>
      <c r="LV112" s="41"/>
      <c r="LW112" s="41"/>
      <c r="LX112" s="41"/>
      <c r="LY112" s="41"/>
      <c r="LZ112" s="41"/>
      <c r="MA112" s="41"/>
      <c r="MB112" s="41"/>
      <c r="MC112" s="41"/>
      <c r="MD112" s="41"/>
      <c r="ME112" s="41"/>
      <c r="MF112" s="41"/>
      <c r="MG112" s="41"/>
      <c r="MH112" s="41"/>
      <c r="MI112" s="41"/>
      <c r="MJ112" s="41"/>
      <c r="MK112" s="41"/>
      <c r="ML112" s="41"/>
      <c r="MM112" s="41"/>
      <c r="MN112" s="41"/>
      <c r="MO112" s="41"/>
      <c r="MP112" s="41"/>
      <c r="MQ112" s="41"/>
      <c r="MR112" s="41"/>
      <c r="MS112" s="41"/>
      <c r="MT112" s="41"/>
      <c r="MU112" s="41"/>
      <c r="MV112" s="41"/>
      <c r="MW112" s="41"/>
      <c r="MX112" s="41"/>
      <c r="MY112" s="41"/>
      <c r="MZ112" s="41"/>
      <c r="NA112" s="41"/>
      <c r="NB112" s="41"/>
      <c r="NC112" s="41"/>
      <c r="ND112" s="41"/>
      <c r="NE112" s="41"/>
      <c r="NF112" s="41"/>
      <c r="NG112" s="41"/>
      <c r="NH112" s="41"/>
      <c r="NI112" s="41"/>
      <c r="NJ112" s="41"/>
      <c r="NK112" s="41"/>
      <c r="NL112" s="41"/>
      <c r="NM112" s="41"/>
      <c r="NN112" s="41"/>
      <c r="NO112" s="41"/>
      <c r="NP112" s="41"/>
      <c r="NQ112" s="41"/>
      <c r="NR112" s="41"/>
      <c r="NS112" s="41"/>
      <c r="NT112" s="41"/>
      <c r="NU112" s="41"/>
      <c r="NV112" s="41"/>
      <c r="NW112" s="41"/>
      <c r="NX112" s="41"/>
      <c r="NY112" s="41"/>
      <c r="NZ112" s="41"/>
      <c r="OA112" s="41"/>
      <c r="OB112" s="41"/>
      <c r="OC112" s="41"/>
      <c r="OD112" s="41"/>
      <c r="OE112" s="41"/>
      <c r="OF112" s="41"/>
      <c r="OG112" s="41"/>
      <c r="OH112" s="41"/>
      <c r="OI112" s="41"/>
      <c r="OJ112" s="41"/>
      <c r="OK112" s="41"/>
      <c r="OL112" s="41"/>
      <c r="OM112" s="41"/>
      <c r="ON112" s="41"/>
      <c r="OO112" s="41"/>
      <c r="OP112" s="41"/>
      <c r="OQ112" s="41"/>
      <c r="OR112" s="41"/>
      <c r="OS112" s="41"/>
      <c r="OT112" s="41"/>
      <c r="OU112" s="41"/>
      <c r="OV112" s="41"/>
      <c r="OW112" s="41"/>
      <c r="OX112" s="41"/>
      <c r="OY112" s="41"/>
      <c r="OZ112" s="41"/>
      <c r="PA112" s="41"/>
      <c r="PB112" s="41"/>
      <c r="PC112" s="41"/>
      <c r="PD112" s="41"/>
      <c r="PE112" s="41"/>
      <c r="PF112" s="41"/>
      <c r="PG112" s="41"/>
      <c r="PH112" s="41"/>
      <c r="PI112" s="41"/>
      <c r="PJ112" s="41"/>
      <c r="PK112" s="41"/>
      <c r="PL112" s="41"/>
      <c r="PM112" s="41"/>
      <c r="PN112" s="41"/>
      <c r="PO112" s="41"/>
      <c r="PP112" s="41"/>
      <c r="PQ112" s="41"/>
      <c r="PR112" s="41"/>
      <c r="PS112" s="41"/>
      <c r="PT112" s="41"/>
      <c r="PU112" s="41"/>
      <c r="PV112" s="41"/>
      <c r="PW112" s="41"/>
      <c r="PX112" s="41"/>
      <c r="PY112" s="41"/>
      <c r="PZ112" s="41"/>
      <c r="QA112" s="41"/>
      <c r="QB112" s="41"/>
      <c r="QC112" s="41"/>
      <c r="QD112" s="41"/>
      <c r="QE112" s="41"/>
      <c r="QF112" s="41"/>
      <c r="QG112" s="41"/>
      <c r="QH112" s="41"/>
      <c r="QI112" s="41"/>
      <c r="QJ112" s="41"/>
      <c r="QK112" s="41"/>
      <c r="QL112" s="41"/>
      <c r="QM112" s="41"/>
      <c r="QN112" s="41"/>
      <c r="QO112" s="41"/>
      <c r="QP112" s="41"/>
      <c r="QQ112" s="41"/>
      <c r="QR112" s="41"/>
      <c r="QS112" s="41"/>
      <c r="QT112" s="41"/>
      <c r="QU112" s="41"/>
      <c r="QV112" s="41"/>
      <c r="QW112" s="41"/>
      <c r="QX112" s="41"/>
      <c r="QY112" s="41"/>
      <c r="QZ112" s="41"/>
      <c r="RA112" s="41"/>
      <c r="RB112" s="41"/>
      <c r="RC112" s="41"/>
      <c r="RD112" s="41"/>
      <c r="RE112" s="41"/>
      <c r="RF112" s="41"/>
      <c r="RG112" s="41"/>
      <c r="RH112" s="41"/>
      <c r="RI112" s="41"/>
      <c r="RJ112" s="41"/>
      <c r="RK112" s="41"/>
      <c r="RL112" s="41"/>
      <c r="RM112" s="41"/>
      <c r="RN112" s="41"/>
      <c r="RO112" s="41"/>
      <c r="RP112" s="41"/>
      <c r="RQ112" s="41"/>
      <c r="RR112" s="41"/>
      <c r="RS112" s="41"/>
      <c r="RT112" s="41"/>
      <c r="RU112" s="41"/>
      <c r="RV112" s="41"/>
      <c r="RW112" s="41"/>
      <c r="RX112" s="41"/>
      <c r="RY112" s="41"/>
      <c r="RZ112" s="41"/>
      <c r="SA112" s="41"/>
      <c r="SB112" s="41"/>
      <c r="SC112" s="41"/>
      <c r="SD112" s="41"/>
      <c r="SE112" s="41"/>
      <c r="SF112" s="41"/>
      <c r="SG112" s="41"/>
      <c r="SH112" s="41"/>
      <c r="SI112" s="41"/>
      <c r="SJ112" s="41"/>
      <c r="SK112" s="41"/>
      <c r="SL112" s="41"/>
      <c r="SM112" s="41"/>
      <c r="SN112" s="41"/>
      <c r="SO112" s="41"/>
      <c r="SP112" s="41"/>
      <c r="SQ112" s="41"/>
      <c r="SR112" s="41"/>
      <c r="SS112" s="41"/>
      <c r="ST112" s="41"/>
      <c r="SU112" s="41"/>
      <c r="SV112" s="41"/>
      <c r="SW112" s="41"/>
      <c r="SX112" s="41"/>
      <c r="SY112" s="41"/>
      <c r="SZ112" s="41"/>
      <c r="TA112" s="41"/>
      <c r="TB112" s="41"/>
      <c r="TC112" s="41"/>
      <c r="TD112" s="41"/>
      <c r="TE112" s="41"/>
      <c r="TF112" s="41"/>
      <c r="TG112" s="41"/>
      <c r="TH112" s="41"/>
      <c r="TI112" s="41"/>
      <c r="TJ112" s="41"/>
      <c r="TK112" s="41"/>
      <c r="TL112" s="41"/>
      <c r="TM112" s="41"/>
      <c r="TN112" s="41"/>
      <c r="TO112" s="41"/>
      <c r="TP112" s="41"/>
      <c r="TQ112" s="41"/>
      <c r="TR112" s="41"/>
      <c r="TS112" s="41"/>
      <c r="TT112" s="41"/>
      <c r="TU112" s="41"/>
      <c r="TV112" s="41"/>
      <c r="TW112" s="41"/>
      <c r="TX112" s="41"/>
      <c r="TY112" s="41"/>
      <c r="TZ112" s="41"/>
      <c r="UA112" s="41"/>
      <c r="UB112" s="41"/>
      <c r="UC112" s="41"/>
      <c r="UD112" s="41"/>
      <c r="UE112" s="41"/>
      <c r="UF112" s="41"/>
      <c r="UG112" s="41"/>
      <c r="UH112" s="41"/>
      <c r="UI112" s="41"/>
      <c r="UJ112" s="41"/>
      <c r="UK112" s="41"/>
      <c r="UL112" s="41"/>
      <c r="UM112" s="41"/>
      <c r="UN112" s="41"/>
      <c r="UO112" s="41"/>
      <c r="UP112" s="41"/>
      <c r="UQ112" s="41"/>
      <c r="UR112" s="41"/>
      <c r="US112" s="41"/>
      <c r="UT112" s="41"/>
      <c r="UU112" s="41"/>
      <c r="UV112" s="41"/>
      <c r="UW112" s="41"/>
      <c r="UX112" s="41"/>
      <c r="UY112" s="41"/>
      <c r="UZ112" s="41"/>
      <c r="VA112" s="41"/>
      <c r="VB112" s="41"/>
      <c r="VC112" s="41"/>
      <c r="VD112" s="41"/>
      <c r="VE112" s="41"/>
      <c r="VF112" s="41"/>
      <c r="VG112" s="41"/>
      <c r="VH112" s="41"/>
      <c r="VI112" s="41"/>
      <c r="VJ112" s="41"/>
      <c r="VK112" s="41"/>
      <c r="VL112" s="41"/>
      <c r="VM112" s="41"/>
      <c r="VN112" s="41"/>
      <c r="VO112" s="41"/>
      <c r="VP112" s="41"/>
      <c r="VQ112" s="41"/>
      <c r="VR112" s="41"/>
      <c r="VS112" s="41"/>
      <c r="VT112" s="41"/>
      <c r="VU112" s="41"/>
      <c r="VV112" s="41"/>
      <c r="VW112" s="41"/>
      <c r="VX112" s="41"/>
      <c r="VY112" s="41"/>
      <c r="VZ112" s="41"/>
      <c r="WA112" s="41"/>
      <c r="WB112" s="41"/>
      <c r="WC112" s="41"/>
      <c r="WD112" s="41"/>
      <c r="WE112" s="41"/>
      <c r="WF112" s="41"/>
      <c r="WG112" s="41"/>
      <c r="WH112" s="41"/>
      <c r="WI112" s="41"/>
      <c r="WJ112" s="41"/>
      <c r="WK112" s="41"/>
      <c r="WL112" s="41"/>
      <c r="WM112" s="41"/>
      <c r="WN112" s="41"/>
      <c r="WO112" s="41"/>
      <c r="WP112" s="41"/>
      <c r="WQ112" s="41"/>
      <c r="WR112" s="41"/>
      <c r="WS112" s="41"/>
      <c r="WT112" s="41"/>
      <c r="WU112" s="41"/>
      <c r="WV112" s="41"/>
      <c r="WW112" s="41"/>
      <c r="WX112" s="41"/>
      <c r="WY112" s="41"/>
      <c r="WZ112" s="41"/>
      <c r="XA112" s="41"/>
      <c r="XB112" s="41"/>
      <c r="XC112" s="41"/>
      <c r="XD112" s="41"/>
      <c r="XE112" s="41"/>
      <c r="XF112" s="41"/>
      <c r="XG112" s="41"/>
      <c r="XH112" s="41"/>
      <c r="XI112" s="41"/>
      <c r="XJ112" s="41"/>
      <c r="XK112" s="41"/>
      <c r="XL112" s="41"/>
      <c r="XM112" s="41"/>
      <c r="XN112" s="41"/>
      <c r="XO112" s="41"/>
      <c r="XP112" s="41"/>
      <c r="XQ112" s="41"/>
      <c r="XR112" s="41"/>
      <c r="XS112" s="41"/>
      <c r="XT112" s="41"/>
      <c r="XU112" s="41"/>
      <c r="XV112" s="41"/>
      <c r="XW112" s="41"/>
      <c r="XX112" s="41"/>
      <c r="XY112" s="41"/>
      <c r="XZ112" s="41"/>
      <c r="YA112" s="41"/>
      <c r="YB112" s="41"/>
      <c r="YC112" s="41"/>
      <c r="YD112" s="41"/>
      <c r="YE112" s="41"/>
      <c r="YF112" s="41"/>
      <c r="YG112" s="41"/>
      <c r="YH112" s="41"/>
      <c r="YI112" s="41"/>
      <c r="YJ112" s="41"/>
      <c r="YK112" s="41"/>
      <c r="YL112" s="41"/>
      <c r="YM112" s="41"/>
      <c r="YN112" s="41"/>
      <c r="YO112" s="41"/>
      <c r="YP112" s="41"/>
      <c r="YQ112" s="41"/>
      <c r="YR112" s="41"/>
      <c r="YS112" s="41"/>
      <c r="YT112" s="41"/>
      <c r="YU112" s="41"/>
      <c r="YV112" s="41"/>
      <c r="YW112" s="41"/>
      <c r="YX112" s="41"/>
      <c r="YY112" s="41"/>
      <c r="YZ112" s="41"/>
      <c r="ZA112" s="41"/>
      <c r="ZB112" s="41"/>
      <c r="ZC112" s="41"/>
      <c r="ZD112" s="41"/>
      <c r="ZE112" s="41"/>
      <c r="ZF112" s="41"/>
      <c r="ZG112" s="41"/>
      <c r="ZH112" s="41"/>
      <c r="ZI112" s="41"/>
      <c r="ZJ112" s="41"/>
      <c r="ZK112" s="41"/>
      <c r="ZL112" s="41"/>
      <c r="ZM112" s="41"/>
      <c r="ZN112" s="41"/>
      <c r="ZO112" s="41"/>
      <c r="ZP112" s="41"/>
      <c r="ZQ112" s="41"/>
      <c r="ZR112" s="41"/>
      <c r="ZS112" s="41"/>
      <c r="ZT112" s="41"/>
      <c r="ZU112" s="41"/>
      <c r="ZV112" s="41"/>
      <c r="ZW112" s="41"/>
      <c r="ZX112" s="41"/>
      <c r="ZY112" s="41"/>
      <c r="ZZ112" s="41"/>
      <c r="AAA112" s="41"/>
      <c r="AAB112" s="41"/>
      <c r="AAC112" s="41"/>
    </row>
    <row r="113" spans="1:705" s="42" customFormat="1" ht="42" x14ac:dyDescent="0.3">
      <c r="A113" s="26">
        <v>109</v>
      </c>
      <c r="B113" s="109">
        <v>240033</v>
      </c>
      <c r="C113" s="110">
        <v>109</v>
      </c>
      <c r="D113" s="111">
        <v>45925</v>
      </c>
      <c r="E113" s="111">
        <f t="shared" si="18"/>
        <v>45924</v>
      </c>
      <c r="F113" s="111">
        <f t="shared" si="15"/>
        <v>45935</v>
      </c>
      <c r="G113" s="111">
        <v>46016</v>
      </c>
      <c r="H113" s="111">
        <f ca="1">TODAY()</f>
        <v>46277</v>
      </c>
      <c r="I113" s="111" t="s">
        <v>321</v>
      </c>
      <c r="J113" s="112" t="s">
        <v>307</v>
      </c>
      <c r="K113" s="113">
        <f t="shared" ca="1" si="19"/>
        <v>342</v>
      </c>
      <c r="L113" s="113">
        <v>1147613</v>
      </c>
      <c r="M113" s="114" t="s">
        <v>366</v>
      </c>
      <c r="N113" s="112" t="s">
        <v>365</v>
      </c>
      <c r="O113" s="109" t="s">
        <v>365</v>
      </c>
      <c r="P113" s="115" t="s">
        <v>77</v>
      </c>
      <c r="Q113" s="115" t="s">
        <v>77</v>
      </c>
      <c r="R113" s="116" t="s">
        <v>211</v>
      </c>
      <c r="S113" s="117" t="s">
        <v>308</v>
      </c>
      <c r="T113" s="118">
        <v>1</v>
      </c>
      <c r="U113" s="109" t="s">
        <v>106</v>
      </c>
      <c r="V113" s="119">
        <v>1</v>
      </c>
      <c r="W113" s="119"/>
      <c r="X113" s="120">
        <v>1</v>
      </c>
      <c r="Y113" s="119"/>
      <c r="Z113" s="119">
        <v>0</v>
      </c>
      <c r="AA113" s="119">
        <v>0</v>
      </c>
      <c r="AB113" s="119">
        <v>0</v>
      </c>
      <c r="AC113" s="119"/>
      <c r="AD113" s="119">
        <v>0</v>
      </c>
      <c r="AE113" s="119">
        <v>0</v>
      </c>
      <c r="AF113" s="119">
        <v>0</v>
      </c>
      <c r="AG113" s="119">
        <v>0</v>
      </c>
      <c r="AH113" s="119">
        <v>0</v>
      </c>
      <c r="AI113" s="119">
        <v>0</v>
      </c>
      <c r="AJ113" s="119">
        <v>1</v>
      </c>
      <c r="AK113" s="119"/>
      <c r="AL113" s="119">
        <v>1</v>
      </c>
      <c r="AM113" s="119"/>
      <c r="AN113" s="119">
        <v>1</v>
      </c>
      <c r="AO113" s="119"/>
      <c r="AP113" s="119">
        <v>1</v>
      </c>
      <c r="AQ113" s="119"/>
      <c r="AR113" s="119">
        <v>0</v>
      </c>
      <c r="AS113" s="119">
        <v>0</v>
      </c>
      <c r="AT113" s="119">
        <v>0</v>
      </c>
      <c r="AU113" s="119">
        <v>0</v>
      </c>
      <c r="AV113" s="119">
        <v>0</v>
      </c>
      <c r="AW113" s="119">
        <v>0</v>
      </c>
      <c r="AX113" s="146">
        <f t="shared" si="16"/>
        <v>1795</v>
      </c>
      <c r="AY113" s="146">
        <f t="shared" si="17"/>
        <v>0</v>
      </c>
      <c r="AZ113" s="109" t="s">
        <v>365</v>
      </c>
      <c r="BA113" s="109" t="s">
        <v>77</v>
      </c>
      <c r="BB113" s="109" t="s">
        <v>77</v>
      </c>
      <c r="BC113" s="121">
        <v>109</v>
      </c>
      <c r="BD113" s="122"/>
      <c r="BE113" s="118"/>
      <c r="BF113" s="123"/>
      <c r="BG113" s="124"/>
      <c r="BH113" s="125" t="s">
        <v>77</v>
      </c>
      <c r="BI113" s="125" t="s">
        <v>77</v>
      </c>
      <c r="CC113" s="41"/>
      <c r="CD113" s="41"/>
      <c r="CE113" s="41"/>
      <c r="CF113" s="41"/>
      <c r="CG113" s="41"/>
      <c r="CH113" s="41"/>
      <c r="CI113" s="41"/>
      <c r="CJ113" s="41"/>
      <c r="CK113" s="41"/>
      <c r="CL113" s="41"/>
      <c r="CM113" s="41"/>
      <c r="CN113" s="41"/>
      <c r="CO113" s="41"/>
      <c r="CP113" s="41"/>
      <c r="CQ113" s="41"/>
      <c r="CR113" s="41"/>
      <c r="CS113" s="41"/>
      <c r="CT113" s="41"/>
      <c r="CU113" s="41"/>
      <c r="CV113" s="41"/>
      <c r="CW113" s="41"/>
      <c r="CX113" s="41"/>
      <c r="CY113" s="41"/>
      <c r="CZ113" s="41"/>
      <c r="DA113" s="41"/>
      <c r="DB113" s="41"/>
      <c r="DC113" s="41"/>
      <c r="DD113" s="41"/>
      <c r="DE113" s="41"/>
      <c r="DF113" s="41"/>
      <c r="DG113" s="41"/>
      <c r="DH113" s="41"/>
      <c r="DI113" s="41"/>
      <c r="DJ113" s="41"/>
      <c r="DK113" s="41"/>
      <c r="DL113" s="41"/>
      <c r="DM113" s="41"/>
      <c r="DN113" s="41"/>
      <c r="DO113" s="41"/>
      <c r="DP113" s="41"/>
      <c r="DQ113" s="41"/>
      <c r="DR113" s="41"/>
      <c r="DS113" s="41"/>
      <c r="DT113" s="41"/>
      <c r="DU113" s="41"/>
      <c r="DV113" s="41"/>
      <c r="DW113" s="41"/>
      <c r="DX113" s="41"/>
      <c r="DY113" s="41"/>
      <c r="DZ113" s="41"/>
      <c r="EA113" s="41"/>
      <c r="EB113" s="41"/>
      <c r="EC113" s="41"/>
      <c r="ED113" s="41"/>
      <c r="EE113" s="41"/>
      <c r="EF113" s="41"/>
      <c r="EG113" s="41"/>
      <c r="EH113" s="41"/>
      <c r="EI113" s="41"/>
      <c r="EJ113" s="41"/>
      <c r="EK113" s="41"/>
      <c r="EL113" s="41"/>
      <c r="EM113" s="41"/>
      <c r="EN113" s="41"/>
      <c r="EO113" s="41"/>
      <c r="EP113" s="41"/>
      <c r="EQ113" s="41"/>
      <c r="ER113" s="41"/>
      <c r="ES113" s="41"/>
      <c r="ET113" s="41"/>
      <c r="EU113" s="41"/>
      <c r="EV113" s="41"/>
      <c r="EW113" s="41"/>
      <c r="EX113" s="41"/>
      <c r="EY113" s="41"/>
      <c r="EZ113" s="41"/>
      <c r="FA113" s="41"/>
      <c r="FB113" s="41"/>
      <c r="FC113" s="41"/>
      <c r="FD113" s="41"/>
      <c r="FE113" s="41"/>
      <c r="FF113" s="41"/>
      <c r="FG113" s="41"/>
      <c r="FH113" s="41"/>
      <c r="FI113" s="41"/>
      <c r="FJ113" s="41"/>
      <c r="FK113" s="41"/>
      <c r="FL113" s="41"/>
      <c r="FM113" s="41"/>
      <c r="FN113" s="41"/>
      <c r="FO113" s="41"/>
      <c r="FP113" s="41"/>
      <c r="FQ113" s="41"/>
      <c r="FR113" s="41"/>
      <c r="FS113" s="41"/>
      <c r="FT113" s="41"/>
      <c r="FU113" s="41"/>
      <c r="FV113" s="41"/>
      <c r="FW113" s="41"/>
      <c r="FX113" s="41"/>
      <c r="FY113" s="41"/>
      <c r="FZ113" s="41"/>
      <c r="GA113" s="41"/>
      <c r="GB113" s="41"/>
      <c r="GC113" s="41"/>
      <c r="GD113" s="41"/>
      <c r="GE113" s="41"/>
      <c r="GF113" s="41"/>
      <c r="GG113" s="41"/>
      <c r="GH113" s="41"/>
      <c r="GI113" s="41"/>
      <c r="GJ113" s="41"/>
      <c r="GK113" s="41"/>
      <c r="GL113" s="41"/>
      <c r="GM113" s="41"/>
      <c r="GN113" s="41"/>
      <c r="GO113" s="41"/>
      <c r="GP113" s="41"/>
      <c r="GQ113" s="41"/>
      <c r="GR113" s="41"/>
      <c r="GS113" s="41"/>
      <c r="GT113" s="41"/>
      <c r="GU113" s="41"/>
      <c r="GV113" s="41"/>
      <c r="GW113" s="41"/>
      <c r="GX113" s="41"/>
      <c r="GY113" s="41"/>
      <c r="GZ113" s="41"/>
      <c r="HA113" s="41"/>
      <c r="HB113" s="41"/>
      <c r="HC113" s="41"/>
      <c r="HD113" s="41"/>
      <c r="HE113" s="41"/>
      <c r="HF113" s="41"/>
      <c r="HG113" s="41"/>
      <c r="HH113" s="41"/>
      <c r="HI113" s="41"/>
      <c r="HJ113" s="41"/>
      <c r="HK113" s="41"/>
      <c r="HL113" s="41"/>
      <c r="HM113" s="41"/>
      <c r="HN113" s="41"/>
      <c r="HO113" s="41"/>
      <c r="HP113" s="41"/>
      <c r="HQ113" s="41"/>
      <c r="HR113" s="41"/>
      <c r="HS113" s="41"/>
      <c r="HT113" s="41"/>
      <c r="HU113" s="41"/>
      <c r="HV113" s="41"/>
      <c r="HW113" s="41"/>
      <c r="HX113" s="41"/>
      <c r="HY113" s="41"/>
      <c r="HZ113" s="41"/>
      <c r="IA113" s="41"/>
      <c r="IB113" s="41"/>
      <c r="IC113" s="41"/>
      <c r="ID113" s="41"/>
      <c r="IE113" s="41"/>
      <c r="IF113" s="41"/>
      <c r="IG113" s="41"/>
      <c r="IH113" s="41"/>
      <c r="II113" s="41"/>
      <c r="IJ113" s="41"/>
      <c r="IK113" s="41"/>
      <c r="IL113" s="41"/>
      <c r="IM113" s="41"/>
      <c r="IN113" s="41"/>
      <c r="IO113" s="41"/>
      <c r="IP113" s="41"/>
      <c r="IQ113" s="41"/>
      <c r="IR113" s="41"/>
      <c r="IS113" s="41"/>
      <c r="IT113" s="41"/>
      <c r="IU113" s="41"/>
      <c r="IV113" s="41"/>
      <c r="IW113" s="41"/>
      <c r="IX113" s="41"/>
      <c r="IY113" s="41"/>
      <c r="IZ113" s="41"/>
      <c r="JA113" s="41"/>
      <c r="JB113" s="41"/>
      <c r="JC113" s="41"/>
      <c r="JD113" s="41"/>
      <c r="JE113" s="41"/>
      <c r="JF113" s="41"/>
      <c r="JG113" s="41"/>
      <c r="JH113" s="41"/>
      <c r="JI113" s="41"/>
      <c r="JJ113" s="41"/>
      <c r="JK113" s="41"/>
      <c r="JL113" s="41"/>
      <c r="JM113" s="41"/>
      <c r="JN113" s="41"/>
      <c r="JO113" s="41"/>
      <c r="JP113" s="41"/>
      <c r="JQ113" s="41"/>
      <c r="JR113" s="41"/>
      <c r="JS113" s="41"/>
      <c r="JT113" s="41"/>
      <c r="JU113" s="41"/>
      <c r="JV113" s="41"/>
      <c r="JW113" s="41"/>
      <c r="JX113" s="41"/>
      <c r="JY113" s="41"/>
      <c r="JZ113" s="41"/>
      <c r="KA113" s="41"/>
      <c r="KB113" s="41"/>
      <c r="KC113" s="41"/>
      <c r="KD113" s="41"/>
      <c r="KE113" s="41"/>
      <c r="KF113" s="41"/>
      <c r="KG113" s="41"/>
      <c r="KH113" s="41"/>
      <c r="KI113" s="41"/>
      <c r="KJ113" s="41"/>
      <c r="KK113" s="41"/>
      <c r="KL113" s="41"/>
      <c r="KM113" s="41"/>
      <c r="KN113" s="41"/>
      <c r="KO113" s="41"/>
      <c r="KP113" s="41"/>
      <c r="KQ113" s="41"/>
      <c r="KR113" s="41"/>
      <c r="KS113" s="41"/>
      <c r="KT113" s="41"/>
      <c r="KU113" s="41"/>
      <c r="KV113" s="41"/>
      <c r="KW113" s="41"/>
      <c r="KX113" s="41"/>
      <c r="KY113" s="41"/>
      <c r="KZ113" s="41"/>
      <c r="LA113" s="41"/>
      <c r="LB113" s="41"/>
      <c r="LC113" s="41"/>
      <c r="LD113" s="41"/>
      <c r="LE113" s="41"/>
      <c r="LF113" s="41"/>
      <c r="LG113" s="41"/>
      <c r="LH113" s="41"/>
      <c r="LI113" s="41"/>
      <c r="LJ113" s="41"/>
      <c r="LK113" s="41"/>
      <c r="LL113" s="41"/>
      <c r="LM113" s="41"/>
      <c r="LN113" s="41"/>
      <c r="LO113" s="41"/>
      <c r="LP113" s="41"/>
      <c r="LQ113" s="41"/>
      <c r="LR113" s="41"/>
      <c r="LS113" s="41"/>
      <c r="LT113" s="41"/>
      <c r="LU113" s="41"/>
      <c r="LV113" s="41"/>
      <c r="LW113" s="41"/>
      <c r="LX113" s="41"/>
      <c r="LY113" s="41"/>
      <c r="LZ113" s="41"/>
      <c r="MA113" s="41"/>
      <c r="MB113" s="41"/>
      <c r="MC113" s="41"/>
      <c r="MD113" s="41"/>
      <c r="ME113" s="41"/>
      <c r="MF113" s="41"/>
      <c r="MG113" s="41"/>
      <c r="MH113" s="41"/>
      <c r="MI113" s="41"/>
      <c r="MJ113" s="41"/>
      <c r="MK113" s="41"/>
      <c r="ML113" s="41"/>
      <c r="MM113" s="41"/>
      <c r="MN113" s="41"/>
      <c r="MO113" s="41"/>
      <c r="MP113" s="41"/>
      <c r="MQ113" s="41"/>
      <c r="MR113" s="41"/>
      <c r="MS113" s="41"/>
      <c r="MT113" s="41"/>
      <c r="MU113" s="41"/>
      <c r="MV113" s="41"/>
      <c r="MW113" s="41"/>
      <c r="MX113" s="41"/>
      <c r="MY113" s="41"/>
      <c r="MZ113" s="41"/>
      <c r="NA113" s="41"/>
      <c r="NB113" s="41"/>
      <c r="NC113" s="41"/>
      <c r="ND113" s="41"/>
      <c r="NE113" s="41"/>
      <c r="NF113" s="41"/>
      <c r="NG113" s="41"/>
      <c r="NH113" s="41"/>
      <c r="NI113" s="41"/>
      <c r="NJ113" s="41"/>
      <c r="NK113" s="41"/>
      <c r="NL113" s="41"/>
      <c r="NM113" s="41"/>
      <c r="NN113" s="41"/>
      <c r="NO113" s="41"/>
      <c r="NP113" s="41"/>
      <c r="NQ113" s="41"/>
      <c r="NR113" s="41"/>
      <c r="NS113" s="41"/>
      <c r="NT113" s="41"/>
      <c r="NU113" s="41"/>
      <c r="NV113" s="41"/>
      <c r="NW113" s="41"/>
      <c r="NX113" s="41"/>
      <c r="NY113" s="41"/>
      <c r="NZ113" s="41"/>
      <c r="OA113" s="41"/>
      <c r="OB113" s="41"/>
      <c r="OC113" s="41"/>
      <c r="OD113" s="41"/>
      <c r="OE113" s="41"/>
      <c r="OF113" s="41"/>
      <c r="OG113" s="41"/>
      <c r="OH113" s="41"/>
      <c r="OI113" s="41"/>
      <c r="OJ113" s="41"/>
      <c r="OK113" s="41"/>
      <c r="OL113" s="41"/>
      <c r="OM113" s="41"/>
      <c r="ON113" s="41"/>
      <c r="OO113" s="41"/>
      <c r="OP113" s="41"/>
      <c r="OQ113" s="41"/>
      <c r="OR113" s="41"/>
      <c r="OS113" s="41"/>
      <c r="OT113" s="41"/>
      <c r="OU113" s="41"/>
      <c r="OV113" s="41"/>
      <c r="OW113" s="41"/>
      <c r="OX113" s="41"/>
      <c r="OY113" s="41"/>
      <c r="OZ113" s="41"/>
      <c r="PA113" s="41"/>
      <c r="PB113" s="41"/>
      <c r="PC113" s="41"/>
      <c r="PD113" s="41"/>
      <c r="PE113" s="41"/>
      <c r="PF113" s="41"/>
      <c r="PG113" s="41"/>
      <c r="PH113" s="41"/>
      <c r="PI113" s="41"/>
      <c r="PJ113" s="41"/>
      <c r="PK113" s="41"/>
      <c r="PL113" s="41"/>
      <c r="PM113" s="41"/>
      <c r="PN113" s="41"/>
      <c r="PO113" s="41"/>
      <c r="PP113" s="41"/>
      <c r="PQ113" s="41"/>
      <c r="PR113" s="41"/>
      <c r="PS113" s="41"/>
      <c r="PT113" s="41"/>
      <c r="PU113" s="41"/>
      <c r="PV113" s="41"/>
      <c r="PW113" s="41"/>
      <c r="PX113" s="41"/>
      <c r="PY113" s="41"/>
      <c r="PZ113" s="41"/>
      <c r="QA113" s="41"/>
      <c r="QB113" s="41"/>
      <c r="QC113" s="41"/>
      <c r="QD113" s="41"/>
      <c r="QE113" s="41"/>
      <c r="QF113" s="41"/>
      <c r="QG113" s="41"/>
      <c r="QH113" s="41"/>
      <c r="QI113" s="41"/>
      <c r="QJ113" s="41"/>
      <c r="QK113" s="41"/>
      <c r="QL113" s="41"/>
      <c r="QM113" s="41"/>
      <c r="QN113" s="41"/>
      <c r="QO113" s="41"/>
      <c r="QP113" s="41"/>
      <c r="QQ113" s="41"/>
      <c r="QR113" s="41"/>
      <c r="QS113" s="41"/>
      <c r="QT113" s="41"/>
      <c r="QU113" s="41"/>
      <c r="QV113" s="41"/>
      <c r="QW113" s="41"/>
      <c r="QX113" s="41"/>
      <c r="QY113" s="41"/>
      <c r="QZ113" s="41"/>
      <c r="RA113" s="41"/>
      <c r="RB113" s="41"/>
      <c r="RC113" s="41"/>
      <c r="RD113" s="41"/>
      <c r="RE113" s="41"/>
      <c r="RF113" s="41"/>
      <c r="RG113" s="41"/>
      <c r="RH113" s="41"/>
      <c r="RI113" s="41"/>
      <c r="RJ113" s="41"/>
      <c r="RK113" s="41"/>
      <c r="RL113" s="41"/>
      <c r="RM113" s="41"/>
      <c r="RN113" s="41"/>
      <c r="RO113" s="41"/>
      <c r="RP113" s="41"/>
      <c r="RQ113" s="41"/>
      <c r="RR113" s="41"/>
      <c r="RS113" s="41"/>
      <c r="RT113" s="41"/>
      <c r="RU113" s="41"/>
      <c r="RV113" s="41"/>
      <c r="RW113" s="41"/>
      <c r="RX113" s="41"/>
      <c r="RY113" s="41"/>
      <c r="RZ113" s="41"/>
      <c r="SA113" s="41"/>
      <c r="SB113" s="41"/>
      <c r="SC113" s="41"/>
      <c r="SD113" s="41"/>
      <c r="SE113" s="41"/>
      <c r="SF113" s="41"/>
      <c r="SG113" s="41"/>
      <c r="SH113" s="41"/>
      <c r="SI113" s="41"/>
      <c r="SJ113" s="41"/>
      <c r="SK113" s="41"/>
      <c r="SL113" s="41"/>
      <c r="SM113" s="41"/>
      <c r="SN113" s="41"/>
      <c r="SO113" s="41"/>
      <c r="SP113" s="41"/>
      <c r="SQ113" s="41"/>
      <c r="SR113" s="41"/>
      <c r="SS113" s="41"/>
      <c r="ST113" s="41"/>
      <c r="SU113" s="41"/>
      <c r="SV113" s="41"/>
      <c r="SW113" s="41"/>
      <c r="SX113" s="41"/>
      <c r="SY113" s="41"/>
      <c r="SZ113" s="41"/>
      <c r="TA113" s="41"/>
      <c r="TB113" s="41"/>
      <c r="TC113" s="41"/>
      <c r="TD113" s="41"/>
      <c r="TE113" s="41"/>
      <c r="TF113" s="41"/>
      <c r="TG113" s="41"/>
      <c r="TH113" s="41"/>
      <c r="TI113" s="41"/>
      <c r="TJ113" s="41"/>
      <c r="TK113" s="41"/>
      <c r="TL113" s="41"/>
      <c r="TM113" s="41"/>
      <c r="TN113" s="41"/>
      <c r="TO113" s="41"/>
      <c r="TP113" s="41"/>
      <c r="TQ113" s="41"/>
      <c r="TR113" s="41"/>
      <c r="TS113" s="41"/>
      <c r="TT113" s="41"/>
      <c r="TU113" s="41"/>
      <c r="TV113" s="41"/>
      <c r="TW113" s="41"/>
      <c r="TX113" s="41"/>
      <c r="TY113" s="41"/>
      <c r="TZ113" s="41"/>
      <c r="UA113" s="41"/>
      <c r="UB113" s="41"/>
      <c r="UC113" s="41"/>
      <c r="UD113" s="41"/>
      <c r="UE113" s="41"/>
      <c r="UF113" s="41"/>
      <c r="UG113" s="41"/>
      <c r="UH113" s="41"/>
      <c r="UI113" s="41"/>
      <c r="UJ113" s="41"/>
      <c r="UK113" s="41"/>
      <c r="UL113" s="41"/>
      <c r="UM113" s="41"/>
      <c r="UN113" s="41"/>
      <c r="UO113" s="41"/>
      <c r="UP113" s="41"/>
      <c r="UQ113" s="41"/>
      <c r="UR113" s="41"/>
      <c r="US113" s="41"/>
      <c r="UT113" s="41"/>
      <c r="UU113" s="41"/>
      <c r="UV113" s="41"/>
      <c r="UW113" s="41"/>
      <c r="UX113" s="41"/>
      <c r="UY113" s="41"/>
      <c r="UZ113" s="41"/>
      <c r="VA113" s="41"/>
      <c r="VB113" s="41"/>
      <c r="VC113" s="41"/>
      <c r="VD113" s="41"/>
      <c r="VE113" s="41"/>
      <c r="VF113" s="41"/>
      <c r="VG113" s="41"/>
      <c r="VH113" s="41"/>
      <c r="VI113" s="41"/>
      <c r="VJ113" s="41"/>
      <c r="VK113" s="41"/>
      <c r="VL113" s="41"/>
      <c r="VM113" s="41"/>
      <c r="VN113" s="41"/>
      <c r="VO113" s="41"/>
      <c r="VP113" s="41"/>
      <c r="VQ113" s="41"/>
      <c r="VR113" s="41"/>
      <c r="VS113" s="41"/>
      <c r="VT113" s="41"/>
      <c r="VU113" s="41"/>
      <c r="VV113" s="41"/>
      <c r="VW113" s="41"/>
      <c r="VX113" s="41"/>
      <c r="VY113" s="41"/>
      <c r="VZ113" s="41"/>
      <c r="WA113" s="41"/>
      <c r="WB113" s="41"/>
      <c r="WC113" s="41"/>
      <c r="WD113" s="41"/>
      <c r="WE113" s="41"/>
      <c r="WF113" s="41"/>
      <c r="WG113" s="41"/>
      <c r="WH113" s="41"/>
      <c r="WI113" s="41"/>
      <c r="WJ113" s="41"/>
      <c r="WK113" s="41"/>
      <c r="WL113" s="41"/>
      <c r="WM113" s="41"/>
      <c r="WN113" s="41"/>
      <c r="WO113" s="41"/>
      <c r="WP113" s="41"/>
      <c r="WQ113" s="41"/>
      <c r="WR113" s="41"/>
      <c r="WS113" s="41"/>
      <c r="WT113" s="41"/>
      <c r="WU113" s="41"/>
      <c r="WV113" s="41"/>
      <c r="WW113" s="41"/>
      <c r="WX113" s="41"/>
      <c r="WY113" s="41"/>
      <c r="WZ113" s="41"/>
      <c r="XA113" s="41"/>
      <c r="XB113" s="41"/>
      <c r="XC113" s="41"/>
      <c r="XD113" s="41"/>
      <c r="XE113" s="41"/>
      <c r="XF113" s="41"/>
      <c r="XG113" s="41"/>
      <c r="XH113" s="41"/>
      <c r="XI113" s="41"/>
      <c r="XJ113" s="41"/>
      <c r="XK113" s="41"/>
      <c r="XL113" s="41"/>
      <c r="XM113" s="41"/>
      <c r="XN113" s="41"/>
      <c r="XO113" s="41"/>
      <c r="XP113" s="41"/>
      <c r="XQ113" s="41"/>
      <c r="XR113" s="41"/>
      <c r="XS113" s="41"/>
      <c r="XT113" s="41"/>
      <c r="XU113" s="41"/>
      <c r="XV113" s="41"/>
      <c r="XW113" s="41"/>
      <c r="XX113" s="41"/>
      <c r="XY113" s="41"/>
      <c r="XZ113" s="41"/>
      <c r="YA113" s="41"/>
      <c r="YB113" s="41"/>
      <c r="YC113" s="41"/>
      <c r="YD113" s="41"/>
      <c r="YE113" s="41"/>
      <c r="YF113" s="41"/>
      <c r="YG113" s="41"/>
      <c r="YH113" s="41"/>
      <c r="YI113" s="41"/>
      <c r="YJ113" s="41"/>
      <c r="YK113" s="41"/>
      <c r="YL113" s="41"/>
      <c r="YM113" s="41"/>
      <c r="YN113" s="41"/>
      <c r="YO113" s="41"/>
      <c r="YP113" s="41"/>
      <c r="YQ113" s="41"/>
      <c r="YR113" s="41"/>
      <c r="YS113" s="41"/>
      <c r="YT113" s="41"/>
      <c r="YU113" s="41"/>
      <c r="YV113" s="41"/>
      <c r="YW113" s="41"/>
      <c r="YX113" s="41"/>
      <c r="YY113" s="41"/>
      <c r="YZ113" s="41"/>
      <c r="ZA113" s="41"/>
      <c r="ZB113" s="41"/>
      <c r="ZC113" s="41"/>
      <c r="ZD113" s="41"/>
      <c r="ZE113" s="41"/>
      <c r="ZF113" s="41"/>
      <c r="ZG113" s="41"/>
      <c r="ZH113" s="41"/>
      <c r="ZI113" s="41"/>
      <c r="ZJ113" s="41"/>
      <c r="ZK113" s="41"/>
      <c r="ZL113" s="41"/>
      <c r="ZM113" s="41"/>
      <c r="ZN113" s="41"/>
      <c r="ZO113" s="41"/>
      <c r="ZP113" s="41"/>
      <c r="ZQ113" s="41"/>
      <c r="ZR113" s="41"/>
      <c r="ZS113" s="41"/>
      <c r="ZT113" s="41"/>
      <c r="ZU113" s="41"/>
      <c r="ZV113" s="41"/>
      <c r="ZW113" s="41"/>
      <c r="ZX113" s="41"/>
      <c r="ZY113" s="41"/>
      <c r="ZZ113" s="41"/>
      <c r="AAA113" s="41"/>
      <c r="AAB113" s="41"/>
      <c r="AAC113" s="41"/>
    </row>
    <row r="114" spans="1:705" s="42" customFormat="1" ht="42" hidden="1" x14ac:dyDescent="0.3">
      <c r="A114" s="26">
        <v>110</v>
      </c>
      <c r="B114" s="137">
        <v>240054</v>
      </c>
      <c r="C114" s="138">
        <v>110</v>
      </c>
      <c r="D114" s="139">
        <v>45928</v>
      </c>
      <c r="E114" s="139">
        <f t="shared" si="18"/>
        <v>45927</v>
      </c>
      <c r="F114" s="139">
        <f t="shared" si="15"/>
        <v>45938</v>
      </c>
      <c r="G114" s="139">
        <v>46019</v>
      </c>
      <c r="H114" s="139">
        <v>45997</v>
      </c>
      <c r="I114" s="139" t="s">
        <v>321</v>
      </c>
      <c r="J114" s="140" t="s">
        <v>311</v>
      </c>
      <c r="K114" s="141">
        <f t="shared" si="19"/>
        <v>59</v>
      </c>
      <c r="L114" s="142">
        <v>1148175</v>
      </c>
      <c r="M114" s="140" t="s">
        <v>15</v>
      </c>
      <c r="N114" s="140">
        <v>804716</v>
      </c>
      <c r="O114" s="137" t="s">
        <v>246</v>
      </c>
      <c r="P114" s="143">
        <v>45946</v>
      </c>
      <c r="Q114" s="143">
        <v>46121</v>
      </c>
      <c r="R114" s="157" t="s">
        <v>211</v>
      </c>
      <c r="S114" s="144" t="s">
        <v>312</v>
      </c>
      <c r="T114" s="145">
        <v>1</v>
      </c>
      <c r="U114" s="137" t="s">
        <v>186</v>
      </c>
      <c r="V114" s="146">
        <v>34</v>
      </c>
      <c r="W114" s="146">
        <v>34</v>
      </c>
      <c r="X114" s="147">
        <v>0</v>
      </c>
      <c r="Y114" s="146"/>
      <c r="Z114" s="146">
        <v>0</v>
      </c>
      <c r="AA114" s="146">
        <v>0</v>
      </c>
      <c r="AB114" s="146">
        <v>30</v>
      </c>
      <c r="AC114" s="146">
        <v>30</v>
      </c>
      <c r="AD114" s="146">
        <v>0</v>
      </c>
      <c r="AE114" s="146">
        <v>0</v>
      </c>
      <c r="AF114" s="146">
        <v>0</v>
      </c>
      <c r="AG114" s="146">
        <v>0</v>
      </c>
      <c r="AH114" s="146">
        <v>0</v>
      </c>
      <c r="AI114" s="146">
        <v>0</v>
      </c>
      <c r="AJ114" s="146">
        <v>0</v>
      </c>
      <c r="AK114" s="146">
        <v>0</v>
      </c>
      <c r="AL114" s="146">
        <v>1</v>
      </c>
      <c r="AM114" s="146">
        <v>1</v>
      </c>
      <c r="AN114" s="146">
        <v>1</v>
      </c>
      <c r="AO114" s="146">
        <v>1</v>
      </c>
      <c r="AP114" s="146">
        <v>0</v>
      </c>
      <c r="AQ114" s="146"/>
      <c r="AR114" s="146">
        <v>0</v>
      </c>
      <c r="AS114" s="146">
        <v>0</v>
      </c>
      <c r="AT114" s="146">
        <v>0</v>
      </c>
      <c r="AU114" s="146">
        <v>0</v>
      </c>
      <c r="AV114" s="146">
        <v>0</v>
      </c>
      <c r="AW114" s="146">
        <v>0</v>
      </c>
      <c r="AX114" s="146">
        <f t="shared" si="16"/>
        <v>4400</v>
      </c>
      <c r="AY114" s="146">
        <f t="shared" si="17"/>
        <v>4400</v>
      </c>
      <c r="AZ114" s="140" t="s">
        <v>562</v>
      </c>
      <c r="BA114" s="137" t="s">
        <v>562</v>
      </c>
      <c r="BB114" s="137">
        <v>5</v>
      </c>
      <c r="BC114" s="148">
        <v>110</v>
      </c>
      <c r="BD114" s="149"/>
      <c r="BE114" s="145"/>
      <c r="BF114" s="150"/>
      <c r="BG114" s="188">
        <v>45962</v>
      </c>
      <c r="BH114" s="153" t="s">
        <v>15</v>
      </c>
      <c r="BI114" s="153" t="s">
        <v>562</v>
      </c>
      <c r="CC114" s="41"/>
      <c r="CD114" s="41"/>
      <c r="CE114" s="41"/>
      <c r="CF114" s="41"/>
      <c r="CG114" s="41"/>
      <c r="CH114" s="41"/>
      <c r="CI114" s="41"/>
      <c r="CJ114" s="41"/>
      <c r="CK114" s="41"/>
      <c r="CL114" s="41"/>
      <c r="CM114" s="41"/>
      <c r="CN114" s="41"/>
      <c r="CO114" s="41"/>
      <c r="CP114" s="41"/>
      <c r="CQ114" s="41"/>
      <c r="CR114" s="41"/>
      <c r="CS114" s="41"/>
      <c r="CT114" s="41"/>
      <c r="CU114" s="41"/>
      <c r="CV114" s="41"/>
      <c r="CW114" s="41"/>
      <c r="CX114" s="41"/>
      <c r="CY114" s="41"/>
      <c r="CZ114" s="41"/>
      <c r="DA114" s="41"/>
      <c r="DB114" s="41"/>
      <c r="DC114" s="41"/>
      <c r="DD114" s="41"/>
      <c r="DE114" s="41"/>
      <c r="DF114" s="41"/>
      <c r="DG114" s="41"/>
      <c r="DH114" s="41"/>
      <c r="DI114" s="41"/>
      <c r="DJ114" s="41"/>
      <c r="DK114" s="41"/>
      <c r="DL114" s="41"/>
      <c r="DM114" s="41"/>
      <c r="DN114" s="41"/>
      <c r="DO114" s="41"/>
      <c r="DP114" s="41"/>
      <c r="DQ114" s="41"/>
      <c r="DR114" s="41"/>
      <c r="DS114" s="41"/>
      <c r="DT114" s="41"/>
      <c r="DU114" s="41"/>
      <c r="DV114" s="41"/>
      <c r="DW114" s="41"/>
      <c r="DX114" s="41"/>
      <c r="DY114" s="41"/>
      <c r="DZ114" s="41"/>
      <c r="EA114" s="41"/>
      <c r="EB114" s="41"/>
      <c r="EC114" s="41"/>
      <c r="ED114" s="41"/>
      <c r="EE114" s="41"/>
      <c r="EF114" s="41"/>
      <c r="EG114" s="41"/>
      <c r="EH114" s="41"/>
      <c r="EI114" s="41"/>
      <c r="EJ114" s="41"/>
      <c r="EK114" s="41"/>
      <c r="EL114" s="41"/>
      <c r="EM114" s="41"/>
      <c r="EN114" s="41"/>
      <c r="EO114" s="41"/>
      <c r="EP114" s="41"/>
      <c r="EQ114" s="41"/>
      <c r="ER114" s="41"/>
      <c r="ES114" s="41"/>
      <c r="ET114" s="41"/>
      <c r="EU114" s="41"/>
      <c r="EV114" s="41"/>
      <c r="EW114" s="41"/>
      <c r="EX114" s="41"/>
      <c r="EY114" s="41"/>
      <c r="EZ114" s="41"/>
      <c r="FA114" s="41"/>
      <c r="FB114" s="41"/>
      <c r="FC114" s="41"/>
      <c r="FD114" s="41"/>
      <c r="FE114" s="41"/>
      <c r="FF114" s="41"/>
      <c r="FG114" s="41"/>
      <c r="FH114" s="41"/>
      <c r="FI114" s="41"/>
      <c r="FJ114" s="41"/>
      <c r="FK114" s="41"/>
      <c r="FL114" s="41"/>
      <c r="FM114" s="41"/>
      <c r="FN114" s="41"/>
      <c r="FO114" s="41"/>
      <c r="FP114" s="41"/>
      <c r="FQ114" s="41"/>
      <c r="FR114" s="41"/>
      <c r="FS114" s="41"/>
      <c r="FT114" s="41"/>
      <c r="FU114" s="41"/>
      <c r="FV114" s="41"/>
      <c r="FW114" s="41"/>
      <c r="FX114" s="41"/>
      <c r="FY114" s="41"/>
      <c r="FZ114" s="41"/>
      <c r="GA114" s="41"/>
      <c r="GB114" s="41"/>
      <c r="GC114" s="41"/>
      <c r="GD114" s="41"/>
      <c r="GE114" s="41"/>
      <c r="GF114" s="41"/>
      <c r="GG114" s="41"/>
      <c r="GH114" s="41"/>
      <c r="GI114" s="41"/>
      <c r="GJ114" s="41"/>
      <c r="GK114" s="41"/>
      <c r="GL114" s="41"/>
      <c r="GM114" s="41"/>
      <c r="GN114" s="41"/>
      <c r="GO114" s="41"/>
      <c r="GP114" s="41"/>
      <c r="GQ114" s="41"/>
      <c r="GR114" s="41"/>
      <c r="GS114" s="41"/>
      <c r="GT114" s="41"/>
      <c r="GU114" s="41"/>
      <c r="GV114" s="41"/>
      <c r="GW114" s="41"/>
      <c r="GX114" s="41"/>
      <c r="GY114" s="41"/>
      <c r="GZ114" s="41"/>
      <c r="HA114" s="41"/>
      <c r="HB114" s="41"/>
      <c r="HC114" s="41"/>
      <c r="HD114" s="41"/>
      <c r="HE114" s="41"/>
      <c r="HF114" s="41"/>
      <c r="HG114" s="41"/>
      <c r="HH114" s="41"/>
      <c r="HI114" s="41"/>
      <c r="HJ114" s="41"/>
      <c r="HK114" s="41"/>
      <c r="HL114" s="41"/>
      <c r="HM114" s="41"/>
      <c r="HN114" s="41"/>
      <c r="HO114" s="41"/>
      <c r="HP114" s="41"/>
      <c r="HQ114" s="41"/>
      <c r="HR114" s="41"/>
      <c r="HS114" s="41"/>
      <c r="HT114" s="41"/>
      <c r="HU114" s="41"/>
      <c r="HV114" s="41"/>
      <c r="HW114" s="41"/>
      <c r="HX114" s="41"/>
      <c r="HY114" s="41"/>
      <c r="HZ114" s="41"/>
      <c r="IA114" s="41"/>
      <c r="IB114" s="41"/>
      <c r="IC114" s="41"/>
      <c r="ID114" s="41"/>
      <c r="IE114" s="41"/>
      <c r="IF114" s="41"/>
      <c r="IG114" s="41"/>
      <c r="IH114" s="41"/>
      <c r="II114" s="41"/>
      <c r="IJ114" s="41"/>
      <c r="IK114" s="41"/>
      <c r="IL114" s="41"/>
      <c r="IM114" s="41"/>
      <c r="IN114" s="41"/>
      <c r="IO114" s="41"/>
      <c r="IP114" s="41"/>
      <c r="IQ114" s="41"/>
      <c r="IR114" s="41"/>
      <c r="IS114" s="41"/>
      <c r="IT114" s="41"/>
      <c r="IU114" s="41"/>
      <c r="IV114" s="41"/>
      <c r="IW114" s="41"/>
      <c r="IX114" s="41"/>
      <c r="IY114" s="41"/>
      <c r="IZ114" s="41"/>
      <c r="JA114" s="41"/>
      <c r="JB114" s="41"/>
      <c r="JC114" s="41"/>
      <c r="JD114" s="41"/>
      <c r="JE114" s="41"/>
      <c r="JF114" s="41"/>
      <c r="JG114" s="41"/>
      <c r="JH114" s="41"/>
      <c r="JI114" s="41"/>
      <c r="JJ114" s="41"/>
      <c r="JK114" s="41"/>
      <c r="JL114" s="41"/>
      <c r="JM114" s="41"/>
      <c r="JN114" s="41"/>
      <c r="JO114" s="41"/>
      <c r="JP114" s="41"/>
      <c r="JQ114" s="41"/>
      <c r="JR114" s="41"/>
      <c r="JS114" s="41"/>
      <c r="JT114" s="41"/>
      <c r="JU114" s="41"/>
      <c r="JV114" s="41"/>
      <c r="JW114" s="41"/>
      <c r="JX114" s="41"/>
      <c r="JY114" s="41"/>
      <c r="JZ114" s="41"/>
      <c r="KA114" s="41"/>
      <c r="KB114" s="41"/>
      <c r="KC114" s="41"/>
      <c r="KD114" s="41"/>
      <c r="KE114" s="41"/>
      <c r="KF114" s="41"/>
      <c r="KG114" s="41"/>
      <c r="KH114" s="41"/>
      <c r="KI114" s="41"/>
      <c r="KJ114" s="41"/>
      <c r="KK114" s="41"/>
      <c r="KL114" s="41"/>
      <c r="KM114" s="41"/>
      <c r="KN114" s="41"/>
      <c r="KO114" s="41"/>
      <c r="KP114" s="41"/>
      <c r="KQ114" s="41"/>
      <c r="KR114" s="41"/>
      <c r="KS114" s="41"/>
      <c r="KT114" s="41"/>
      <c r="KU114" s="41"/>
      <c r="KV114" s="41"/>
      <c r="KW114" s="41"/>
      <c r="KX114" s="41"/>
      <c r="KY114" s="41"/>
      <c r="KZ114" s="41"/>
      <c r="LA114" s="41"/>
      <c r="LB114" s="41"/>
      <c r="LC114" s="41"/>
      <c r="LD114" s="41"/>
      <c r="LE114" s="41"/>
      <c r="LF114" s="41"/>
      <c r="LG114" s="41"/>
      <c r="LH114" s="41"/>
      <c r="LI114" s="41"/>
      <c r="LJ114" s="41"/>
      <c r="LK114" s="41"/>
      <c r="LL114" s="41"/>
      <c r="LM114" s="41"/>
      <c r="LN114" s="41"/>
      <c r="LO114" s="41"/>
      <c r="LP114" s="41"/>
      <c r="LQ114" s="41"/>
      <c r="LR114" s="41"/>
      <c r="LS114" s="41"/>
      <c r="LT114" s="41"/>
      <c r="LU114" s="41"/>
      <c r="LV114" s="41"/>
      <c r="LW114" s="41"/>
      <c r="LX114" s="41"/>
      <c r="LY114" s="41"/>
      <c r="LZ114" s="41"/>
      <c r="MA114" s="41"/>
      <c r="MB114" s="41"/>
      <c r="MC114" s="41"/>
      <c r="MD114" s="41"/>
      <c r="ME114" s="41"/>
      <c r="MF114" s="41"/>
      <c r="MG114" s="41"/>
      <c r="MH114" s="41"/>
      <c r="MI114" s="41"/>
      <c r="MJ114" s="41"/>
      <c r="MK114" s="41"/>
      <c r="ML114" s="41"/>
      <c r="MM114" s="41"/>
      <c r="MN114" s="41"/>
      <c r="MO114" s="41"/>
      <c r="MP114" s="41"/>
      <c r="MQ114" s="41"/>
      <c r="MR114" s="41"/>
      <c r="MS114" s="41"/>
      <c r="MT114" s="41"/>
      <c r="MU114" s="41"/>
      <c r="MV114" s="41"/>
      <c r="MW114" s="41"/>
      <c r="MX114" s="41"/>
      <c r="MY114" s="41"/>
      <c r="MZ114" s="41"/>
      <c r="NA114" s="41"/>
      <c r="NB114" s="41"/>
      <c r="NC114" s="41"/>
      <c r="ND114" s="41"/>
      <c r="NE114" s="41"/>
      <c r="NF114" s="41"/>
      <c r="NG114" s="41"/>
      <c r="NH114" s="41"/>
      <c r="NI114" s="41"/>
      <c r="NJ114" s="41"/>
      <c r="NK114" s="41"/>
      <c r="NL114" s="41"/>
      <c r="NM114" s="41"/>
      <c r="NN114" s="41"/>
      <c r="NO114" s="41"/>
      <c r="NP114" s="41"/>
      <c r="NQ114" s="41"/>
      <c r="NR114" s="41"/>
      <c r="NS114" s="41"/>
      <c r="NT114" s="41"/>
      <c r="NU114" s="41"/>
      <c r="NV114" s="41"/>
      <c r="NW114" s="41"/>
      <c r="NX114" s="41"/>
      <c r="NY114" s="41"/>
      <c r="NZ114" s="41"/>
      <c r="OA114" s="41"/>
      <c r="OB114" s="41"/>
      <c r="OC114" s="41"/>
      <c r="OD114" s="41"/>
      <c r="OE114" s="41"/>
      <c r="OF114" s="41"/>
      <c r="OG114" s="41"/>
      <c r="OH114" s="41"/>
      <c r="OI114" s="41"/>
      <c r="OJ114" s="41"/>
      <c r="OK114" s="41"/>
      <c r="OL114" s="41"/>
      <c r="OM114" s="41"/>
      <c r="ON114" s="41"/>
      <c r="OO114" s="41"/>
      <c r="OP114" s="41"/>
      <c r="OQ114" s="41"/>
      <c r="OR114" s="41"/>
      <c r="OS114" s="41"/>
      <c r="OT114" s="41"/>
      <c r="OU114" s="41"/>
      <c r="OV114" s="41"/>
      <c r="OW114" s="41"/>
      <c r="OX114" s="41"/>
      <c r="OY114" s="41"/>
      <c r="OZ114" s="41"/>
      <c r="PA114" s="41"/>
      <c r="PB114" s="41"/>
      <c r="PC114" s="41"/>
      <c r="PD114" s="41"/>
      <c r="PE114" s="41"/>
      <c r="PF114" s="41"/>
      <c r="PG114" s="41"/>
      <c r="PH114" s="41"/>
      <c r="PI114" s="41"/>
      <c r="PJ114" s="41"/>
      <c r="PK114" s="41"/>
      <c r="PL114" s="41"/>
      <c r="PM114" s="41"/>
      <c r="PN114" s="41"/>
      <c r="PO114" s="41"/>
      <c r="PP114" s="41"/>
      <c r="PQ114" s="41"/>
      <c r="PR114" s="41"/>
      <c r="PS114" s="41"/>
      <c r="PT114" s="41"/>
      <c r="PU114" s="41"/>
      <c r="PV114" s="41"/>
      <c r="PW114" s="41"/>
      <c r="PX114" s="41"/>
      <c r="PY114" s="41"/>
      <c r="PZ114" s="41"/>
      <c r="QA114" s="41"/>
      <c r="QB114" s="41"/>
      <c r="QC114" s="41"/>
      <c r="QD114" s="41"/>
      <c r="QE114" s="41"/>
      <c r="QF114" s="41"/>
      <c r="QG114" s="41"/>
      <c r="QH114" s="41"/>
      <c r="QI114" s="41"/>
      <c r="QJ114" s="41"/>
      <c r="QK114" s="41"/>
      <c r="QL114" s="41"/>
      <c r="QM114" s="41"/>
      <c r="QN114" s="41"/>
      <c r="QO114" s="41"/>
      <c r="QP114" s="41"/>
      <c r="QQ114" s="41"/>
      <c r="QR114" s="41"/>
      <c r="QS114" s="41"/>
      <c r="QT114" s="41"/>
      <c r="QU114" s="41"/>
      <c r="QV114" s="41"/>
      <c r="QW114" s="41"/>
      <c r="QX114" s="41"/>
      <c r="QY114" s="41"/>
      <c r="QZ114" s="41"/>
      <c r="RA114" s="41"/>
      <c r="RB114" s="41"/>
      <c r="RC114" s="41"/>
      <c r="RD114" s="41"/>
      <c r="RE114" s="41"/>
      <c r="RF114" s="41"/>
      <c r="RG114" s="41"/>
      <c r="RH114" s="41"/>
      <c r="RI114" s="41"/>
      <c r="RJ114" s="41"/>
      <c r="RK114" s="41"/>
      <c r="RL114" s="41"/>
      <c r="RM114" s="41"/>
      <c r="RN114" s="41"/>
      <c r="RO114" s="41"/>
      <c r="RP114" s="41"/>
      <c r="RQ114" s="41"/>
      <c r="RR114" s="41"/>
      <c r="RS114" s="41"/>
      <c r="RT114" s="41"/>
      <c r="RU114" s="41"/>
      <c r="RV114" s="41"/>
      <c r="RW114" s="41"/>
      <c r="RX114" s="41"/>
      <c r="RY114" s="41"/>
      <c r="RZ114" s="41"/>
      <c r="SA114" s="41"/>
      <c r="SB114" s="41"/>
      <c r="SC114" s="41"/>
      <c r="SD114" s="41"/>
      <c r="SE114" s="41"/>
      <c r="SF114" s="41"/>
      <c r="SG114" s="41"/>
      <c r="SH114" s="41"/>
      <c r="SI114" s="41"/>
      <c r="SJ114" s="41"/>
      <c r="SK114" s="41"/>
      <c r="SL114" s="41"/>
      <c r="SM114" s="41"/>
      <c r="SN114" s="41"/>
      <c r="SO114" s="41"/>
      <c r="SP114" s="41"/>
      <c r="SQ114" s="41"/>
      <c r="SR114" s="41"/>
      <c r="SS114" s="41"/>
      <c r="ST114" s="41"/>
      <c r="SU114" s="41"/>
      <c r="SV114" s="41"/>
      <c r="SW114" s="41"/>
      <c r="SX114" s="41"/>
      <c r="SY114" s="41"/>
      <c r="SZ114" s="41"/>
      <c r="TA114" s="41"/>
      <c r="TB114" s="41"/>
      <c r="TC114" s="41"/>
      <c r="TD114" s="41"/>
      <c r="TE114" s="41"/>
      <c r="TF114" s="41"/>
      <c r="TG114" s="41"/>
      <c r="TH114" s="41"/>
      <c r="TI114" s="41"/>
      <c r="TJ114" s="41"/>
      <c r="TK114" s="41"/>
      <c r="TL114" s="41"/>
      <c r="TM114" s="41"/>
      <c r="TN114" s="41"/>
      <c r="TO114" s="41"/>
      <c r="TP114" s="41"/>
      <c r="TQ114" s="41"/>
      <c r="TR114" s="41"/>
      <c r="TS114" s="41"/>
      <c r="TT114" s="41"/>
      <c r="TU114" s="41"/>
      <c r="TV114" s="41"/>
      <c r="TW114" s="41"/>
      <c r="TX114" s="41"/>
      <c r="TY114" s="41"/>
      <c r="TZ114" s="41"/>
      <c r="UA114" s="41"/>
      <c r="UB114" s="41"/>
      <c r="UC114" s="41"/>
      <c r="UD114" s="41"/>
      <c r="UE114" s="41"/>
      <c r="UF114" s="41"/>
      <c r="UG114" s="41"/>
      <c r="UH114" s="41"/>
      <c r="UI114" s="41"/>
      <c r="UJ114" s="41"/>
      <c r="UK114" s="41"/>
      <c r="UL114" s="41"/>
      <c r="UM114" s="41"/>
      <c r="UN114" s="41"/>
      <c r="UO114" s="41"/>
      <c r="UP114" s="41"/>
      <c r="UQ114" s="41"/>
      <c r="UR114" s="41"/>
      <c r="US114" s="41"/>
      <c r="UT114" s="41"/>
      <c r="UU114" s="41"/>
      <c r="UV114" s="41"/>
      <c r="UW114" s="41"/>
      <c r="UX114" s="41"/>
      <c r="UY114" s="41"/>
      <c r="UZ114" s="41"/>
      <c r="VA114" s="41"/>
      <c r="VB114" s="41"/>
      <c r="VC114" s="41"/>
      <c r="VD114" s="41"/>
      <c r="VE114" s="41"/>
      <c r="VF114" s="41"/>
      <c r="VG114" s="41"/>
      <c r="VH114" s="41"/>
      <c r="VI114" s="41"/>
      <c r="VJ114" s="41"/>
      <c r="VK114" s="41"/>
      <c r="VL114" s="41"/>
      <c r="VM114" s="41"/>
      <c r="VN114" s="41"/>
      <c r="VO114" s="41"/>
      <c r="VP114" s="41"/>
      <c r="VQ114" s="41"/>
      <c r="VR114" s="41"/>
      <c r="VS114" s="41"/>
      <c r="VT114" s="41"/>
      <c r="VU114" s="41"/>
      <c r="VV114" s="41"/>
      <c r="VW114" s="41"/>
      <c r="VX114" s="41"/>
      <c r="VY114" s="41"/>
      <c r="VZ114" s="41"/>
      <c r="WA114" s="41"/>
      <c r="WB114" s="41"/>
      <c r="WC114" s="41"/>
      <c r="WD114" s="41"/>
      <c r="WE114" s="41"/>
      <c r="WF114" s="41"/>
      <c r="WG114" s="41"/>
      <c r="WH114" s="41"/>
      <c r="WI114" s="41"/>
      <c r="WJ114" s="41"/>
      <c r="WK114" s="41"/>
      <c r="WL114" s="41"/>
      <c r="WM114" s="41"/>
      <c r="WN114" s="41"/>
      <c r="WO114" s="41"/>
      <c r="WP114" s="41"/>
      <c r="WQ114" s="41"/>
      <c r="WR114" s="41"/>
      <c r="WS114" s="41"/>
      <c r="WT114" s="41"/>
      <c r="WU114" s="41"/>
      <c r="WV114" s="41"/>
      <c r="WW114" s="41"/>
      <c r="WX114" s="41"/>
      <c r="WY114" s="41"/>
      <c r="WZ114" s="41"/>
      <c r="XA114" s="41"/>
      <c r="XB114" s="41"/>
      <c r="XC114" s="41"/>
      <c r="XD114" s="41"/>
      <c r="XE114" s="41"/>
      <c r="XF114" s="41"/>
      <c r="XG114" s="41"/>
      <c r="XH114" s="41"/>
      <c r="XI114" s="41"/>
      <c r="XJ114" s="41"/>
      <c r="XK114" s="41"/>
      <c r="XL114" s="41"/>
      <c r="XM114" s="41"/>
      <c r="XN114" s="41"/>
      <c r="XO114" s="41"/>
      <c r="XP114" s="41"/>
      <c r="XQ114" s="41"/>
      <c r="XR114" s="41"/>
      <c r="XS114" s="41"/>
      <c r="XT114" s="41"/>
      <c r="XU114" s="41"/>
      <c r="XV114" s="41"/>
      <c r="XW114" s="41"/>
      <c r="XX114" s="41"/>
      <c r="XY114" s="41"/>
      <c r="XZ114" s="41"/>
      <c r="YA114" s="41"/>
      <c r="YB114" s="41"/>
      <c r="YC114" s="41"/>
      <c r="YD114" s="41"/>
      <c r="YE114" s="41"/>
      <c r="YF114" s="41"/>
      <c r="YG114" s="41"/>
      <c r="YH114" s="41"/>
      <c r="YI114" s="41"/>
      <c r="YJ114" s="41"/>
      <c r="YK114" s="41"/>
      <c r="YL114" s="41"/>
      <c r="YM114" s="41"/>
      <c r="YN114" s="41"/>
      <c r="YO114" s="41"/>
      <c r="YP114" s="41"/>
      <c r="YQ114" s="41"/>
      <c r="YR114" s="41"/>
      <c r="YS114" s="41"/>
      <c r="YT114" s="41"/>
      <c r="YU114" s="41"/>
      <c r="YV114" s="41"/>
      <c r="YW114" s="41"/>
      <c r="YX114" s="41"/>
      <c r="YY114" s="41"/>
      <c r="YZ114" s="41"/>
      <c r="ZA114" s="41"/>
      <c r="ZB114" s="41"/>
      <c r="ZC114" s="41"/>
      <c r="ZD114" s="41"/>
      <c r="ZE114" s="41"/>
      <c r="ZF114" s="41"/>
      <c r="ZG114" s="41"/>
      <c r="ZH114" s="41"/>
      <c r="ZI114" s="41"/>
      <c r="ZJ114" s="41"/>
      <c r="ZK114" s="41"/>
      <c r="ZL114" s="41"/>
      <c r="ZM114" s="41"/>
      <c r="ZN114" s="41"/>
      <c r="ZO114" s="41"/>
      <c r="ZP114" s="41"/>
      <c r="ZQ114" s="41"/>
      <c r="ZR114" s="41"/>
      <c r="ZS114" s="41"/>
      <c r="ZT114" s="41"/>
      <c r="ZU114" s="41"/>
      <c r="ZV114" s="41"/>
      <c r="ZW114" s="41"/>
      <c r="ZX114" s="41"/>
      <c r="ZY114" s="41"/>
      <c r="ZZ114" s="41"/>
      <c r="AAA114" s="41"/>
      <c r="AAB114" s="41"/>
      <c r="AAC114" s="41"/>
    </row>
    <row r="115" spans="1:705" s="42" customFormat="1" ht="42" hidden="1" x14ac:dyDescent="0.3">
      <c r="A115" s="26">
        <v>111</v>
      </c>
      <c r="B115" s="137">
        <v>240081</v>
      </c>
      <c r="C115" s="138">
        <v>111</v>
      </c>
      <c r="D115" s="139">
        <v>45928</v>
      </c>
      <c r="E115" s="139">
        <f t="shared" si="18"/>
        <v>45927</v>
      </c>
      <c r="F115" s="139">
        <f t="shared" si="15"/>
        <v>45938</v>
      </c>
      <c r="G115" s="139">
        <v>45879</v>
      </c>
      <c r="H115" s="139">
        <v>45952</v>
      </c>
      <c r="I115" s="139" t="s">
        <v>75</v>
      </c>
      <c r="J115" s="140" t="s">
        <v>313</v>
      </c>
      <c r="K115" s="141">
        <f t="shared" si="19"/>
        <v>14</v>
      </c>
      <c r="L115" s="142">
        <v>1148332</v>
      </c>
      <c r="M115" s="140" t="s">
        <v>15</v>
      </c>
      <c r="N115" s="140">
        <v>805336</v>
      </c>
      <c r="O115" s="137" t="s">
        <v>246</v>
      </c>
      <c r="P115" s="143">
        <v>45942</v>
      </c>
      <c r="Q115" s="143">
        <v>45957</v>
      </c>
      <c r="R115" s="157" t="s">
        <v>211</v>
      </c>
      <c r="S115" s="144" t="s">
        <v>314</v>
      </c>
      <c r="T115" s="145">
        <v>1</v>
      </c>
      <c r="U115" s="137" t="s">
        <v>102</v>
      </c>
      <c r="V115" s="146">
        <v>8</v>
      </c>
      <c r="W115" s="146">
        <v>8</v>
      </c>
      <c r="X115" s="147"/>
      <c r="Y115" s="146">
        <v>0</v>
      </c>
      <c r="Z115" s="146">
        <v>0</v>
      </c>
      <c r="AA115" s="146">
        <v>0</v>
      </c>
      <c r="AB115" s="146">
        <v>8</v>
      </c>
      <c r="AC115" s="146">
        <v>8</v>
      </c>
      <c r="AD115" s="146">
        <v>0</v>
      </c>
      <c r="AE115" s="146">
        <v>0</v>
      </c>
      <c r="AF115" s="146">
        <v>0</v>
      </c>
      <c r="AG115" s="146">
        <v>0</v>
      </c>
      <c r="AH115" s="146">
        <v>1</v>
      </c>
      <c r="AI115" s="146">
        <v>1</v>
      </c>
      <c r="AJ115" s="146">
        <v>0</v>
      </c>
      <c r="AK115" s="146">
        <v>0</v>
      </c>
      <c r="AL115" s="146">
        <v>0</v>
      </c>
      <c r="AM115" s="146">
        <v>0</v>
      </c>
      <c r="AN115" s="146">
        <v>1</v>
      </c>
      <c r="AO115" s="146">
        <v>1</v>
      </c>
      <c r="AP115" s="146">
        <v>1</v>
      </c>
      <c r="AQ115" s="146">
        <v>1</v>
      </c>
      <c r="AR115" s="146">
        <v>0</v>
      </c>
      <c r="AS115" s="146">
        <v>0</v>
      </c>
      <c r="AT115" s="146">
        <v>1</v>
      </c>
      <c r="AU115" s="146">
        <v>1</v>
      </c>
      <c r="AV115" s="146">
        <v>0</v>
      </c>
      <c r="AW115" s="146">
        <v>0</v>
      </c>
      <c r="AX115" s="146">
        <f t="shared" si="16"/>
        <v>2146</v>
      </c>
      <c r="AY115" s="146">
        <f t="shared" si="17"/>
        <v>2146</v>
      </c>
      <c r="AZ115" s="140" t="s">
        <v>562</v>
      </c>
      <c r="BA115" s="137" t="s">
        <v>562</v>
      </c>
      <c r="BB115" s="137">
        <v>2</v>
      </c>
      <c r="BC115" s="148">
        <v>111</v>
      </c>
      <c r="BD115" s="149"/>
      <c r="BE115" s="145"/>
      <c r="BF115" s="150"/>
      <c r="BG115" s="188">
        <v>45931</v>
      </c>
      <c r="BH115" s="153" t="s">
        <v>535</v>
      </c>
      <c r="BI115" s="153" t="s">
        <v>562</v>
      </c>
      <c r="CC115" s="41"/>
      <c r="CD115" s="41"/>
      <c r="CE115" s="41"/>
      <c r="CF115" s="41"/>
      <c r="CG115" s="41"/>
      <c r="CH115" s="41"/>
      <c r="CI115" s="41"/>
      <c r="CJ115" s="41"/>
      <c r="CK115" s="41"/>
      <c r="CL115" s="41"/>
      <c r="CM115" s="41"/>
      <c r="CN115" s="41"/>
      <c r="CO115" s="41"/>
      <c r="CP115" s="41"/>
      <c r="CQ115" s="41"/>
      <c r="CR115" s="41"/>
      <c r="CS115" s="41"/>
      <c r="CT115" s="41"/>
      <c r="CU115" s="41"/>
      <c r="CV115" s="41"/>
      <c r="CW115" s="41"/>
      <c r="CX115" s="41"/>
      <c r="CY115" s="41"/>
      <c r="CZ115" s="41"/>
      <c r="DA115" s="41"/>
      <c r="DB115" s="41"/>
      <c r="DC115" s="41"/>
      <c r="DD115" s="41"/>
      <c r="DE115" s="41"/>
      <c r="DF115" s="41"/>
      <c r="DG115" s="41"/>
      <c r="DH115" s="41"/>
      <c r="DI115" s="41"/>
      <c r="DJ115" s="41"/>
      <c r="DK115" s="41"/>
      <c r="DL115" s="41"/>
      <c r="DM115" s="41"/>
      <c r="DN115" s="41"/>
      <c r="DO115" s="41"/>
      <c r="DP115" s="41"/>
      <c r="DQ115" s="41"/>
      <c r="DR115" s="41"/>
      <c r="DS115" s="41"/>
      <c r="DT115" s="41"/>
      <c r="DU115" s="41"/>
      <c r="DV115" s="41"/>
      <c r="DW115" s="41"/>
      <c r="DX115" s="41"/>
      <c r="DY115" s="41"/>
      <c r="DZ115" s="41"/>
      <c r="EA115" s="41"/>
      <c r="EB115" s="41"/>
      <c r="EC115" s="41"/>
      <c r="ED115" s="41"/>
      <c r="EE115" s="41"/>
      <c r="EF115" s="41"/>
      <c r="EG115" s="41"/>
      <c r="EH115" s="41"/>
      <c r="EI115" s="41"/>
      <c r="EJ115" s="41"/>
      <c r="EK115" s="41"/>
      <c r="EL115" s="41"/>
      <c r="EM115" s="41"/>
      <c r="EN115" s="41"/>
      <c r="EO115" s="41"/>
      <c r="EP115" s="41"/>
      <c r="EQ115" s="41"/>
      <c r="ER115" s="41"/>
      <c r="ES115" s="41"/>
      <c r="ET115" s="41"/>
      <c r="EU115" s="41"/>
      <c r="EV115" s="41"/>
      <c r="EW115" s="41"/>
      <c r="EX115" s="41"/>
      <c r="EY115" s="41"/>
      <c r="EZ115" s="41"/>
      <c r="FA115" s="41"/>
      <c r="FB115" s="41"/>
      <c r="FC115" s="41"/>
      <c r="FD115" s="41"/>
      <c r="FE115" s="41"/>
      <c r="FF115" s="41"/>
      <c r="FG115" s="41"/>
      <c r="FH115" s="41"/>
      <c r="FI115" s="41"/>
      <c r="FJ115" s="41"/>
      <c r="FK115" s="41"/>
      <c r="FL115" s="41"/>
      <c r="FM115" s="41"/>
      <c r="FN115" s="41"/>
      <c r="FO115" s="41"/>
      <c r="FP115" s="41"/>
      <c r="FQ115" s="41"/>
      <c r="FR115" s="41"/>
      <c r="FS115" s="41"/>
      <c r="FT115" s="41"/>
      <c r="FU115" s="41"/>
      <c r="FV115" s="41"/>
      <c r="FW115" s="41"/>
      <c r="FX115" s="41"/>
      <c r="FY115" s="41"/>
      <c r="FZ115" s="41"/>
      <c r="GA115" s="41"/>
      <c r="GB115" s="41"/>
      <c r="GC115" s="41"/>
      <c r="GD115" s="41"/>
      <c r="GE115" s="41"/>
      <c r="GF115" s="41"/>
      <c r="GG115" s="41"/>
      <c r="GH115" s="41"/>
      <c r="GI115" s="41"/>
      <c r="GJ115" s="41"/>
      <c r="GK115" s="41"/>
      <c r="GL115" s="41"/>
      <c r="GM115" s="41"/>
      <c r="GN115" s="41"/>
      <c r="GO115" s="41"/>
      <c r="GP115" s="41"/>
      <c r="GQ115" s="41"/>
      <c r="GR115" s="41"/>
      <c r="GS115" s="41"/>
      <c r="GT115" s="41"/>
      <c r="GU115" s="41"/>
      <c r="GV115" s="41"/>
      <c r="GW115" s="41"/>
      <c r="GX115" s="41"/>
      <c r="GY115" s="41"/>
      <c r="GZ115" s="41"/>
      <c r="HA115" s="41"/>
      <c r="HB115" s="41"/>
      <c r="HC115" s="41"/>
      <c r="HD115" s="41"/>
      <c r="HE115" s="41"/>
      <c r="HF115" s="41"/>
      <c r="HG115" s="41"/>
      <c r="HH115" s="41"/>
      <c r="HI115" s="41"/>
      <c r="HJ115" s="41"/>
      <c r="HK115" s="41"/>
      <c r="HL115" s="41"/>
      <c r="HM115" s="41"/>
      <c r="HN115" s="41"/>
      <c r="HO115" s="41"/>
      <c r="HP115" s="41"/>
      <c r="HQ115" s="41"/>
      <c r="HR115" s="41"/>
      <c r="HS115" s="41"/>
      <c r="HT115" s="41"/>
      <c r="HU115" s="41"/>
      <c r="HV115" s="41"/>
      <c r="HW115" s="41"/>
      <c r="HX115" s="41"/>
      <c r="HY115" s="41"/>
      <c r="HZ115" s="41"/>
      <c r="IA115" s="41"/>
      <c r="IB115" s="41"/>
      <c r="IC115" s="41"/>
      <c r="ID115" s="41"/>
      <c r="IE115" s="41"/>
      <c r="IF115" s="41"/>
      <c r="IG115" s="41"/>
      <c r="IH115" s="41"/>
      <c r="II115" s="41"/>
      <c r="IJ115" s="41"/>
      <c r="IK115" s="41"/>
      <c r="IL115" s="41"/>
      <c r="IM115" s="41"/>
      <c r="IN115" s="41"/>
      <c r="IO115" s="41"/>
      <c r="IP115" s="41"/>
      <c r="IQ115" s="41"/>
      <c r="IR115" s="41"/>
      <c r="IS115" s="41"/>
      <c r="IT115" s="41"/>
      <c r="IU115" s="41"/>
      <c r="IV115" s="41"/>
      <c r="IW115" s="41"/>
      <c r="IX115" s="41"/>
      <c r="IY115" s="41"/>
      <c r="IZ115" s="41"/>
      <c r="JA115" s="41"/>
      <c r="JB115" s="41"/>
      <c r="JC115" s="41"/>
      <c r="JD115" s="41"/>
      <c r="JE115" s="41"/>
      <c r="JF115" s="41"/>
      <c r="JG115" s="41"/>
      <c r="JH115" s="41"/>
      <c r="JI115" s="41"/>
      <c r="JJ115" s="41"/>
      <c r="JK115" s="41"/>
      <c r="JL115" s="41"/>
      <c r="JM115" s="41"/>
      <c r="JN115" s="41"/>
      <c r="JO115" s="41"/>
      <c r="JP115" s="41"/>
      <c r="JQ115" s="41"/>
      <c r="JR115" s="41"/>
      <c r="JS115" s="41"/>
      <c r="JT115" s="41"/>
      <c r="JU115" s="41"/>
      <c r="JV115" s="41"/>
      <c r="JW115" s="41"/>
      <c r="JX115" s="41"/>
      <c r="JY115" s="41"/>
      <c r="JZ115" s="41"/>
      <c r="KA115" s="41"/>
      <c r="KB115" s="41"/>
      <c r="KC115" s="41"/>
      <c r="KD115" s="41"/>
      <c r="KE115" s="41"/>
      <c r="KF115" s="41"/>
      <c r="KG115" s="41"/>
      <c r="KH115" s="41"/>
      <c r="KI115" s="41"/>
      <c r="KJ115" s="41"/>
      <c r="KK115" s="41"/>
      <c r="KL115" s="41"/>
      <c r="KM115" s="41"/>
      <c r="KN115" s="41"/>
      <c r="KO115" s="41"/>
      <c r="KP115" s="41"/>
      <c r="KQ115" s="41"/>
      <c r="KR115" s="41"/>
      <c r="KS115" s="41"/>
      <c r="KT115" s="41"/>
      <c r="KU115" s="41"/>
      <c r="KV115" s="41"/>
      <c r="KW115" s="41"/>
      <c r="KX115" s="41"/>
      <c r="KY115" s="41"/>
      <c r="KZ115" s="41"/>
      <c r="LA115" s="41"/>
      <c r="LB115" s="41"/>
      <c r="LC115" s="41"/>
      <c r="LD115" s="41"/>
      <c r="LE115" s="41"/>
      <c r="LF115" s="41"/>
      <c r="LG115" s="41"/>
      <c r="LH115" s="41"/>
      <c r="LI115" s="41"/>
      <c r="LJ115" s="41"/>
      <c r="LK115" s="41"/>
      <c r="LL115" s="41"/>
      <c r="LM115" s="41"/>
      <c r="LN115" s="41"/>
      <c r="LO115" s="41"/>
      <c r="LP115" s="41"/>
      <c r="LQ115" s="41"/>
      <c r="LR115" s="41"/>
      <c r="LS115" s="41"/>
      <c r="LT115" s="41"/>
      <c r="LU115" s="41"/>
      <c r="LV115" s="41"/>
      <c r="LW115" s="41"/>
      <c r="LX115" s="41"/>
      <c r="LY115" s="41"/>
      <c r="LZ115" s="41"/>
      <c r="MA115" s="41"/>
      <c r="MB115" s="41"/>
      <c r="MC115" s="41"/>
      <c r="MD115" s="41"/>
      <c r="ME115" s="41"/>
      <c r="MF115" s="41"/>
      <c r="MG115" s="41"/>
      <c r="MH115" s="41"/>
      <c r="MI115" s="41"/>
      <c r="MJ115" s="41"/>
      <c r="MK115" s="41"/>
      <c r="ML115" s="41"/>
      <c r="MM115" s="41"/>
      <c r="MN115" s="41"/>
      <c r="MO115" s="41"/>
      <c r="MP115" s="41"/>
      <c r="MQ115" s="41"/>
      <c r="MR115" s="41"/>
      <c r="MS115" s="41"/>
      <c r="MT115" s="41"/>
      <c r="MU115" s="41"/>
      <c r="MV115" s="41"/>
      <c r="MW115" s="41"/>
      <c r="MX115" s="41"/>
      <c r="MY115" s="41"/>
      <c r="MZ115" s="41"/>
      <c r="NA115" s="41"/>
      <c r="NB115" s="41"/>
      <c r="NC115" s="41"/>
      <c r="ND115" s="41"/>
      <c r="NE115" s="41"/>
      <c r="NF115" s="41"/>
      <c r="NG115" s="41"/>
      <c r="NH115" s="41"/>
      <c r="NI115" s="41"/>
      <c r="NJ115" s="41"/>
      <c r="NK115" s="41"/>
      <c r="NL115" s="41"/>
      <c r="NM115" s="41"/>
      <c r="NN115" s="41"/>
      <c r="NO115" s="41"/>
      <c r="NP115" s="41"/>
      <c r="NQ115" s="41"/>
      <c r="NR115" s="41"/>
      <c r="NS115" s="41"/>
      <c r="NT115" s="41"/>
      <c r="NU115" s="41"/>
      <c r="NV115" s="41"/>
      <c r="NW115" s="41"/>
      <c r="NX115" s="41"/>
      <c r="NY115" s="41"/>
      <c r="NZ115" s="41"/>
      <c r="OA115" s="41"/>
      <c r="OB115" s="41"/>
      <c r="OC115" s="41"/>
      <c r="OD115" s="41"/>
      <c r="OE115" s="41"/>
      <c r="OF115" s="41"/>
      <c r="OG115" s="41"/>
      <c r="OH115" s="41"/>
      <c r="OI115" s="41"/>
      <c r="OJ115" s="41"/>
      <c r="OK115" s="41"/>
      <c r="OL115" s="41"/>
      <c r="OM115" s="41"/>
      <c r="ON115" s="41"/>
      <c r="OO115" s="41"/>
      <c r="OP115" s="41"/>
      <c r="OQ115" s="41"/>
      <c r="OR115" s="41"/>
      <c r="OS115" s="41"/>
      <c r="OT115" s="41"/>
      <c r="OU115" s="41"/>
      <c r="OV115" s="41"/>
      <c r="OW115" s="41"/>
      <c r="OX115" s="41"/>
      <c r="OY115" s="41"/>
      <c r="OZ115" s="41"/>
      <c r="PA115" s="41"/>
      <c r="PB115" s="41"/>
      <c r="PC115" s="41"/>
      <c r="PD115" s="41"/>
      <c r="PE115" s="41"/>
      <c r="PF115" s="41"/>
      <c r="PG115" s="41"/>
      <c r="PH115" s="41"/>
      <c r="PI115" s="41"/>
      <c r="PJ115" s="41"/>
      <c r="PK115" s="41"/>
      <c r="PL115" s="41"/>
      <c r="PM115" s="41"/>
      <c r="PN115" s="41"/>
      <c r="PO115" s="41"/>
      <c r="PP115" s="41"/>
      <c r="PQ115" s="41"/>
      <c r="PR115" s="41"/>
      <c r="PS115" s="41"/>
      <c r="PT115" s="41"/>
      <c r="PU115" s="41"/>
      <c r="PV115" s="41"/>
      <c r="PW115" s="41"/>
      <c r="PX115" s="41"/>
      <c r="PY115" s="41"/>
      <c r="PZ115" s="41"/>
      <c r="QA115" s="41"/>
      <c r="QB115" s="41"/>
      <c r="QC115" s="41"/>
      <c r="QD115" s="41"/>
      <c r="QE115" s="41"/>
      <c r="QF115" s="41"/>
      <c r="QG115" s="41"/>
      <c r="QH115" s="41"/>
      <c r="QI115" s="41"/>
      <c r="QJ115" s="41"/>
      <c r="QK115" s="41"/>
      <c r="QL115" s="41"/>
      <c r="QM115" s="41"/>
      <c r="QN115" s="41"/>
      <c r="QO115" s="41"/>
      <c r="QP115" s="41"/>
      <c r="QQ115" s="41"/>
      <c r="QR115" s="41"/>
      <c r="QS115" s="41"/>
      <c r="QT115" s="41"/>
      <c r="QU115" s="41"/>
      <c r="QV115" s="41"/>
      <c r="QW115" s="41"/>
      <c r="QX115" s="41"/>
      <c r="QY115" s="41"/>
      <c r="QZ115" s="41"/>
      <c r="RA115" s="41"/>
      <c r="RB115" s="41"/>
      <c r="RC115" s="41"/>
      <c r="RD115" s="41"/>
      <c r="RE115" s="41"/>
      <c r="RF115" s="41"/>
      <c r="RG115" s="41"/>
      <c r="RH115" s="41"/>
      <c r="RI115" s="41"/>
      <c r="RJ115" s="41"/>
      <c r="RK115" s="41"/>
      <c r="RL115" s="41"/>
      <c r="RM115" s="41"/>
      <c r="RN115" s="41"/>
      <c r="RO115" s="41"/>
      <c r="RP115" s="41"/>
      <c r="RQ115" s="41"/>
      <c r="RR115" s="41"/>
      <c r="RS115" s="41"/>
      <c r="RT115" s="41"/>
      <c r="RU115" s="41"/>
      <c r="RV115" s="41"/>
      <c r="RW115" s="41"/>
      <c r="RX115" s="41"/>
      <c r="RY115" s="41"/>
      <c r="RZ115" s="41"/>
      <c r="SA115" s="41"/>
      <c r="SB115" s="41"/>
      <c r="SC115" s="41"/>
      <c r="SD115" s="41"/>
      <c r="SE115" s="41"/>
      <c r="SF115" s="41"/>
      <c r="SG115" s="41"/>
      <c r="SH115" s="41"/>
      <c r="SI115" s="41"/>
      <c r="SJ115" s="41"/>
      <c r="SK115" s="41"/>
      <c r="SL115" s="41"/>
      <c r="SM115" s="41"/>
      <c r="SN115" s="41"/>
      <c r="SO115" s="41"/>
      <c r="SP115" s="41"/>
      <c r="SQ115" s="41"/>
      <c r="SR115" s="41"/>
      <c r="SS115" s="41"/>
      <c r="ST115" s="41"/>
      <c r="SU115" s="41"/>
      <c r="SV115" s="41"/>
      <c r="SW115" s="41"/>
      <c r="SX115" s="41"/>
      <c r="SY115" s="41"/>
      <c r="SZ115" s="41"/>
      <c r="TA115" s="41"/>
      <c r="TB115" s="41"/>
      <c r="TC115" s="41"/>
      <c r="TD115" s="41"/>
      <c r="TE115" s="41"/>
      <c r="TF115" s="41"/>
      <c r="TG115" s="41"/>
      <c r="TH115" s="41"/>
      <c r="TI115" s="41"/>
      <c r="TJ115" s="41"/>
      <c r="TK115" s="41"/>
      <c r="TL115" s="41"/>
      <c r="TM115" s="41"/>
      <c r="TN115" s="41"/>
      <c r="TO115" s="41"/>
      <c r="TP115" s="41"/>
      <c r="TQ115" s="41"/>
      <c r="TR115" s="41"/>
      <c r="TS115" s="41"/>
      <c r="TT115" s="41"/>
      <c r="TU115" s="41"/>
      <c r="TV115" s="41"/>
      <c r="TW115" s="41"/>
      <c r="TX115" s="41"/>
      <c r="TY115" s="41"/>
      <c r="TZ115" s="41"/>
      <c r="UA115" s="41"/>
      <c r="UB115" s="41"/>
      <c r="UC115" s="41"/>
      <c r="UD115" s="41"/>
      <c r="UE115" s="41"/>
      <c r="UF115" s="41"/>
      <c r="UG115" s="41"/>
      <c r="UH115" s="41"/>
      <c r="UI115" s="41"/>
      <c r="UJ115" s="41"/>
      <c r="UK115" s="41"/>
      <c r="UL115" s="41"/>
      <c r="UM115" s="41"/>
      <c r="UN115" s="41"/>
      <c r="UO115" s="41"/>
      <c r="UP115" s="41"/>
      <c r="UQ115" s="41"/>
      <c r="UR115" s="41"/>
      <c r="US115" s="41"/>
      <c r="UT115" s="41"/>
      <c r="UU115" s="41"/>
      <c r="UV115" s="41"/>
      <c r="UW115" s="41"/>
      <c r="UX115" s="41"/>
      <c r="UY115" s="41"/>
      <c r="UZ115" s="41"/>
      <c r="VA115" s="41"/>
      <c r="VB115" s="41"/>
      <c r="VC115" s="41"/>
      <c r="VD115" s="41"/>
      <c r="VE115" s="41"/>
      <c r="VF115" s="41"/>
      <c r="VG115" s="41"/>
      <c r="VH115" s="41"/>
      <c r="VI115" s="41"/>
      <c r="VJ115" s="41"/>
      <c r="VK115" s="41"/>
      <c r="VL115" s="41"/>
      <c r="VM115" s="41"/>
      <c r="VN115" s="41"/>
      <c r="VO115" s="41"/>
      <c r="VP115" s="41"/>
      <c r="VQ115" s="41"/>
      <c r="VR115" s="41"/>
      <c r="VS115" s="41"/>
      <c r="VT115" s="41"/>
      <c r="VU115" s="41"/>
      <c r="VV115" s="41"/>
      <c r="VW115" s="41"/>
      <c r="VX115" s="41"/>
      <c r="VY115" s="41"/>
      <c r="VZ115" s="41"/>
      <c r="WA115" s="41"/>
      <c r="WB115" s="41"/>
      <c r="WC115" s="41"/>
      <c r="WD115" s="41"/>
      <c r="WE115" s="41"/>
      <c r="WF115" s="41"/>
      <c r="WG115" s="41"/>
      <c r="WH115" s="41"/>
      <c r="WI115" s="41"/>
      <c r="WJ115" s="41"/>
      <c r="WK115" s="41"/>
      <c r="WL115" s="41"/>
      <c r="WM115" s="41"/>
      <c r="WN115" s="41"/>
      <c r="WO115" s="41"/>
      <c r="WP115" s="41"/>
      <c r="WQ115" s="41"/>
      <c r="WR115" s="41"/>
      <c r="WS115" s="41"/>
      <c r="WT115" s="41"/>
      <c r="WU115" s="41"/>
      <c r="WV115" s="41"/>
      <c r="WW115" s="41"/>
      <c r="WX115" s="41"/>
      <c r="WY115" s="41"/>
      <c r="WZ115" s="41"/>
      <c r="XA115" s="41"/>
      <c r="XB115" s="41"/>
      <c r="XC115" s="41"/>
      <c r="XD115" s="41"/>
      <c r="XE115" s="41"/>
      <c r="XF115" s="41"/>
      <c r="XG115" s="41"/>
      <c r="XH115" s="41"/>
      <c r="XI115" s="41"/>
      <c r="XJ115" s="41"/>
      <c r="XK115" s="41"/>
      <c r="XL115" s="41"/>
      <c r="XM115" s="41"/>
      <c r="XN115" s="41"/>
      <c r="XO115" s="41"/>
      <c r="XP115" s="41"/>
      <c r="XQ115" s="41"/>
      <c r="XR115" s="41"/>
      <c r="XS115" s="41"/>
      <c r="XT115" s="41"/>
      <c r="XU115" s="41"/>
      <c r="XV115" s="41"/>
      <c r="XW115" s="41"/>
      <c r="XX115" s="41"/>
      <c r="XY115" s="41"/>
      <c r="XZ115" s="41"/>
      <c r="YA115" s="41"/>
      <c r="YB115" s="41"/>
      <c r="YC115" s="41"/>
      <c r="YD115" s="41"/>
      <c r="YE115" s="41"/>
      <c r="YF115" s="41"/>
      <c r="YG115" s="41"/>
      <c r="YH115" s="41"/>
      <c r="YI115" s="41"/>
      <c r="YJ115" s="41"/>
      <c r="YK115" s="41"/>
      <c r="YL115" s="41"/>
      <c r="YM115" s="41"/>
      <c r="YN115" s="41"/>
      <c r="YO115" s="41"/>
      <c r="YP115" s="41"/>
      <c r="YQ115" s="41"/>
      <c r="YR115" s="41"/>
      <c r="YS115" s="41"/>
      <c r="YT115" s="41"/>
      <c r="YU115" s="41"/>
      <c r="YV115" s="41"/>
      <c r="YW115" s="41"/>
      <c r="YX115" s="41"/>
      <c r="YY115" s="41"/>
      <c r="YZ115" s="41"/>
      <c r="ZA115" s="41"/>
      <c r="ZB115" s="41"/>
      <c r="ZC115" s="41"/>
      <c r="ZD115" s="41"/>
      <c r="ZE115" s="41"/>
      <c r="ZF115" s="41"/>
      <c r="ZG115" s="41"/>
      <c r="ZH115" s="41"/>
      <c r="ZI115" s="41"/>
      <c r="ZJ115" s="41"/>
      <c r="ZK115" s="41"/>
      <c r="ZL115" s="41"/>
      <c r="ZM115" s="41"/>
      <c r="ZN115" s="41"/>
      <c r="ZO115" s="41"/>
      <c r="ZP115" s="41"/>
      <c r="ZQ115" s="41"/>
      <c r="ZR115" s="41"/>
      <c r="ZS115" s="41"/>
      <c r="ZT115" s="41"/>
      <c r="ZU115" s="41"/>
      <c r="ZV115" s="41"/>
      <c r="ZW115" s="41"/>
      <c r="ZX115" s="41"/>
      <c r="ZY115" s="41"/>
      <c r="ZZ115" s="41"/>
      <c r="AAA115" s="41"/>
      <c r="AAB115" s="41"/>
      <c r="AAC115" s="41"/>
    </row>
    <row r="116" spans="1:705" s="41" customFormat="1" ht="42" hidden="1" x14ac:dyDescent="0.3">
      <c r="A116" s="26">
        <v>112</v>
      </c>
      <c r="B116" s="137">
        <v>240096</v>
      </c>
      <c r="C116" s="138">
        <v>112</v>
      </c>
      <c r="D116" s="139">
        <v>45928</v>
      </c>
      <c r="E116" s="139">
        <f t="shared" si="18"/>
        <v>45927</v>
      </c>
      <c r="F116" s="139">
        <f t="shared" si="15"/>
        <v>45938</v>
      </c>
      <c r="G116" s="139">
        <v>46019</v>
      </c>
      <c r="H116" s="139">
        <v>45980</v>
      </c>
      <c r="I116" s="139" t="s">
        <v>321</v>
      </c>
      <c r="J116" s="140" t="s">
        <v>315</v>
      </c>
      <c r="K116" s="141">
        <f t="shared" si="19"/>
        <v>42</v>
      </c>
      <c r="L116" s="141">
        <v>1148545</v>
      </c>
      <c r="M116" s="140" t="s">
        <v>15</v>
      </c>
      <c r="N116" s="140">
        <v>804494</v>
      </c>
      <c r="O116" s="137" t="s">
        <v>246</v>
      </c>
      <c r="P116" s="143">
        <v>45959</v>
      </c>
      <c r="Q116" s="143">
        <v>46121</v>
      </c>
      <c r="R116" s="157" t="s">
        <v>211</v>
      </c>
      <c r="S116" s="144" t="s">
        <v>316</v>
      </c>
      <c r="T116" s="145">
        <v>1</v>
      </c>
      <c r="U116" s="137" t="s">
        <v>81</v>
      </c>
      <c r="V116" s="146">
        <v>11</v>
      </c>
      <c r="W116" s="146">
        <v>11</v>
      </c>
      <c r="X116" s="147">
        <v>0</v>
      </c>
      <c r="Y116" s="146"/>
      <c r="Z116" s="146">
        <v>0</v>
      </c>
      <c r="AA116" s="146">
        <v>0</v>
      </c>
      <c r="AB116" s="146">
        <v>11</v>
      </c>
      <c r="AC116" s="146">
        <v>11</v>
      </c>
      <c r="AD116" s="146">
        <v>0</v>
      </c>
      <c r="AE116" s="146">
        <v>0</v>
      </c>
      <c r="AF116" s="146">
        <v>0</v>
      </c>
      <c r="AG116" s="146">
        <v>0</v>
      </c>
      <c r="AH116" s="146">
        <v>0</v>
      </c>
      <c r="AI116" s="146">
        <v>0</v>
      </c>
      <c r="AJ116" s="146">
        <v>0</v>
      </c>
      <c r="AK116" s="146"/>
      <c r="AL116" s="146">
        <v>1</v>
      </c>
      <c r="AM116" s="146">
        <v>1</v>
      </c>
      <c r="AN116" s="146">
        <v>1</v>
      </c>
      <c r="AO116" s="146">
        <v>1</v>
      </c>
      <c r="AP116" s="146">
        <v>1</v>
      </c>
      <c r="AQ116" s="146">
        <v>1</v>
      </c>
      <c r="AR116" s="146">
        <v>0</v>
      </c>
      <c r="AS116" s="146">
        <v>0</v>
      </c>
      <c r="AT116" s="146">
        <v>0</v>
      </c>
      <c r="AU116" s="146">
        <v>0</v>
      </c>
      <c r="AV116" s="146">
        <v>0</v>
      </c>
      <c r="AW116" s="146">
        <v>0</v>
      </c>
      <c r="AX116" s="146">
        <f t="shared" si="16"/>
        <v>2567</v>
      </c>
      <c r="AY116" s="146">
        <f t="shared" si="17"/>
        <v>2567</v>
      </c>
      <c r="AZ116" s="140" t="s">
        <v>562</v>
      </c>
      <c r="BA116" s="137" t="s">
        <v>562</v>
      </c>
      <c r="BB116" s="137">
        <v>4</v>
      </c>
      <c r="BC116" s="148">
        <v>112</v>
      </c>
      <c r="BD116" s="149"/>
      <c r="BE116" s="145"/>
      <c r="BF116" s="150"/>
      <c r="BG116" s="151">
        <v>45962</v>
      </c>
      <c r="BH116" s="153" t="s">
        <v>535</v>
      </c>
      <c r="BI116" s="153" t="s">
        <v>562</v>
      </c>
    </row>
    <row r="117" spans="1:705" s="199" customFormat="1" ht="44.1" hidden="1" customHeight="1" x14ac:dyDescent="0.3">
      <c r="A117" s="26">
        <v>113</v>
      </c>
      <c r="B117" s="137">
        <v>240097</v>
      </c>
      <c r="C117" s="138">
        <v>113</v>
      </c>
      <c r="D117" s="139">
        <v>45928</v>
      </c>
      <c r="E117" s="139">
        <f t="shared" si="18"/>
        <v>45927</v>
      </c>
      <c r="F117" s="139">
        <f t="shared" si="15"/>
        <v>45938</v>
      </c>
      <c r="G117" s="139">
        <v>46019</v>
      </c>
      <c r="H117" s="139">
        <v>46077</v>
      </c>
      <c r="I117" s="139" t="s">
        <v>321</v>
      </c>
      <c r="J117" s="140" t="s">
        <v>317</v>
      </c>
      <c r="K117" s="141">
        <f t="shared" si="19"/>
        <v>139</v>
      </c>
      <c r="L117" s="141">
        <v>1148550</v>
      </c>
      <c r="M117" s="140" t="s">
        <v>15</v>
      </c>
      <c r="N117" s="140" t="s">
        <v>1058</v>
      </c>
      <c r="O117" s="137" t="s">
        <v>246</v>
      </c>
      <c r="P117" s="143">
        <v>45959</v>
      </c>
      <c r="Q117" s="143">
        <v>46121</v>
      </c>
      <c r="R117" s="157" t="s">
        <v>211</v>
      </c>
      <c r="S117" s="144" t="s">
        <v>318</v>
      </c>
      <c r="T117" s="145">
        <v>1</v>
      </c>
      <c r="U117" s="137" t="s">
        <v>81</v>
      </c>
      <c r="V117" s="146">
        <v>189</v>
      </c>
      <c r="W117" s="146">
        <v>189</v>
      </c>
      <c r="X117" s="147">
        <v>32</v>
      </c>
      <c r="Y117" s="146">
        <v>32</v>
      </c>
      <c r="Z117" s="146">
        <v>0</v>
      </c>
      <c r="AA117" s="146">
        <v>0</v>
      </c>
      <c r="AB117" s="146">
        <v>35</v>
      </c>
      <c r="AC117" s="146">
        <v>35</v>
      </c>
      <c r="AD117" s="146">
        <v>0</v>
      </c>
      <c r="AE117" s="146">
        <v>0</v>
      </c>
      <c r="AF117" s="146">
        <v>40</v>
      </c>
      <c r="AG117" s="146">
        <v>40</v>
      </c>
      <c r="AH117" s="146" t="s">
        <v>1151</v>
      </c>
      <c r="AI117" s="146"/>
      <c r="AJ117" s="146">
        <v>0</v>
      </c>
      <c r="AK117" s="146">
        <v>0</v>
      </c>
      <c r="AL117" s="146">
        <v>2</v>
      </c>
      <c r="AM117" s="146">
        <v>2</v>
      </c>
      <c r="AN117" s="146">
        <v>1</v>
      </c>
      <c r="AO117" s="146">
        <v>1</v>
      </c>
      <c r="AP117" s="146">
        <v>0</v>
      </c>
      <c r="AQ117" s="146"/>
      <c r="AR117" s="146">
        <v>0</v>
      </c>
      <c r="AS117" s="146">
        <v>0</v>
      </c>
      <c r="AT117" s="146">
        <v>0</v>
      </c>
      <c r="AU117" s="146">
        <v>0</v>
      </c>
      <c r="AV117" s="146">
        <v>0</v>
      </c>
      <c r="AW117" s="146">
        <v>0</v>
      </c>
      <c r="AX117" s="146">
        <v>23335</v>
      </c>
      <c r="AY117" s="146">
        <f t="shared" ref="AY117:AY180" si="20">(W117*60)+(Y117*80)+(AA117*38)+(AC117*57)+(AE117*75)+(AG117*155)+(AI117*170)+(AK117*375)+(AM117*590)+(AO117*60)+(AQ117*630)+(AS117*400)+(AU117*350)+(AW117*950)</f>
        <v>23335</v>
      </c>
      <c r="AZ117" s="137" t="s">
        <v>562</v>
      </c>
      <c r="BA117" s="137" t="s">
        <v>562</v>
      </c>
      <c r="BB117" s="137">
        <v>10</v>
      </c>
      <c r="BC117" s="148">
        <v>113</v>
      </c>
      <c r="BD117" s="149"/>
      <c r="BE117" s="145"/>
      <c r="BF117" s="150"/>
      <c r="BG117" s="151">
        <v>46023</v>
      </c>
      <c r="BH117" s="153" t="s">
        <v>535</v>
      </c>
      <c r="BI117" s="153" t="s">
        <v>562</v>
      </c>
      <c r="BJ117" s="42"/>
      <c r="BK117" s="42"/>
      <c r="BL117" s="42"/>
      <c r="BM117" s="42"/>
      <c r="BN117" s="42"/>
      <c r="BO117" s="42"/>
      <c r="BP117" s="42"/>
      <c r="BQ117" s="42"/>
      <c r="BR117" s="42"/>
      <c r="BS117" s="42"/>
      <c r="BT117" s="42"/>
      <c r="BU117" s="42"/>
      <c r="BV117" s="42"/>
      <c r="BW117" s="42"/>
      <c r="BX117" s="42"/>
      <c r="BY117" s="42"/>
      <c r="BZ117" s="42"/>
      <c r="CA117" s="42"/>
      <c r="CB117" s="42"/>
      <c r="CC117" s="42"/>
      <c r="CD117" s="42"/>
      <c r="CE117" s="42"/>
      <c r="CF117" s="42"/>
      <c r="CG117" s="42"/>
      <c r="CH117" s="42"/>
      <c r="CI117" s="42"/>
      <c r="CJ117" s="42"/>
      <c r="CK117" s="42"/>
      <c r="CL117" s="42"/>
      <c r="CM117" s="42"/>
      <c r="CN117" s="42"/>
      <c r="CO117" s="42"/>
      <c r="CP117" s="42"/>
      <c r="CQ117" s="42"/>
      <c r="CR117" s="42"/>
      <c r="CS117" s="42"/>
      <c r="CT117" s="42"/>
      <c r="CU117" s="42"/>
      <c r="CV117" s="42"/>
      <c r="CW117" s="42"/>
      <c r="CX117" s="42"/>
      <c r="CY117" s="42"/>
      <c r="CZ117" s="42"/>
      <c r="DA117" s="42"/>
      <c r="DB117" s="42"/>
      <c r="DC117" s="42"/>
      <c r="DD117" s="42"/>
      <c r="DE117" s="42"/>
      <c r="DF117" s="42"/>
      <c r="DG117" s="42"/>
      <c r="DH117" s="42"/>
      <c r="DI117" s="42"/>
      <c r="DJ117" s="42"/>
      <c r="DK117" s="42"/>
      <c r="DL117" s="42"/>
      <c r="DM117" s="42"/>
      <c r="DN117" s="42"/>
      <c r="DO117" s="42"/>
      <c r="DP117" s="42"/>
      <c r="DQ117" s="42"/>
      <c r="DR117" s="42"/>
      <c r="DS117" s="42"/>
      <c r="DT117" s="42"/>
      <c r="DU117" s="42"/>
      <c r="DV117" s="42"/>
      <c r="DW117" s="42"/>
      <c r="DX117" s="42"/>
      <c r="DY117" s="42"/>
      <c r="DZ117" s="42"/>
      <c r="EA117" s="42"/>
      <c r="EB117" s="42"/>
      <c r="EC117" s="42"/>
      <c r="ED117" s="42"/>
      <c r="EE117" s="42"/>
      <c r="EF117" s="42"/>
      <c r="EG117" s="42"/>
      <c r="EH117" s="42"/>
      <c r="EI117" s="42"/>
      <c r="EJ117" s="42"/>
      <c r="EK117" s="42"/>
      <c r="EL117" s="42"/>
      <c r="EM117" s="42"/>
      <c r="EN117" s="42"/>
      <c r="EO117" s="42"/>
      <c r="EP117" s="42"/>
      <c r="EQ117" s="42"/>
      <c r="ER117" s="42"/>
      <c r="ES117" s="42"/>
      <c r="ET117" s="42"/>
      <c r="EU117" s="42"/>
      <c r="EV117" s="42"/>
      <c r="EW117" s="42"/>
      <c r="EX117" s="42"/>
      <c r="EY117" s="42"/>
      <c r="EZ117" s="42"/>
      <c r="FA117" s="42"/>
      <c r="FB117" s="42"/>
      <c r="FC117" s="42"/>
      <c r="FD117" s="42"/>
      <c r="FE117" s="42"/>
      <c r="FF117" s="42"/>
      <c r="FG117" s="42"/>
      <c r="FH117" s="42"/>
      <c r="FI117" s="42"/>
      <c r="FJ117" s="42"/>
      <c r="FK117" s="42"/>
      <c r="FL117" s="42"/>
      <c r="FM117" s="42"/>
      <c r="FN117" s="42"/>
      <c r="FO117" s="42"/>
      <c r="FP117" s="42"/>
      <c r="FQ117" s="42"/>
      <c r="FR117" s="42"/>
      <c r="FS117" s="42"/>
      <c r="FT117" s="42"/>
      <c r="FU117" s="42"/>
      <c r="FV117" s="42"/>
      <c r="FW117" s="42"/>
      <c r="FX117" s="42"/>
      <c r="FY117" s="42"/>
      <c r="FZ117" s="42"/>
      <c r="GA117" s="42"/>
      <c r="GB117" s="42"/>
      <c r="GC117" s="42"/>
      <c r="GD117" s="42"/>
      <c r="GE117" s="42"/>
      <c r="GF117" s="42"/>
      <c r="GG117" s="42"/>
      <c r="GH117" s="42"/>
      <c r="GI117" s="42"/>
      <c r="GJ117" s="42"/>
      <c r="GK117" s="42"/>
      <c r="GL117" s="42"/>
      <c r="GM117" s="42"/>
      <c r="GN117" s="42"/>
      <c r="GO117" s="42"/>
      <c r="GP117" s="42"/>
      <c r="GQ117" s="42"/>
      <c r="GR117" s="42"/>
      <c r="GS117" s="42"/>
      <c r="GT117" s="42"/>
      <c r="GU117" s="42"/>
      <c r="GV117" s="42"/>
      <c r="GW117" s="42"/>
      <c r="GX117" s="42"/>
      <c r="GY117" s="42"/>
      <c r="GZ117" s="42"/>
      <c r="HA117" s="42"/>
      <c r="HB117" s="42"/>
      <c r="HC117" s="42"/>
      <c r="HD117" s="42"/>
      <c r="HE117" s="42"/>
      <c r="HF117" s="42"/>
      <c r="HG117" s="42"/>
      <c r="HH117" s="42"/>
      <c r="HI117" s="42"/>
      <c r="HJ117" s="42"/>
      <c r="HK117" s="42"/>
      <c r="HL117" s="42"/>
      <c r="HM117" s="42"/>
      <c r="HN117" s="42"/>
      <c r="HO117" s="42"/>
      <c r="HP117" s="42"/>
      <c r="HQ117" s="42"/>
      <c r="HR117" s="42"/>
      <c r="HS117" s="42"/>
      <c r="HT117" s="42"/>
      <c r="HU117" s="42"/>
      <c r="HV117" s="42"/>
      <c r="HW117" s="42"/>
      <c r="HX117" s="42"/>
      <c r="HY117" s="42"/>
      <c r="HZ117" s="42"/>
      <c r="IA117" s="42"/>
      <c r="IB117" s="42"/>
      <c r="IC117" s="42"/>
      <c r="ID117" s="42"/>
      <c r="IE117" s="42"/>
      <c r="IF117" s="42"/>
      <c r="IG117" s="42"/>
      <c r="IH117" s="42"/>
      <c r="II117" s="42"/>
      <c r="IJ117" s="42"/>
      <c r="IK117" s="42"/>
      <c r="IL117" s="42"/>
      <c r="IM117" s="42"/>
      <c r="IN117" s="42"/>
      <c r="IO117" s="42"/>
      <c r="IP117" s="42"/>
      <c r="IQ117" s="42"/>
      <c r="IR117" s="42"/>
      <c r="IS117" s="42"/>
      <c r="IT117" s="42"/>
      <c r="IU117" s="42"/>
      <c r="IV117" s="42"/>
      <c r="IW117" s="42"/>
      <c r="IX117" s="42"/>
      <c r="IY117" s="42"/>
      <c r="IZ117" s="42"/>
      <c r="JA117" s="42"/>
      <c r="JB117" s="42"/>
      <c r="JC117" s="42"/>
      <c r="JD117" s="42"/>
      <c r="JE117" s="42"/>
      <c r="JF117" s="42"/>
      <c r="JG117" s="42"/>
      <c r="JH117" s="42"/>
      <c r="JI117" s="42"/>
      <c r="JJ117" s="42"/>
      <c r="JK117" s="42"/>
      <c r="JL117" s="42"/>
      <c r="JM117" s="42"/>
      <c r="JN117" s="42"/>
      <c r="JO117" s="42"/>
      <c r="JP117" s="42"/>
      <c r="JQ117" s="42"/>
      <c r="JR117" s="42"/>
      <c r="JS117" s="42"/>
      <c r="JT117" s="42"/>
      <c r="JU117" s="42"/>
      <c r="JV117" s="42"/>
      <c r="JW117" s="42"/>
      <c r="JX117" s="42"/>
      <c r="JY117" s="42"/>
      <c r="JZ117" s="42"/>
      <c r="KA117" s="42"/>
      <c r="KB117" s="42"/>
      <c r="KC117" s="42"/>
      <c r="KD117" s="42"/>
      <c r="KE117" s="42"/>
      <c r="KF117" s="42"/>
      <c r="KG117" s="42"/>
      <c r="KH117" s="42"/>
      <c r="KI117" s="42"/>
      <c r="KJ117" s="42"/>
      <c r="KK117" s="42"/>
      <c r="KL117" s="42"/>
      <c r="KM117" s="42"/>
      <c r="KN117" s="42"/>
      <c r="KO117" s="42"/>
      <c r="KP117" s="42"/>
      <c r="KQ117" s="42"/>
      <c r="KR117" s="42"/>
      <c r="KS117" s="42"/>
      <c r="KT117" s="42"/>
      <c r="KU117" s="42"/>
      <c r="KV117" s="42"/>
      <c r="KW117" s="42"/>
      <c r="KX117" s="42"/>
      <c r="KY117" s="42"/>
      <c r="KZ117" s="42"/>
      <c r="LA117" s="42"/>
      <c r="LB117" s="42"/>
      <c r="LC117" s="42"/>
      <c r="LD117" s="42"/>
      <c r="LE117" s="42"/>
      <c r="LF117" s="42"/>
      <c r="LG117" s="42"/>
      <c r="LH117" s="42"/>
      <c r="LI117" s="42"/>
      <c r="LJ117" s="42"/>
      <c r="LK117" s="42"/>
      <c r="LL117" s="42"/>
      <c r="LM117" s="42"/>
      <c r="LN117" s="42"/>
      <c r="LO117" s="42"/>
      <c r="LP117" s="42"/>
      <c r="LQ117" s="42"/>
      <c r="LR117" s="42"/>
      <c r="LS117" s="42"/>
      <c r="LT117" s="42"/>
      <c r="LU117" s="42"/>
      <c r="LV117" s="42"/>
      <c r="LW117" s="42"/>
      <c r="LX117" s="42"/>
      <c r="LY117" s="42"/>
      <c r="LZ117" s="42"/>
      <c r="MA117" s="42"/>
      <c r="MB117" s="42"/>
      <c r="MC117" s="42"/>
      <c r="MD117" s="42"/>
      <c r="ME117" s="42"/>
      <c r="MF117" s="42"/>
      <c r="MG117" s="42"/>
      <c r="MH117" s="42"/>
      <c r="MI117" s="42"/>
      <c r="MJ117" s="42"/>
      <c r="MK117" s="42"/>
      <c r="ML117" s="42"/>
      <c r="MM117" s="42"/>
      <c r="MN117" s="42"/>
      <c r="MO117" s="42"/>
      <c r="MP117" s="42"/>
      <c r="MQ117" s="42"/>
      <c r="MR117" s="42"/>
      <c r="MS117" s="42"/>
      <c r="MT117" s="42"/>
      <c r="MU117" s="42"/>
      <c r="MV117" s="42"/>
      <c r="MW117" s="42"/>
      <c r="MX117" s="42"/>
      <c r="MY117" s="42"/>
      <c r="MZ117" s="42"/>
      <c r="NA117" s="42"/>
      <c r="NB117" s="42"/>
      <c r="NC117" s="42"/>
      <c r="ND117" s="42"/>
      <c r="NE117" s="42"/>
      <c r="NF117" s="42"/>
      <c r="NG117" s="42"/>
      <c r="NH117" s="42"/>
      <c r="NI117" s="42"/>
      <c r="NJ117" s="42"/>
      <c r="NK117" s="42"/>
      <c r="NL117" s="42"/>
      <c r="NM117" s="42"/>
      <c r="NN117" s="42"/>
      <c r="NO117" s="42"/>
      <c r="NP117" s="42"/>
      <c r="NQ117" s="42"/>
      <c r="NR117" s="42"/>
      <c r="NS117" s="42"/>
      <c r="NT117" s="42"/>
      <c r="NU117" s="42"/>
      <c r="NV117" s="42"/>
      <c r="NW117" s="42"/>
      <c r="NX117" s="42"/>
      <c r="NY117" s="42"/>
      <c r="NZ117" s="42"/>
      <c r="OA117" s="42"/>
      <c r="OB117" s="42"/>
      <c r="OC117" s="42"/>
      <c r="OD117" s="42"/>
      <c r="OE117" s="42"/>
      <c r="OF117" s="42"/>
      <c r="OG117" s="42"/>
      <c r="OH117" s="42"/>
      <c r="OI117" s="42"/>
      <c r="OJ117" s="42"/>
      <c r="OK117" s="42"/>
      <c r="OL117" s="42"/>
      <c r="OM117" s="42"/>
      <c r="ON117" s="42"/>
      <c r="OO117" s="42"/>
      <c r="OP117" s="42"/>
      <c r="OQ117" s="42"/>
      <c r="OR117" s="42"/>
      <c r="OS117" s="42"/>
      <c r="OT117" s="42"/>
      <c r="OU117" s="42"/>
      <c r="OV117" s="42"/>
      <c r="OW117" s="42"/>
      <c r="OX117" s="42"/>
      <c r="OY117" s="42"/>
      <c r="OZ117" s="42"/>
      <c r="PA117" s="42"/>
      <c r="PB117" s="42"/>
      <c r="PC117" s="42"/>
      <c r="PD117" s="42"/>
      <c r="PE117" s="42"/>
      <c r="PF117" s="42"/>
      <c r="PG117" s="42"/>
      <c r="PH117" s="42"/>
      <c r="PI117" s="42"/>
      <c r="PJ117" s="42"/>
      <c r="PK117" s="42"/>
      <c r="PL117" s="42"/>
      <c r="PM117" s="42"/>
      <c r="PN117" s="42"/>
      <c r="PO117" s="42"/>
      <c r="PP117" s="42"/>
      <c r="PQ117" s="42"/>
      <c r="PR117" s="42"/>
      <c r="PS117" s="42"/>
      <c r="PT117" s="42"/>
      <c r="PU117" s="42"/>
      <c r="PV117" s="42"/>
      <c r="PW117" s="42"/>
      <c r="PX117" s="42"/>
      <c r="PY117" s="42"/>
      <c r="PZ117" s="42"/>
      <c r="QA117" s="42"/>
      <c r="QB117" s="42"/>
      <c r="QC117" s="42"/>
      <c r="QD117" s="42"/>
      <c r="QE117" s="42"/>
      <c r="QF117" s="42"/>
      <c r="QG117" s="42"/>
      <c r="QH117" s="42"/>
      <c r="QI117" s="42"/>
      <c r="QJ117" s="42"/>
      <c r="QK117" s="42"/>
      <c r="QL117" s="42"/>
      <c r="QM117" s="42"/>
      <c r="QN117" s="42"/>
      <c r="QO117" s="42"/>
      <c r="QP117" s="42"/>
      <c r="QQ117" s="42"/>
      <c r="QR117" s="42"/>
      <c r="QS117" s="42"/>
      <c r="QT117" s="42"/>
      <c r="QU117" s="42"/>
      <c r="QV117" s="42"/>
      <c r="QW117" s="42"/>
      <c r="QX117" s="42"/>
      <c r="QY117" s="42"/>
      <c r="QZ117" s="42"/>
      <c r="RA117" s="42"/>
      <c r="RB117" s="42"/>
      <c r="RC117" s="42"/>
      <c r="RD117" s="42"/>
      <c r="RE117" s="42"/>
      <c r="RF117" s="42"/>
      <c r="RG117" s="42"/>
      <c r="RH117" s="42"/>
      <c r="RI117" s="42"/>
      <c r="RJ117" s="42"/>
      <c r="RK117" s="42"/>
      <c r="RL117" s="42"/>
      <c r="RM117" s="42"/>
      <c r="RN117" s="42"/>
      <c r="RO117" s="42"/>
      <c r="RP117" s="42"/>
      <c r="RQ117" s="42"/>
      <c r="RR117" s="42"/>
      <c r="RS117" s="42"/>
      <c r="RT117" s="42"/>
      <c r="RU117" s="42"/>
      <c r="RV117" s="42"/>
      <c r="RW117" s="42"/>
      <c r="RX117" s="42"/>
      <c r="RY117" s="42"/>
      <c r="RZ117" s="42"/>
      <c r="SA117" s="42"/>
      <c r="SB117" s="42"/>
      <c r="SC117" s="42"/>
      <c r="SD117" s="42"/>
      <c r="SE117" s="42"/>
      <c r="SF117" s="42"/>
      <c r="SG117" s="42"/>
      <c r="SH117" s="42"/>
      <c r="SI117" s="42"/>
      <c r="SJ117" s="42"/>
      <c r="SK117" s="42"/>
      <c r="SL117" s="42"/>
      <c r="SM117" s="42"/>
      <c r="SN117" s="42"/>
      <c r="SO117" s="42"/>
      <c r="SP117" s="42"/>
      <c r="SQ117" s="42"/>
      <c r="SR117" s="42"/>
      <c r="SS117" s="42"/>
      <c r="ST117" s="42"/>
      <c r="SU117" s="42"/>
      <c r="SV117" s="42"/>
      <c r="SW117" s="42"/>
      <c r="SX117" s="42"/>
      <c r="SY117" s="42"/>
      <c r="SZ117" s="42"/>
      <c r="TA117" s="42"/>
      <c r="TB117" s="42"/>
      <c r="TC117" s="42"/>
      <c r="TD117" s="42"/>
      <c r="TE117" s="42"/>
      <c r="TF117" s="42"/>
      <c r="TG117" s="42"/>
      <c r="TH117" s="42"/>
      <c r="TI117" s="42"/>
      <c r="TJ117" s="42"/>
      <c r="TK117" s="42"/>
      <c r="TL117" s="42"/>
      <c r="TM117" s="42"/>
      <c r="TN117" s="42"/>
      <c r="TO117" s="42"/>
      <c r="TP117" s="42"/>
      <c r="TQ117" s="42"/>
      <c r="TR117" s="42"/>
      <c r="TS117" s="42"/>
      <c r="TT117" s="42"/>
      <c r="TU117" s="42"/>
      <c r="TV117" s="42"/>
      <c r="TW117" s="42"/>
      <c r="TX117" s="42"/>
      <c r="TY117" s="42"/>
      <c r="TZ117" s="42"/>
      <c r="UA117" s="42"/>
      <c r="UB117" s="42"/>
      <c r="UC117" s="42"/>
      <c r="UD117" s="42"/>
      <c r="UE117" s="42"/>
      <c r="UF117" s="42"/>
      <c r="UG117" s="42"/>
      <c r="UH117" s="42"/>
      <c r="UI117" s="42"/>
      <c r="UJ117" s="42"/>
      <c r="UK117" s="42"/>
      <c r="UL117" s="42"/>
      <c r="UM117" s="42"/>
      <c r="UN117" s="42"/>
      <c r="UO117" s="42"/>
      <c r="UP117" s="42"/>
      <c r="UQ117" s="42"/>
      <c r="UR117" s="42"/>
      <c r="US117" s="42"/>
      <c r="UT117" s="42"/>
      <c r="UU117" s="42"/>
      <c r="UV117" s="42"/>
      <c r="UW117" s="42"/>
      <c r="UX117" s="42"/>
      <c r="UY117" s="42"/>
      <c r="UZ117" s="42"/>
      <c r="VA117" s="42"/>
      <c r="VB117" s="42"/>
      <c r="VC117" s="42"/>
      <c r="VD117" s="42"/>
      <c r="VE117" s="42"/>
      <c r="VF117" s="42"/>
      <c r="VG117" s="42"/>
      <c r="VH117" s="42"/>
      <c r="VI117" s="42"/>
      <c r="VJ117" s="42"/>
      <c r="VK117" s="42"/>
      <c r="VL117" s="42"/>
      <c r="VM117" s="42"/>
      <c r="VN117" s="42"/>
      <c r="VO117" s="42"/>
      <c r="VP117" s="42"/>
      <c r="VQ117" s="42"/>
      <c r="VR117" s="42"/>
      <c r="VS117" s="42"/>
      <c r="VT117" s="42"/>
      <c r="VU117" s="42"/>
      <c r="VV117" s="42"/>
      <c r="VW117" s="42"/>
      <c r="VX117" s="42"/>
      <c r="VY117" s="42"/>
      <c r="VZ117" s="42"/>
      <c r="WA117" s="42"/>
      <c r="WB117" s="42"/>
      <c r="WC117" s="42"/>
      <c r="WD117" s="42"/>
      <c r="WE117" s="42"/>
      <c r="WF117" s="42"/>
      <c r="WG117" s="42"/>
      <c r="WH117" s="42"/>
      <c r="WI117" s="42"/>
      <c r="WJ117" s="42"/>
      <c r="WK117" s="42"/>
      <c r="WL117" s="42"/>
      <c r="WM117" s="42"/>
      <c r="WN117" s="42"/>
      <c r="WO117" s="42"/>
      <c r="WP117" s="42"/>
      <c r="WQ117" s="42"/>
      <c r="WR117" s="42"/>
      <c r="WS117" s="42"/>
      <c r="WT117" s="42"/>
      <c r="WU117" s="42"/>
      <c r="WV117" s="42"/>
      <c r="WW117" s="42"/>
      <c r="WX117" s="42"/>
      <c r="WY117" s="42"/>
      <c r="WZ117" s="42"/>
      <c r="XA117" s="42"/>
      <c r="XB117" s="42"/>
      <c r="XC117" s="42"/>
      <c r="XD117" s="42"/>
      <c r="XE117" s="42"/>
      <c r="XF117" s="42"/>
      <c r="XG117" s="42"/>
      <c r="XH117" s="42"/>
      <c r="XI117" s="42"/>
      <c r="XJ117" s="42"/>
      <c r="XK117" s="42"/>
      <c r="XL117" s="42"/>
      <c r="XM117" s="42"/>
      <c r="XN117" s="42"/>
      <c r="XO117" s="42"/>
      <c r="XP117" s="42"/>
      <c r="XQ117" s="42"/>
      <c r="XR117" s="42"/>
      <c r="XS117" s="42"/>
      <c r="XT117" s="42"/>
      <c r="XU117" s="42"/>
      <c r="XV117" s="42"/>
      <c r="XW117" s="42"/>
      <c r="XX117" s="42"/>
      <c r="XY117" s="42"/>
      <c r="XZ117" s="42"/>
      <c r="YA117" s="42"/>
      <c r="YB117" s="42"/>
      <c r="YC117" s="42"/>
      <c r="YD117" s="42"/>
      <c r="YE117" s="42"/>
      <c r="YF117" s="42"/>
      <c r="YG117" s="42"/>
      <c r="YH117" s="42"/>
      <c r="YI117" s="42"/>
      <c r="YJ117" s="42"/>
      <c r="YK117" s="42"/>
      <c r="YL117" s="42"/>
      <c r="YM117" s="42"/>
      <c r="YN117" s="42"/>
      <c r="YO117" s="42"/>
      <c r="YP117" s="42"/>
      <c r="YQ117" s="42"/>
      <c r="YR117" s="42"/>
      <c r="YS117" s="42"/>
      <c r="YT117" s="42"/>
      <c r="YU117" s="42"/>
      <c r="YV117" s="42"/>
      <c r="YW117" s="42"/>
      <c r="YX117" s="42"/>
      <c r="YY117" s="42"/>
      <c r="YZ117" s="42"/>
      <c r="ZA117" s="42"/>
      <c r="ZB117" s="42"/>
      <c r="ZC117" s="42"/>
      <c r="ZD117" s="42"/>
      <c r="ZE117" s="42"/>
      <c r="ZF117" s="42"/>
      <c r="ZG117" s="42"/>
      <c r="ZH117" s="42"/>
      <c r="ZI117" s="42"/>
      <c r="ZJ117" s="42"/>
      <c r="ZK117" s="42"/>
      <c r="ZL117" s="42"/>
      <c r="ZM117" s="42"/>
      <c r="ZN117" s="42"/>
      <c r="ZO117" s="42"/>
      <c r="ZP117" s="42"/>
      <c r="ZQ117" s="42"/>
      <c r="ZR117" s="42"/>
      <c r="ZS117" s="42"/>
      <c r="ZT117" s="42"/>
      <c r="ZU117" s="42"/>
      <c r="ZV117" s="42"/>
      <c r="ZW117" s="42"/>
      <c r="ZX117" s="42"/>
      <c r="ZY117" s="42"/>
      <c r="ZZ117" s="42"/>
      <c r="AAA117" s="42"/>
      <c r="AAB117" s="42"/>
      <c r="AAC117" s="42"/>
    </row>
    <row r="118" spans="1:705" s="134" customFormat="1" ht="44.1" hidden="1" customHeight="1" x14ac:dyDescent="0.3">
      <c r="A118" s="26">
        <v>114</v>
      </c>
      <c r="B118" s="137">
        <v>240104</v>
      </c>
      <c r="C118" s="138">
        <v>114</v>
      </c>
      <c r="D118" s="139">
        <v>45929</v>
      </c>
      <c r="E118" s="139">
        <f t="shared" si="18"/>
        <v>45928</v>
      </c>
      <c r="F118" s="139">
        <f t="shared" si="15"/>
        <v>45939</v>
      </c>
      <c r="G118" s="139">
        <v>46020</v>
      </c>
      <c r="H118" s="139">
        <v>45970</v>
      </c>
      <c r="I118" s="139" t="s">
        <v>321</v>
      </c>
      <c r="J118" s="140" t="s">
        <v>319</v>
      </c>
      <c r="K118" s="141">
        <f t="shared" si="19"/>
        <v>31</v>
      </c>
      <c r="L118" s="141">
        <v>1148798</v>
      </c>
      <c r="M118" s="140" t="s">
        <v>15</v>
      </c>
      <c r="N118" s="140">
        <v>804716</v>
      </c>
      <c r="O118" s="137" t="s">
        <v>246</v>
      </c>
      <c r="P118" s="143">
        <v>45946</v>
      </c>
      <c r="Q118" s="143">
        <v>46121</v>
      </c>
      <c r="R118" s="157" t="s">
        <v>211</v>
      </c>
      <c r="S118" s="144" t="s">
        <v>320</v>
      </c>
      <c r="T118" s="145">
        <v>1</v>
      </c>
      <c r="U118" s="137" t="s">
        <v>186</v>
      </c>
      <c r="V118" s="146">
        <v>145</v>
      </c>
      <c r="W118" s="146">
        <v>145</v>
      </c>
      <c r="X118" s="147">
        <v>0</v>
      </c>
      <c r="Y118" s="146">
        <v>0</v>
      </c>
      <c r="Z118" s="146">
        <v>0</v>
      </c>
      <c r="AA118" s="146">
        <v>0</v>
      </c>
      <c r="AB118" s="146">
        <v>128</v>
      </c>
      <c r="AC118" s="146">
        <v>128</v>
      </c>
      <c r="AD118" s="146">
        <v>0</v>
      </c>
      <c r="AE118" s="146">
        <v>0</v>
      </c>
      <c r="AF118" s="146">
        <v>0</v>
      </c>
      <c r="AG118" s="146">
        <v>0</v>
      </c>
      <c r="AH118" s="146">
        <v>0</v>
      </c>
      <c r="AI118" s="146">
        <v>0</v>
      </c>
      <c r="AJ118" s="146">
        <v>0</v>
      </c>
      <c r="AK118" s="146"/>
      <c r="AL118" s="146">
        <v>1</v>
      </c>
      <c r="AM118" s="146">
        <v>1</v>
      </c>
      <c r="AN118" s="146">
        <v>2</v>
      </c>
      <c r="AO118" s="146">
        <v>2</v>
      </c>
      <c r="AP118" s="146">
        <v>1</v>
      </c>
      <c r="AQ118" s="146">
        <v>1</v>
      </c>
      <c r="AR118" s="146">
        <v>0</v>
      </c>
      <c r="AS118" s="146">
        <v>0</v>
      </c>
      <c r="AT118" s="146">
        <v>0</v>
      </c>
      <c r="AU118" s="146">
        <v>0</v>
      </c>
      <c r="AV118" s="146">
        <v>0</v>
      </c>
      <c r="AW118" s="146">
        <v>0</v>
      </c>
      <c r="AX118" s="146">
        <f t="shared" ref="AX118:AX149" si="21">(V118*60)+(X118*80)+(Z118*38)+(AB118*57)+(AD118*75)+(AF118*155)+(AH118*170)+(AJ118*375)+(AL118*590)+(AN118*60)+(AP118*630)+(AR118*400)+(AT118*350)+(AV118*950)</f>
        <v>17336</v>
      </c>
      <c r="AY118" s="146">
        <f t="shared" si="20"/>
        <v>17336</v>
      </c>
      <c r="AZ118" s="140" t="s">
        <v>562</v>
      </c>
      <c r="BA118" s="137" t="s">
        <v>562</v>
      </c>
      <c r="BB118" s="137">
        <v>4</v>
      </c>
      <c r="BC118" s="148">
        <v>114</v>
      </c>
      <c r="BD118" s="149"/>
      <c r="BE118" s="145"/>
      <c r="BF118" s="150"/>
      <c r="BG118" s="151">
        <v>45962</v>
      </c>
      <c r="BH118" s="153" t="s">
        <v>535</v>
      </c>
      <c r="BI118" s="153" t="s">
        <v>562</v>
      </c>
      <c r="BJ118" s="42"/>
      <c r="BK118" s="42"/>
      <c r="BL118" s="42"/>
      <c r="BM118" s="42"/>
      <c r="BN118" s="42"/>
      <c r="BO118" s="42"/>
      <c r="BP118" s="42"/>
      <c r="BQ118" s="42"/>
      <c r="BR118" s="42"/>
      <c r="BS118" s="42"/>
      <c r="BT118" s="42"/>
      <c r="BU118" s="42"/>
      <c r="BV118" s="42"/>
      <c r="BW118" s="42"/>
      <c r="BX118" s="42"/>
      <c r="BY118" s="42"/>
      <c r="BZ118" s="42"/>
      <c r="CA118" s="42"/>
      <c r="CB118" s="42"/>
      <c r="CC118" s="42"/>
      <c r="CD118" s="42"/>
      <c r="CE118" s="42"/>
      <c r="CF118" s="42"/>
      <c r="CG118" s="42"/>
      <c r="CH118" s="42"/>
      <c r="CI118" s="42"/>
      <c r="CJ118" s="42"/>
      <c r="CK118" s="42"/>
      <c r="CL118" s="42"/>
      <c r="CM118" s="42"/>
      <c r="CN118" s="42"/>
      <c r="CO118" s="42"/>
      <c r="CP118" s="42"/>
      <c r="CQ118" s="42"/>
      <c r="CR118" s="42"/>
      <c r="CS118" s="42"/>
      <c r="CT118" s="42"/>
      <c r="CU118" s="42"/>
      <c r="CV118" s="42"/>
      <c r="CW118" s="42"/>
      <c r="CX118" s="42"/>
      <c r="CY118" s="42"/>
      <c r="CZ118" s="42"/>
      <c r="DA118" s="42"/>
      <c r="DB118" s="42"/>
      <c r="DC118" s="42"/>
      <c r="DD118" s="42"/>
      <c r="DE118" s="42"/>
      <c r="DF118" s="42"/>
      <c r="DG118" s="42"/>
      <c r="DH118" s="42"/>
      <c r="DI118" s="42"/>
      <c r="DJ118" s="42"/>
      <c r="DK118" s="42"/>
      <c r="DL118" s="42"/>
      <c r="DM118" s="42"/>
      <c r="DN118" s="42"/>
      <c r="DO118" s="42"/>
      <c r="DP118" s="42"/>
      <c r="DQ118" s="42"/>
      <c r="DR118" s="42"/>
      <c r="DS118" s="42"/>
      <c r="DT118" s="42"/>
      <c r="DU118" s="42"/>
      <c r="DV118" s="42"/>
      <c r="DW118" s="42"/>
      <c r="DX118" s="42"/>
      <c r="DY118" s="42"/>
      <c r="DZ118" s="42"/>
      <c r="EA118" s="42"/>
      <c r="EB118" s="42"/>
      <c r="EC118" s="42"/>
      <c r="ED118" s="42"/>
      <c r="EE118" s="42"/>
      <c r="EF118" s="42"/>
      <c r="EG118" s="42"/>
      <c r="EH118" s="42"/>
      <c r="EI118" s="42"/>
      <c r="EJ118" s="42"/>
      <c r="EK118" s="42"/>
      <c r="EL118" s="42"/>
      <c r="EM118" s="42"/>
      <c r="EN118" s="42"/>
      <c r="EO118" s="42"/>
      <c r="EP118" s="42"/>
      <c r="EQ118" s="42"/>
      <c r="ER118" s="42"/>
      <c r="ES118" s="42"/>
      <c r="ET118" s="42"/>
      <c r="EU118" s="42"/>
      <c r="EV118" s="42"/>
      <c r="EW118" s="42"/>
      <c r="EX118" s="42"/>
      <c r="EY118" s="42"/>
      <c r="EZ118" s="42"/>
      <c r="FA118" s="42"/>
      <c r="FB118" s="42"/>
      <c r="FC118" s="42"/>
      <c r="FD118" s="42"/>
      <c r="FE118" s="42"/>
      <c r="FF118" s="42"/>
      <c r="FG118" s="42"/>
      <c r="FH118" s="42"/>
      <c r="FI118" s="42"/>
      <c r="FJ118" s="42"/>
      <c r="FK118" s="42"/>
      <c r="FL118" s="42"/>
      <c r="FM118" s="42"/>
      <c r="FN118" s="42"/>
      <c r="FO118" s="42"/>
      <c r="FP118" s="42"/>
      <c r="FQ118" s="42"/>
      <c r="FR118" s="42"/>
      <c r="FS118" s="42"/>
      <c r="FT118" s="42"/>
      <c r="FU118" s="42"/>
      <c r="FV118" s="42"/>
      <c r="FW118" s="42"/>
      <c r="FX118" s="42"/>
      <c r="FY118" s="42"/>
      <c r="FZ118" s="42"/>
      <c r="GA118" s="42"/>
      <c r="GB118" s="42"/>
      <c r="GC118" s="42"/>
      <c r="GD118" s="42"/>
      <c r="GE118" s="42"/>
      <c r="GF118" s="42"/>
      <c r="GG118" s="42"/>
      <c r="GH118" s="42"/>
      <c r="GI118" s="42"/>
      <c r="GJ118" s="42"/>
      <c r="GK118" s="42"/>
      <c r="GL118" s="42"/>
      <c r="GM118" s="42"/>
      <c r="GN118" s="42"/>
      <c r="GO118" s="42"/>
      <c r="GP118" s="42"/>
      <c r="GQ118" s="42"/>
      <c r="GR118" s="42"/>
      <c r="GS118" s="42"/>
      <c r="GT118" s="42"/>
      <c r="GU118" s="42"/>
      <c r="GV118" s="42"/>
      <c r="GW118" s="42"/>
      <c r="GX118" s="42"/>
      <c r="GY118" s="42"/>
      <c r="GZ118" s="42"/>
      <c r="HA118" s="42"/>
      <c r="HB118" s="42"/>
      <c r="HC118" s="42"/>
      <c r="HD118" s="42"/>
      <c r="HE118" s="42"/>
      <c r="HF118" s="42"/>
      <c r="HG118" s="42"/>
      <c r="HH118" s="42"/>
      <c r="HI118" s="42"/>
      <c r="HJ118" s="42"/>
      <c r="HK118" s="42"/>
      <c r="HL118" s="42"/>
      <c r="HM118" s="42"/>
      <c r="HN118" s="42"/>
      <c r="HO118" s="42"/>
      <c r="HP118" s="42"/>
      <c r="HQ118" s="42"/>
      <c r="HR118" s="42"/>
      <c r="HS118" s="42"/>
      <c r="HT118" s="42"/>
      <c r="HU118" s="42"/>
      <c r="HV118" s="42"/>
      <c r="HW118" s="42"/>
      <c r="HX118" s="42"/>
      <c r="HY118" s="42"/>
      <c r="HZ118" s="42"/>
      <c r="IA118" s="42"/>
      <c r="IB118" s="42"/>
      <c r="IC118" s="42"/>
      <c r="ID118" s="42"/>
      <c r="IE118" s="42"/>
      <c r="IF118" s="42"/>
      <c r="IG118" s="42"/>
      <c r="IH118" s="42"/>
      <c r="II118" s="42"/>
      <c r="IJ118" s="42"/>
      <c r="IK118" s="42"/>
      <c r="IL118" s="42"/>
      <c r="IM118" s="42"/>
      <c r="IN118" s="42"/>
      <c r="IO118" s="42"/>
      <c r="IP118" s="42"/>
      <c r="IQ118" s="42"/>
      <c r="IR118" s="42"/>
      <c r="IS118" s="42"/>
      <c r="IT118" s="42"/>
      <c r="IU118" s="42"/>
      <c r="IV118" s="42"/>
      <c r="IW118" s="42"/>
      <c r="IX118" s="42"/>
      <c r="IY118" s="42"/>
      <c r="IZ118" s="42"/>
      <c r="JA118" s="42"/>
      <c r="JB118" s="42"/>
      <c r="JC118" s="42"/>
      <c r="JD118" s="42"/>
      <c r="JE118" s="42"/>
      <c r="JF118" s="42"/>
      <c r="JG118" s="42"/>
      <c r="JH118" s="42"/>
      <c r="JI118" s="42"/>
      <c r="JJ118" s="42"/>
      <c r="JK118" s="42"/>
      <c r="JL118" s="42"/>
      <c r="JM118" s="42"/>
      <c r="JN118" s="42"/>
      <c r="JO118" s="42"/>
      <c r="JP118" s="42"/>
      <c r="JQ118" s="42"/>
      <c r="JR118" s="42"/>
      <c r="JS118" s="42"/>
      <c r="JT118" s="42"/>
      <c r="JU118" s="42"/>
      <c r="JV118" s="42"/>
      <c r="JW118" s="42"/>
      <c r="JX118" s="42"/>
      <c r="JY118" s="42"/>
      <c r="JZ118" s="42"/>
      <c r="KA118" s="42"/>
      <c r="KB118" s="42"/>
      <c r="KC118" s="42"/>
      <c r="KD118" s="42"/>
      <c r="KE118" s="42"/>
      <c r="KF118" s="42"/>
      <c r="KG118" s="42"/>
      <c r="KH118" s="42"/>
      <c r="KI118" s="42"/>
      <c r="KJ118" s="42"/>
      <c r="KK118" s="42"/>
      <c r="KL118" s="42"/>
      <c r="KM118" s="42"/>
      <c r="KN118" s="42"/>
      <c r="KO118" s="42"/>
      <c r="KP118" s="42"/>
      <c r="KQ118" s="42"/>
      <c r="KR118" s="42"/>
      <c r="KS118" s="42"/>
      <c r="KT118" s="42"/>
      <c r="KU118" s="42"/>
      <c r="KV118" s="42"/>
      <c r="KW118" s="42"/>
      <c r="KX118" s="42"/>
      <c r="KY118" s="42"/>
      <c r="KZ118" s="42"/>
      <c r="LA118" s="42"/>
      <c r="LB118" s="42"/>
      <c r="LC118" s="42"/>
      <c r="LD118" s="42"/>
      <c r="LE118" s="42"/>
      <c r="LF118" s="42"/>
      <c r="LG118" s="42"/>
      <c r="LH118" s="42"/>
      <c r="LI118" s="42"/>
      <c r="LJ118" s="42"/>
      <c r="LK118" s="42"/>
      <c r="LL118" s="42"/>
      <c r="LM118" s="42"/>
      <c r="LN118" s="42"/>
      <c r="LO118" s="42"/>
      <c r="LP118" s="42"/>
      <c r="LQ118" s="42"/>
      <c r="LR118" s="42"/>
      <c r="LS118" s="42"/>
      <c r="LT118" s="42"/>
      <c r="LU118" s="42"/>
      <c r="LV118" s="42"/>
      <c r="LW118" s="42"/>
      <c r="LX118" s="42"/>
      <c r="LY118" s="42"/>
      <c r="LZ118" s="42"/>
      <c r="MA118" s="42"/>
      <c r="MB118" s="42"/>
      <c r="MC118" s="42"/>
      <c r="MD118" s="42"/>
      <c r="ME118" s="42"/>
      <c r="MF118" s="42"/>
      <c r="MG118" s="42"/>
      <c r="MH118" s="42"/>
      <c r="MI118" s="42"/>
      <c r="MJ118" s="42"/>
      <c r="MK118" s="42"/>
      <c r="ML118" s="42"/>
      <c r="MM118" s="42"/>
      <c r="MN118" s="42"/>
      <c r="MO118" s="42"/>
      <c r="MP118" s="42"/>
      <c r="MQ118" s="42"/>
      <c r="MR118" s="42"/>
      <c r="MS118" s="42"/>
      <c r="MT118" s="42"/>
      <c r="MU118" s="42"/>
      <c r="MV118" s="42"/>
      <c r="MW118" s="42"/>
      <c r="MX118" s="42"/>
      <c r="MY118" s="42"/>
      <c r="MZ118" s="42"/>
      <c r="NA118" s="42"/>
      <c r="NB118" s="42"/>
      <c r="NC118" s="42"/>
      <c r="ND118" s="42"/>
      <c r="NE118" s="42"/>
      <c r="NF118" s="42"/>
      <c r="NG118" s="42"/>
      <c r="NH118" s="42"/>
      <c r="NI118" s="42"/>
      <c r="NJ118" s="42"/>
      <c r="NK118" s="42"/>
      <c r="NL118" s="42"/>
      <c r="NM118" s="42"/>
      <c r="NN118" s="42"/>
      <c r="NO118" s="42"/>
      <c r="NP118" s="42"/>
      <c r="NQ118" s="42"/>
      <c r="NR118" s="42"/>
      <c r="NS118" s="42"/>
      <c r="NT118" s="42"/>
      <c r="NU118" s="42"/>
      <c r="NV118" s="42"/>
      <c r="NW118" s="42"/>
      <c r="NX118" s="42"/>
      <c r="NY118" s="42"/>
      <c r="NZ118" s="42"/>
      <c r="OA118" s="42"/>
      <c r="OB118" s="42"/>
      <c r="OC118" s="42"/>
      <c r="OD118" s="42"/>
      <c r="OE118" s="42"/>
      <c r="OF118" s="42"/>
      <c r="OG118" s="42"/>
      <c r="OH118" s="42"/>
      <c r="OI118" s="42"/>
      <c r="OJ118" s="42"/>
      <c r="OK118" s="42"/>
      <c r="OL118" s="42"/>
      <c r="OM118" s="42"/>
      <c r="ON118" s="42"/>
      <c r="OO118" s="42"/>
      <c r="OP118" s="42"/>
      <c r="OQ118" s="42"/>
      <c r="OR118" s="42"/>
      <c r="OS118" s="42"/>
      <c r="OT118" s="42"/>
      <c r="OU118" s="42"/>
      <c r="OV118" s="42"/>
      <c r="OW118" s="42"/>
      <c r="OX118" s="42"/>
      <c r="OY118" s="42"/>
      <c r="OZ118" s="42"/>
      <c r="PA118" s="42"/>
      <c r="PB118" s="42"/>
      <c r="PC118" s="42"/>
      <c r="PD118" s="42"/>
      <c r="PE118" s="42"/>
      <c r="PF118" s="42"/>
      <c r="PG118" s="42"/>
      <c r="PH118" s="42"/>
      <c r="PI118" s="42"/>
      <c r="PJ118" s="42"/>
      <c r="PK118" s="42"/>
      <c r="PL118" s="42"/>
      <c r="PM118" s="42"/>
      <c r="PN118" s="42"/>
      <c r="PO118" s="42"/>
      <c r="PP118" s="42"/>
      <c r="PQ118" s="42"/>
      <c r="PR118" s="42"/>
      <c r="PS118" s="42"/>
      <c r="PT118" s="42"/>
      <c r="PU118" s="42"/>
      <c r="PV118" s="42"/>
      <c r="PW118" s="42"/>
      <c r="PX118" s="42"/>
      <c r="PY118" s="42"/>
      <c r="PZ118" s="42"/>
      <c r="QA118" s="42"/>
      <c r="QB118" s="42"/>
      <c r="QC118" s="42"/>
      <c r="QD118" s="42"/>
      <c r="QE118" s="42"/>
      <c r="QF118" s="42"/>
      <c r="QG118" s="42"/>
      <c r="QH118" s="42"/>
      <c r="QI118" s="42"/>
      <c r="QJ118" s="42"/>
      <c r="QK118" s="42"/>
      <c r="QL118" s="42"/>
      <c r="QM118" s="42"/>
      <c r="QN118" s="42"/>
      <c r="QO118" s="42"/>
      <c r="QP118" s="42"/>
      <c r="QQ118" s="42"/>
      <c r="QR118" s="42"/>
      <c r="QS118" s="42"/>
      <c r="QT118" s="42"/>
      <c r="QU118" s="42"/>
      <c r="QV118" s="42"/>
      <c r="QW118" s="42"/>
      <c r="QX118" s="42"/>
      <c r="QY118" s="42"/>
      <c r="QZ118" s="42"/>
      <c r="RA118" s="42"/>
      <c r="RB118" s="42"/>
      <c r="RC118" s="42"/>
      <c r="RD118" s="42"/>
      <c r="RE118" s="42"/>
      <c r="RF118" s="42"/>
      <c r="RG118" s="42"/>
      <c r="RH118" s="42"/>
      <c r="RI118" s="42"/>
      <c r="RJ118" s="42"/>
      <c r="RK118" s="42"/>
      <c r="RL118" s="42"/>
      <c r="RM118" s="42"/>
      <c r="RN118" s="42"/>
      <c r="RO118" s="42"/>
      <c r="RP118" s="42"/>
      <c r="RQ118" s="42"/>
      <c r="RR118" s="42"/>
      <c r="RS118" s="42"/>
      <c r="RT118" s="42"/>
      <c r="RU118" s="42"/>
      <c r="RV118" s="42"/>
      <c r="RW118" s="42"/>
      <c r="RX118" s="42"/>
      <c r="RY118" s="42"/>
      <c r="RZ118" s="42"/>
      <c r="SA118" s="42"/>
      <c r="SB118" s="42"/>
      <c r="SC118" s="42"/>
      <c r="SD118" s="42"/>
      <c r="SE118" s="42"/>
      <c r="SF118" s="42"/>
      <c r="SG118" s="42"/>
      <c r="SH118" s="42"/>
      <c r="SI118" s="42"/>
      <c r="SJ118" s="42"/>
      <c r="SK118" s="42"/>
      <c r="SL118" s="42"/>
      <c r="SM118" s="42"/>
      <c r="SN118" s="42"/>
      <c r="SO118" s="42"/>
      <c r="SP118" s="42"/>
      <c r="SQ118" s="42"/>
      <c r="SR118" s="42"/>
      <c r="SS118" s="42"/>
      <c r="ST118" s="42"/>
      <c r="SU118" s="42"/>
      <c r="SV118" s="42"/>
      <c r="SW118" s="42"/>
      <c r="SX118" s="42"/>
      <c r="SY118" s="42"/>
      <c r="SZ118" s="42"/>
      <c r="TA118" s="42"/>
      <c r="TB118" s="42"/>
      <c r="TC118" s="42"/>
      <c r="TD118" s="42"/>
      <c r="TE118" s="42"/>
      <c r="TF118" s="42"/>
      <c r="TG118" s="42"/>
      <c r="TH118" s="42"/>
      <c r="TI118" s="42"/>
      <c r="TJ118" s="42"/>
      <c r="TK118" s="42"/>
      <c r="TL118" s="42"/>
      <c r="TM118" s="42"/>
      <c r="TN118" s="42"/>
      <c r="TO118" s="42"/>
      <c r="TP118" s="42"/>
      <c r="TQ118" s="42"/>
      <c r="TR118" s="42"/>
      <c r="TS118" s="42"/>
      <c r="TT118" s="42"/>
      <c r="TU118" s="42"/>
      <c r="TV118" s="42"/>
      <c r="TW118" s="42"/>
      <c r="TX118" s="42"/>
      <c r="TY118" s="42"/>
      <c r="TZ118" s="42"/>
      <c r="UA118" s="42"/>
      <c r="UB118" s="42"/>
      <c r="UC118" s="42"/>
      <c r="UD118" s="42"/>
      <c r="UE118" s="42"/>
      <c r="UF118" s="42"/>
      <c r="UG118" s="42"/>
      <c r="UH118" s="42"/>
      <c r="UI118" s="42"/>
      <c r="UJ118" s="42"/>
      <c r="UK118" s="42"/>
      <c r="UL118" s="42"/>
      <c r="UM118" s="42"/>
      <c r="UN118" s="42"/>
      <c r="UO118" s="42"/>
      <c r="UP118" s="42"/>
      <c r="UQ118" s="42"/>
      <c r="UR118" s="42"/>
      <c r="US118" s="42"/>
      <c r="UT118" s="42"/>
      <c r="UU118" s="42"/>
      <c r="UV118" s="42"/>
      <c r="UW118" s="42"/>
      <c r="UX118" s="42"/>
      <c r="UY118" s="42"/>
      <c r="UZ118" s="42"/>
      <c r="VA118" s="42"/>
      <c r="VB118" s="42"/>
      <c r="VC118" s="42"/>
      <c r="VD118" s="42"/>
      <c r="VE118" s="42"/>
      <c r="VF118" s="42"/>
      <c r="VG118" s="42"/>
      <c r="VH118" s="42"/>
      <c r="VI118" s="42"/>
      <c r="VJ118" s="42"/>
      <c r="VK118" s="42"/>
      <c r="VL118" s="42"/>
      <c r="VM118" s="42"/>
      <c r="VN118" s="42"/>
      <c r="VO118" s="42"/>
      <c r="VP118" s="42"/>
      <c r="VQ118" s="42"/>
      <c r="VR118" s="42"/>
      <c r="VS118" s="42"/>
      <c r="VT118" s="42"/>
      <c r="VU118" s="42"/>
      <c r="VV118" s="42"/>
      <c r="VW118" s="42"/>
      <c r="VX118" s="42"/>
      <c r="VY118" s="42"/>
      <c r="VZ118" s="42"/>
      <c r="WA118" s="42"/>
      <c r="WB118" s="42"/>
      <c r="WC118" s="42"/>
      <c r="WD118" s="42"/>
      <c r="WE118" s="42"/>
      <c r="WF118" s="42"/>
      <c r="WG118" s="42"/>
      <c r="WH118" s="42"/>
      <c r="WI118" s="42"/>
      <c r="WJ118" s="42"/>
      <c r="WK118" s="42"/>
      <c r="WL118" s="42"/>
      <c r="WM118" s="42"/>
      <c r="WN118" s="42"/>
      <c r="WO118" s="42"/>
      <c r="WP118" s="42"/>
      <c r="WQ118" s="42"/>
      <c r="WR118" s="42"/>
      <c r="WS118" s="42"/>
      <c r="WT118" s="42"/>
      <c r="WU118" s="42"/>
      <c r="WV118" s="42"/>
      <c r="WW118" s="42"/>
      <c r="WX118" s="42"/>
      <c r="WY118" s="42"/>
      <c r="WZ118" s="42"/>
      <c r="XA118" s="42"/>
      <c r="XB118" s="42"/>
      <c r="XC118" s="42"/>
      <c r="XD118" s="42"/>
      <c r="XE118" s="42"/>
      <c r="XF118" s="42"/>
      <c r="XG118" s="42"/>
      <c r="XH118" s="42"/>
      <c r="XI118" s="42"/>
      <c r="XJ118" s="42"/>
      <c r="XK118" s="42"/>
      <c r="XL118" s="42"/>
      <c r="XM118" s="42"/>
      <c r="XN118" s="42"/>
      <c r="XO118" s="42"/>
      <c r="XP118" s="42"/>
      <c r="XQ118" s="42"/>
      <c r="XR118" s="42"/>
      <c r="XS118" s="42"/>
      <c r="XT118" s="42"/>
      <c r="XU118" s="42"/>
      <c r="XV118" s="42"/>
      <c r="XW118" s="42"/>
      <c r="XX118" s="42"/>
      <c r="XY118" s="42"/>
      <c r="XZ118" s="42"/>
      <c r="YA118" s="42"/>
      <c r="YB118" s="42"/>
      <c r="YC118" s="42"/>
      <c r="YD118" s="42"/>
      <c r="YE118" s="42"/>
      <c r="YF118" s="42"/>
      <c r="YG118" s="42"/>
      <c r="YH118" s="42"/>
      <c r="YI118" s="42"/>
      <c r="YJ118" s="42"/>
      <c r="YK118" s="42"/>
      <c r="YL118" s="42"/>
      <c r="YM118" s="42"/>
      <c r="YN118" s="42"/>
      <c r="YO118" s="42"/>
      <c r="YP118" s="42"/>
      <c r="YQ118" s="42"/>
      <c r="YR118" s="42"/>
      <c r="YS118" s="42"/>
      <c r="YT118" s="42"/>
      <c r="YU118" s="42"/>
      <c r="YV118" s="42"/>
      <c r="YW118" s="42"/>
      <c r="YX118" s="42"/>
      <c r="YY118" s="42"/>
      <c r="YZ118" s="42"/>
      <c r="ZA118" s="42"/>
      <c r="ZB118" s="42"/>
      <c r="ZC118" s="42"/>
      <c r="ZD118" s="42"/>
      <c r="ZE118" s="42"/>
      <c r="ZF118" s="42"/>
      <c r="ZG118" s="42"/>
      <c r="ZH118" s="42"/>
      <c r="ZI118" s="42"/>
      <c r="ZJ118" s="42"/>
      <c r="ZK118" s="42"/>
      <c r="ZL118" s="42"/>
      <c r="ZM118" s="42"/>
      <c r="ZN118" s="42"/>
      <c r="ZO118" s="42"/>
      <c r="ZP118" s="42"/>
      <c r="ZQ118" s="42"/>
      <c r="ZR118" s="42"/>
      <c r="ZS118" s="42"/>
      <c r="ZT118" s="42"/>
      <c r="ZU118" s="42"/>
      <c r="ZV118" s="42"/>
      <c r="ZW118" s="42"/>
      <c r="ZX118" s="42"/>
      <c r="ZY118" s="42"/>
      <c r="ZZ118" s="42"/>
      <c r="AAA118" s="42"/>
      <c r="AAB118" s="42"/>
      <c r="AAC118" s="42"/>
    </row>
    <row r="119" spans="1:705" s="42" customFormat="1" ht="44.1" hidden="1" customHeight="1" x14ac:dyDescent="0.3">
      <c r="A119" s="26">
        <v>115</v>
      </c>
      <c r="B119" s="89">
        <v>240132</v>
      </c>
      <c r="C119" s="90">
        <v>115</v>
      </c>
      <c r="D119" s="91">
        <v>45929</v>
      </c>
      <c r="E119" s="91">
        <f t="shared" si="18"/>
        <v>45928</v>
      </c>
      <c r="F119" s="91">
        <f t="shared" si="15"/>
        <v>45939</v>
      </c>
      <c r="G119" s="91">
        <v>45939</v>
      </c>
      <c r="H119" s="91">
        <f ca="1">TODAY()</f>
        <v>46277</v>
      </c>
      <c r="I119" s="91" t="s">
        <v>75</v>
      </c>
      <c r="J119" s="92" t="s">
        <v>323</v>
      </c>
      <c r="K119" s="93">
        <f t="shared" ca="1" si="19"/>
        <v>338</v>
      </c>
      <c r="L119" s="93">
        <v>1148927</v>
      </c>
      <c r="M119" s="88" t="s">
        <v>212</v>
      </c>
      <c r="N119" s="92" t="s">
        <v>212</v>
      </c>
      <c r="O119" s="89" t="s">
        <v>212</v>
      </c>
      <c r="P119" s="126" t="s">
        <v>212</v>
      </c>
      <c r="Q119" s="126" t="s">
        <v>212</v>
      </c>
      <c r="R119" s="127" t="s">
        <v>211</v>
      </c>
      <c r="S119" s="94" t="s">
        <v>324</v>
      </c>
      <c r="T119" s="95">
        <v>1</v>
      </c>
      <c r="U119" s="89" t="s">
        <v>325</v>
      </c>
      <c r="V119" s="96">
        <v>1</v>
      </c>
      <c r="W119" s="96"/>
      <c r="X119" s="97">
        <v>0</v>
      </c>
      <c r="Y119" s="96">
        <v>0</v>
      </c>
      <c r="Z119" s="96">
        <v>0</v>
      </c>
      <c r="AA119" s="96">
        <v>0</v>
      </c>
      <c r="AB119" s="96">
        <v>1</v>
      </c>
      <c r="AC119" s="96"/>
      <c r="AD119" s="96">
        <v>0</v>
      </c>
      <c r="AE119" s="96">
        <v>0</v>
      </c>
      <c r="AF119" s="96">
        <v>0</v>
      </c>
      <c r="AG119" s="96">
        <v>0</v>
      </c>
      <c r="AH119" s="96">
        <v>1</v>
      </c>
      <c r="AI119" s="96"/>
      <c r="AJ119" s="96">
        <v>0</v>
      </c>
      <c r="AK119" s="96">
        <v>0</v>
      </c>
      <c r="AL119" s="96">
        <v>0</v>
      </c>
      <c r="AM119" s="96">
        <v>0</v>
      </c>
      <c r="AN119" s="96">
        <v>0</v>
      </c>
      <c r="AO119" s="96">
        <v>0</v>
      </c>
      <c r="AP119" s="96">
        <v>1</v>
      </c>
      <c r="AQ119" s="96"/>
      <c r="AR119" s="96">
        <v>0</v>
      </c>
      <c r="AS119" s="96">
        <v>0</v>
      </c>
      <c r="AT119" s="96">
        <v>1</v>
      </c>
      <c r="AU119" s="96"/>
      <c r="AV119" s="96">
        <v>0</v>
      </c>
      <c r="AW119" s="96">
        <v>0</v>
      </c>
      <c r="AX119" s="146">
        <f t="shared" si="21"/>
        <v>1267</v>
      </c>
      <c r="AY119" s="146">
        <f t="shared" si="20"/>
        <v>0</v>
      </c>
      <c r="AZ119" s="89" t="s">
        <v>212</v>
      </c>
      <c r="BA119" s="89" t="s">
        <v>212</v>
      </c>
      <c r="BB119" s="89" t="s">
        <v>212</v>
      </c>
      <c r="BC119" s="99">
        <v>115</v>
      </c>
      <c r="BD119" s="100"/>
      <c r="BE119" s="95"/>
      <c r="BF119" s="101"/>
      <c r="BG119" s="128"/>
      <c r="BH119" s="102" t="s">
        <v>212</v>
      </c>
      <c r="BI119" s="102" t="s">
        <v>212</v>
      </c>
      <c r="CC119" s="41"/>
      <c r="CD119" s="41"/>
      <c r="CE119" s="41"/>
      <c r="CF119" s="41"/>
      <c r="CG119" s="41"/>
      <c r="CH119" s="41"/>
      <c r="CI119" s="41"/>
      <c r="CJ119" s="41"/>
      <c r="CK119" s="41"/>
      <c r="CL119" s="41"/>
      <c r="CM119" s="41"/>
      <c r="CN119" s="41"/>
      <c r="CO119" s="41"/>
      <c r="CP119" s="41"/>
      <c r="CQ119" s="41"/>
      <c r="CR119" s="41"/>
      <c r="CS119" s="41"/>
      <c r="CT119" s="41"/>
      <c r="CU119" s="41"/>
      <c r="CV119" s="41"/>
      <c r="CW119" s="41"/>
      <c r="CX119" s="41"/>
      <c r="CY119" s="41"/>
      <c r="CZ119" s="41"/>
      <c r="DA119" s="41"/>
      <c r="DB119" s="41"/>
      <c r="DC119" s="41"/>
      <c r="DD119" s="41"/>
      <c r="DE119" s="41"/>
      <c r="DF119" s="41"/>
      <c r="DG119" s="41"/>
      <c r="DH119" s="41"/>
      <c r="DI119" s="41"/>
      <c r="DJ119" s="41"/>
      <c r="DK119" s="41"/>
      <c r="DL119" s="41"/>
      <c r="DM119" s="41"/>
      <c r="DN119" s="41"/>
      <c r="DO119" s="41"/>
      <c r="DP119" s="41"/>
      <c r="DQ119" s="41"/>
      <c r="DR119" s="41"/>
      <c r="DS119" s="41"/>
      <c r="DT119" s="41"/>
      <c r="DU119" s="41"/>
      <c r="DV119" s="41"/>
      <c r="DW119" s="41"/>
      <c r="DX119" s="41"/>
      <c r="DY119" s="41"/>
      <c r="DZ119" s="41"/>
      <c r="EA119" s="41"/>
      <c r="EB119" s="41"/>
      <c r="EC119" s="41"/>
      <c r="ED119" s="41"/>
      <c r="EE119" s="41"/>
      <c r="EF119" s="41"/>
      <c r="EG119" s="41"/>
      <c r="EH119" s="41"/>
      <c r="EI119" s="41"/>
      <c r="EJ119" s="41"/>
      <c r="EK119" s="41"/>
      <c r="EL119" s="41"/>
      <c r="EM119" s="41"/>
      <c r="EN119" s="41"/>
      <c r="EO119" s="41"/>
      <c r="EP119" s="41"/>
      <c r="EQ119" s="41"/>
      <c r="ER119" s="41"/>
      <c r="ES119" s="41"/>
      <c r="ET119" s="41"/>
      <c r="EU119" s="41"/>
      <c r="EV119" s="41"/>
      <c r="EW119" s="41"/>
      <c r="EX119" s="41"/>
      <c r="EY119" s="41"/>
      <c r="EZ119" s="41"/>
      <c r="FA119" s="41"/>
      <c r="FB119" s="41"/>
      <c r="FC119" s="41"/>
      <c r="FD119" s="41"/>
      <c r="FE119" s="41"/>
      <c r="FF119" s="41"/>
      <c r="FG119" s="41"/>
      <c r="FH119" s="41"/>
      <c r="FI119" s="41"/>
      <c r="FJ119" s="41"/>
      <c r="FK119" s="41"/>
      <c r="FL119" s="41"/>
      <c r="FM119" s="41"/>
      <c r="FN119" s="41"/>
      <c r="FO119" s="41"/>
      <c r="FP119" s="41"/>
      <c r="FQ119" s="41"/>
      <c r="FR119" s="41"/>
      <c r="FS119" s="41"/>
      <c r="FT119" s="41"/>
      <c r="FU119" s="41"/>
      <c r="FV119" s="41"/>
      <c r="FW119" s="41"/>
      <c r="FX119" s="41"/>
      <c r="FY119" s="41"/>
      <c r="FZ119" s="41"/>
      <c r="GA119" s="41"/>
      <c r="GB119" s="41"/>
      <c r="GC119" s="41"/>
      <c r="GD119" s="41"/>
      <c r="GE119" s="41"/>
      <c r="GF119" s="41"/>
      <c r="GG119" s="41"/>
      <c r="GH119" s="41"/>
      <c r="GI119" s="41"/>
      <c r="GJ119" s="41"/>
      <c r="GK119" s="41"/>
      <c r="GL119" s="41"/>
      <c r="GM119" s="41"/>
      <c r="GN119" s="41"/>
      <c r="GO119" s="41"/>
      <c r="GP119" s="41"/>
      <c r="GQ119" s="41"/>
      <c r="GR119" s="41"/>
      <c r="GS119" s="41"/>
      <c r="GT119" s="41"/>
      <c r="GU119" s="41"/>
      <c r="GV119" s="41"/>
      <c r="GW119" s="41"/>
      <c r="GX119" s="41"/>
      <c r="GY119" s="41"/>
      <c r="GZ119" s="41"/>
      <c r="HA119" s="41"/>
      <c r="HB119" s="41"/>
      <c r="HC119" s="41"/>
      <c r="HD119" s="41"/>
      <c r="HE119" s="41"/>
      <c r="HF119" s="41"/>
      <c r="HG119" s="41"/>
      <c r="HH119" s="41"/>
      <c r="HI119" s="41"/>
      <c r="HJ119" s="41"/>
      <c r="HK119" s="41"/>
      <c r="HL119" s="41"/>
      <c r="HM119" s="41"/>
      <c r="HN119" s="41"/>
      <c r="HO119" s="41"/>
      <c r="HP119" s="41"/>
      <c r="HQ119" s="41"/>
      <c r="HR119" s="41"/>
      <c r="HS119" s="41"/>
      <c r="HT119" s="41"/>
      <c r="HU119" s="41"/>
      <c r="HV119" s="41"/>
      <c r="HW119" s="41"/>
      <c r="HX119" s="41"/>
      <c r="HY119" s="41"/>
      <c r="HZ119" s="41"/>
      <c r="IA119" s="41"/>
      <c r="IB119" s="41"/>
      <c r="IC119" s="41"/>
      <c r="ID119" s="41"/>
      <c r="IE119" s="41"/>
      <c r="IF119" s="41"/>
      <c r="IG119" s="41"/>
      <c r="IH119" s="41"/>
      <c r="II119" s="41"/>
      <c r="IJ119" s="41"/>
      <c r="IK119" s="41"/>
      <c r="IL119" s="41"/>
      <c r="IM119" s="41"/>
      <c r="IN119" s="41"/>
      <c r="IO119" s="41"/>
      <c r="IP119" s="41"/>
      <c r="IQ119" s="41"/>
      <c r="IR119" s="41"/>
      <c r="IS119" s="41"/>
      <c r="IT119" s="41"/>
      <c r="IU119" s="41"/>
      <c r="IV119" s="41"/>
      <c r="IW119" s="41"/>
      <c r="IX119" s="41"/>
      <c r="IY119" s="41"/>
      <c r="IZ119" s="41"/>
      <c r="JA119" s="41"/>
      <c r="JB119" s="41"/>
      <c r="JC119" s="41"/>
      <c r="JD119" s="41"/>
      <c r="JE119" s="41"/>
      <c r="JF119" s="41"/>
      <c r="JG119" s="41"/>
      <c r="JH119" s="41"/>
      <c r="JI119" s="41"/>
      <c r="JJ119" s="41"/>
      <c r="JK119" s="41"/>
      <c r="JL119" s="41"/>
      <c r="JM119" s="41"/>
      <c r="JN119" s="41"/>
      <c r="JO119" s="41"/>
      <c r="JP119" s="41"/>
      <c r="JQ119" s="41"/>
      <c r="JR119" s="41"/>
      <c r="JS119" s="41"/>
      <c r="JT119" s="41"/>
      <c r="JU119" s="41"/>
      <c r="JV119" s="41"/>
      <c r="JW119" s="41"/>
      <c r="JX119" s="41"/>
      <c r="JY119" s="41"/>
      <c r="JZ119" s="41"/>
      <c r="KA119" s="41"/>
      <c r="KB119" s="41"/>
      <c r="KC119" s="41"/>
      <c r="KD119" s="41"/>
      <c r="KE119" s="41"/>
      <c r="KF119" s="41"/>
      <c r="KG119" s="41"/>
      <c r="KH119" s="41"/>
      <c r="KI119" s="41"/>
      <c r="KJ119" s="41"/>
      <c r="KK119" s="41"/>
      <c r="KL119" s="41"/>
      <c r="KM119" s="41"/>
      <c r="KN119" s="41"/>
      <c r="KO119" s="41"/>
      <c r="KP119" s="41"/>
      <c r="KQ119" s="41"/>
      <c r="KR119" s="41"/>
      <c r="KS119" s="41"/>
      <c r="KT119" s="41"/>
      <c r="KU119" s="41"/>
      <c r="KV119" s="41"/>
      <c r="KW119" s="41"/>
      <c r="KX119" s="41"/>
      <c r="KY119" s="41"/>
      <c r="KZ119" s="41"/>
      <c r="LA119" s="41"/>
      <c r="LB119" s="41"/>
      <c r="LC119" s="41"/>
      <c r="LD119" s="41"/>
      <c r="LE119" s="41"/>
      <c r="LF119" s="41"/>
      <c r="LG119" s="41"/>
      <c r="LH119" s="41"/>
      <c r="LI119" s="41"/>
      <c r="LJ119" s="41"/>
      <c r="LK119" s="41"/>
      <c r="LL119" s="41"/>
      <c r="LM119" s="41"/>
      <c r="LN119" s="41"/>
      <c r="LO119" s="41"/>
      <c r="LP119" s="41"/>
      <c r="LQ119" s="41"/>
      <c r="LR119" s="41"/>
      <c r="LS119" s="41"/>
      <c r="LT119" s="41"/>
      <c r="LU119" s="41"/>
      <c r="LV119" s="41"/>
      <c r="LW119" s="41"/>
      <c r="LX119" s="41"/>
      <c r="LY119" s="41"/>
      <c r="LZ119" s="41"/>
      <c r="MA119" s="41"/>
      <c r="MB119" s="41"/>
      <c r="MC119" s="41"/>
      <c r="MD119" s="41"/>
      <c r="ME119" s="41"/>
      <c r="MF119" s="41"/>
      <c r="MG119" s="41"/>
      <c r="MH119" s="41"/>
      <c r="MI119" s="41"/>
      <c r="MJ119" s="41"/>
      <c r="MK119" s="41"/>
      <c r="ML119" s="41"/>
      <c r="MM119" s="41"/>
      <c r="MN119" s="41"/>
      <c r="MO119" s="41"/>
      <c r="MP119" s="41"/>
      <c r="MQ119" s="41"/>
      <c r="MR119" s="41"/>
      <c r="MS119" s="41"/>
      <c r="MT119" s="41"/>
      <c r="MU119" s="41"/>
      <c r="MV119" s="41"/>
      <c r="MW119" s="41"/>
      <c r="MX119" s="41"/>
      <c r="MY119" s="41"/>
      <c r="MZ119" s="41"/>
      <c r="NA119" s="41"/>
      <c r="NB119" s="41"/>
      <c r="NC119" s="41"/>
      <c r="ND119" s="41"/>
      <c r="NE119" s="41"/>
      <c r="NF119" s="41"/>
      <c r="NG119" s="41"/>
      <c r="NH119" s="41"/>
      <c r="NI119" s="41"/>
      <c r="NJ119" s="41"/>
      <c r="NK119" s="41"/>
      <c r="NL119" s="41"/>
      <c r="NM119" s="41"/>
      <c r="NN119" s="41"/>
      <c r="NO119" s="41"/>
      <c r="NP119" s="41"/>
      <c r="NQ119" s="41"/>
      <c r="NR119" s="41"/>
      <c r="NS119" s="41"/>
      <c r="NT119" s="41"/>
      <c r="NU119" s="41"/>
      <c r="NV119" s="41"/>
      <c r="NW119" s="41"/>
      <c r="NX119" s="41"/>
      <c r="NY119" s="41"/>
      <c r="NZ119" s="41"/>
      <c r="OA119" s="41"/>
      <c r="OB119" s="41"/>
      <c r="OC119" s="41"/>
      <c r="OD119" s="41"/>
      <c r="OE119" s="41"/>
      <c r="OF119" s="41"/>
      <c r="OG119" s="41"/>
      <c r="OH119" s="41"/>
      <c r="OI119" s="41"/>
      <c r="OJ119" s="41"/>
      <c r="OK119" s="41"/>
      <c r="OL119" s="41"/>
      <c r="OM119" s="41"/>
      <c r="ON119" s="41"/>
      <c r="OO119" s="41"/>
      <c r="OP119" s="41"/>
      <c r="OQ119" s="41"/>
      <c r="OR119" s="41"/>
      <c r="OS119" s="41"/>
      <c r="OT119" s="41"/>
      <c r="OU119" s="41"/>
      <c r="OV119" s="41"/>
      <c r="OW119" s="41"/>
      <c r="OX119" s="41"/>
      <c r="OY119" s="41"/>
      <c r="OZ119" s="41"/>
      <c r="PA119" s="41"/>
      <c r="PB119" s="41"/>
      <c r="PC119" s="41"/>
      <c r="PD119" s="41"/>
      <c r="PE119" s="41"/>
      <c r="PF119" s="41"/>
      <c r="PG119" s="41"/>
      <c r="PH119" s="41"/>
      <c r="PI119" s="41"/>
      <c r="PJ119" s="41"/>
      <c r="PK119" s="41"/>
      <c r="PL119" s="41"/>
      <c r="PM119" s="41"/>
      <c r="PN119" s="41"/>
      <c r="PO119" s="41"/>
      <c r="PP119" s="41"/>
      <c r="PQ119" s="41"/>
      <c r="PR119" s="41"/>
      <c r="PS119" s="41"/>
      <c r="PT119" s="41"/>
      <c r="PU119" s="41"/>
      <c r="PV119" s="41"/>
      <c r="PW119" s="41"/>
      <c r="PX119" s="41"/>
      <c r="PY119" s="41"/>
      <c r="PZ119" s="41"/>
      <c r="QA119" s="41"/>
      <c r="QB119" s="41"/>
      <c r="QC119" s="41"/>
      <c r="QD119" s="41"/>
      <c r="QE119" s="41"/>
      <c r="QF119" s="41"/>
      <c r="QG119" s="41"/>
      <c r="QH119" s="41"/>
      <c r="QI119" s="41"/>
      <c r="QJ119" s="41"/>
      <c r="QK119" s="41"/>
      <c r="QL119" s="41"/>
      <c r="QM119" s="41"/>
      <c r="QN119" s="41"/>
      <c r="QO119" s="41"/>
      <c r="QP119" s="41"/>
      <c r="QQ119" s="41"/>
      <c r="QR119" s="41"/>
      <c r="QS119" s="41"/>
      <c r="QT119" s="41"/>
      <c r="QU119" s="41"/>
      <c r="QV119" s="41"/>
      <c r="QW119" s="41"/>
      <c r="QX119" s="41"/>
      <c r="QY119" s="41"/>
      <c r="QZ119" s="41"/>
      <c r="RA119" s="41"/>
      <c r="RB119" s="41"/>
      <c r="RC119" s="41"/>
      <c r="RD119" s="41"/>
      <c r="RE119" s="41"/>
      <c r="RF119" s="41"/>
      <c r="RG119" s="41"/>
      <c r="RH119" s="41"/>
      <c r="RI119" s="41"/>
      <c r="RJ119" s="41"/>
      <c r="RK119" s="41"/>
      <c r="RL119" s="41"/>
      <c r="RM119" s="41"/>
      <c r="RN119" s="41"/>
      <c r="RO119" s="41"/>
      <c r="RP119" s="41"/>
      <c r="RQ119" s="41"/>
      <c r="RR119" s="41"/>
      <c r="RS119" s="41"/>
      <c r="RT119" s="41"/>
      <c r="RU119" s="41"/>
      <c r="RV119" s="41"/>
      <c r="RW119" s="41"/>
      <c r="RX119" s="41"/>
      <c r="RY119" s="41"/>
      <c r="RZ119" s="41"/>
      <c r="SA119" s="41"/>
      <c r="SB119" s="41"/>
      <c r="SC119" s="41"/>
      <c r="SD119" s="41"/>
      <c r="SE119" s="41"/>
      <c r="SF119" s="41"/>
      <c r="SG119" s="41"/>
      <c r="SH119" s="41"/>
      <c r="SI119" s="41"/>
      <c r="SJ119" s="41"/>
      <c r="SK119" s="41"/>
      <c r="SL119" s="41"/>
      <c r="SM119" s="41"/>
      <c r="SN119" s="41"/>
      <c r="SO119" s="41"/>
      <c r="SP119" s="41"/>
      <c r="SQ119" s="41"/>
      <c r="SR119" s="41"/>
      <c r="SS119" s="41"/>
      <c r="ST119" s="41"/>
      <c r="SU119" s="41"/>
      <c r="SV119" s="41"/>
      <c r="SW119" s="41"/>
      <c r="SX119" s="41"/>
      <c r="SY119" s="41"/>
      <c r="SZ119" s="41"/>
      <c r="TA119" s="41"/>
      <c r="TB119" s="41"/>
      <c r="TC119" s="41"/>
      <c r="TD119" s="41"/>
      <c r="TE119" s="41"/>
      <c r="TF119" s="41"/>
      <c r="TG119" s="41"/>
      <c r="TH119" s="41"/>
      <c r="TI119" s="41"/>
      <c r="TJ119" s="41"/>
      <c r="TK119" s="41"/>
      <c r="TL119" s="41"/>
      <c r="TM119" s="41"/>
      <c r="TN119" s="41"/>
      <c r="TO119" s="41"/>
      <c r="TP119" s="41"/>
      <c r="TQ119" s="41"/>
      <c r="TR119" s="41"/>
      <c r="TS119" s="41"/>
      <c r="TT119" s="41"/>
      <c r="TU119" s="41"/>
      <c r="TV119" s="41"/>
      <c r="TW119" s="41"/>
      <c r="TX119" s="41"/>
      <c r="TY119" s="41"/>
      <c r="TZ119" s="41"/>
      <c r="UA119" s="41"/>
      <c r="UB119" s="41"/>
      <c r="UC119" s="41"/>
      <c r="UD119" s="41"/>
      <c r="UE119" s="41"/>
      <c r="UF119" s="41"/>
      <c r="UG119" s="41"/>
      <c r="UH119" s="41"/>
      <c r="UI119" s="41"/>
      <c r="UJ119" s="41"/>
      <c r="UK119" s="41"/>
      <c r="UL119" s="41"/>
      <c r="UM119" s="41"/>
      <c r="UN119" s="41"/>
      <c r="UO119" s="41"/>
      <c r="UP119" s="41"/>
      <c r="UQ119" s="41"/>
      <c r="UR119" s="41"/>
      <c r="US119" s="41"/>
      <c r="UT119" s="41"/>
      <c r="UU119" s="41"/>
      <c r="UV119" s="41"/>
      <c r="UW119" s="41"/>
      <c r="UX119" s="41"/>
      <c r="UY119" s="41"/>
      <c r="UZ119" s="41"/>
      <c r="VA119" s="41"/>
      <c r="VB119" s="41"/>
      <c r="VC119" s="41"/>
      <c r="VD119" s="41"/>
      <c r="VE119" s="41"/>
      <c r="VF119" s="41"/>
      <c r="VG119" s="41"/>
      <c r="VH119" s="41"/>
      <c r="VI119" s="41"/>
      <c r="VJ119" s="41"/>
      <c r="VK119" s="41"/>
      <c r="VL119" s="41"/>
      <c r="VM119" s="41"/>
      <c r="VN119" s="41"/>
      <c r="VO119" s="41"/>
      <c r="VP119" s="41"/>
      <c r="VQ119" s="41"/>
      <c r="VR119" s="41"/>
      <c r="VS119" s="41"/>
      <c r="VT119" s="41"/>
      <c r="VU119" s="41"/>
      <c r="VV119" s="41"/>
      <c r="VW119" s="41"/>
      <c r="VX119" s="41"/>
      <c r="VY119" s="41"/>
      <c r="VZ119" s="41"/>
      <c r="WA119" s="41"/>
      <c r="WB119" s="41"/>
      <c r="WC119" s="41"/>
      <c r="WD119" s="41"/>
      <c r="WE119" s="41"/>
      <c r="WF119" s="41"/>
      <c r="WG119" s="41"/>
      <c r="WH119" s="41"/>
      <c r="WI119" s="41"/>
      <c r="WJ119" s="41"/>
      <c r="WK119" s="41"/>
      <c r="WL119" s="41"/>
      <c r="WM119" s="41"/>
      <c r="WN119" s="41"/>
      <c r="WO119" s="41"/>
      <c r="WP119" s="41"/>
      <c r="WQ119" s="41"/>
      <c r="WR119" s="41"/>
      <c r="WS119" s="41"/>
      <c r="WT119" s="41"/>
      <c r="WU119" s="41"/>
      <c r="WV119" s="41"/>
      <c r="WW119" s="41"/>
      <c r="WX119" s="41"/>
      <c r="WY119" s="41"/>
      <c r="WZ119" s="41"/>
      <c r="XA119" s="41"/>
      <c r="XB119" s="41"/>
      <c r="XC119" s="41"/>
      <c r="XD119" s="41"/>
      <c r="XE119" s="41"/>
      <c r="XF119" s="41"/>
      <c r="XG119" s="41"/>
      <c r="XH119" s="41"/>
      <c r="XI119" s="41"/>
      <c r="XJ119" s="41"/>
      <c r="XK119" s="41"/>
      <c r="XL119" s="41"/>
      <c r="XM119" s="41"/>
      <c r="XN119" s="41"/>
      <c r="XO119" s="41"/>
      <c r="XP119" s="41"/>
      <c r="XQ119" s="41"/>
      <c r="XR119" s="41"/>
      <c r="XS119" s="41"/>
      <c r="XT119" s="41"/>
      <c r="XU119" s="41"/>
      <c r="XV119" s="41"/>
      <c r="XW119" s="41"/>
      <c r="XX119" s="41"/>
      <c r="XY119" s="41"/>
      <c r="XZ119" s="41"/>
      <c r="YA119" s="41"/>
      <c r="YB119" s="41"/>
      <c r="YC119" s="41"/>
      <c r="YD119" s="41"/>
      <c r="YE119" s="41"/>
      <c r="YF119" s="41"/>
      <c r="YG119" s="41"/>
      <c r="YH119" s="41"/>
      <c r="YI119" s="41"/>
      <c r="YJ119" s="41"/>
      <c r="YK119" s="41"/>
      <c r="YL119" s="41"/>
      <c r="YM119" s="41"/>
      <c r="YN119" s="41"/>
      <c r="YO119" s="41"/>
      <c r="YP119" s="41"/>
      <c r="YQ119" s="41"/>
      <c r="YR119" s="41"/>
      <c r="YS119" s="41"/>
      <c r="YT119" s="41"/>
      <c r="YU119" s="41"/>
      <c r="YV119" s="41"/>
      <c r="YW119" s="41"/>
      <c r="YX119" s="41"/>
      <c r="YY119" s="41"/>
      <c r="YZ119" s="41"/>
      <c r="ZA119" s="41"/>
      <c r="ZB119" s="41"/>
      <c r="ZC119" s="41"/>
      <c r="ZD119" s="41"/>
      <c r="ZE119" s="41"/>
      <c r="ZF119" s="41"/>
      <c r="ZG119" s="41"/>
      <c r="ZH119" s="41"/>
      <c r="ZI119" s="41"/>
      <c r="ZJ119" s="41"/>
      <c r="ZK119" s="41"/>
      <c r="ZL119" s="41"/>
      <c r="ZM119" s="41"/>
      <c r="ZN119" s="41"/>
      <c r="ZO119" s="41"/>
      <c r="ZP119" s="41"/>
      <c r="ZQ119" s="41"/>
      <c r="ZR119" s="41"/>
      <c r="ZS119" s="41"/>
      <c r="ZT119" s="41"/>
      <c r="ZU119" s="41"/>
      <c r="ZV119" s="41"/>
      <c r="ZW119" s="41"/>
      <c r="ZX119" s="41"/>
      <c r="ZY119" s="41"/>
      <c r="ZZ119" s="41"/>
      <c r="AAA119" s="41"/>
      <c r="AAB119" s="41"/>
      <c r="AAC119" s="41"/>
    </row>
    <row r="120" spans="1:705" s="42" customFormat="1" ht="44.1" hidden="1" customHeight="1" x14ac:dyDescent="0.3">
      <c r="A120" s="26">
        <v>116</v>
      </c>
      <c r="B120" s="137">
        <v>240135</v>
      </c>
      <c r="C120" s="138">
        <v>116</v>
      </c>
      <c r="D120" s="139">
        <v>45929</v>
      </c>
      <c r="E120" s="139">
        <f t="shared" si="18"/>
        <v>45928</v>
      </c>
      <c r="F120" s="139">
        <f t="shared" si="15"/>
        <v>45939</v>
      </c>
      <c r="G120" s="139">
        <v>45939</v>
      </c>
      <c r="H120" s="139">
        <v>45938</v>
      </c>
      <c r="I120" s="139" t="s">
        <v>75</v>
      </c>
      <c r="J120" s="140" t="s">
        <v>326</v>
      </c>
      <c r="K120" s="141">
        <f t="shared" si="19"/>
        <v>-1</v>
      </c>
      <c r="L120" s="141">
        <v>1148929</v>
      </c>
      <c r="M120" s="140" t="s">
        <v>15</v>
      </c>
      <c r="N120" s="140" t="s">
        <v>251</v>
      </c>
      <c r="O120" s="140" t="s">
        <v>251</v>
      </c>
      <c r="P120" s="143" t="s">
        <v>213</v>
      </c>
      <c r="Q120" s="143" t="s">
        <v>213</v>
      </c>
      <c r="R120" s="157" t="s">
        <v>211</v>
      </c>
      <c r="S120" s="144" t="s">
        <v>327</v>
      </c>
      <c r="T120" s="145">
        <v>1</v>
      </c>
      <c r="U120" s="137" t="s">
        <v>325</v>
      </c>
      <c r="V120" s="146">
        <v>0</v>
      </c>
      <c r="W120" s="146"/>
      <c r="X120" s="147">
        <v>0</v>
      </c>
      <c r="Y120" s="146">
        <v>0</v>
      </c>
      <c r="Z120" s="146">
        <v>0</v>
      </c>
      <c r="AA120" s="146">
        <v>0</v>
      </c>
      <c r="AB120" s="146">
        <v>0</v>
      </c>
      <c r="AC120" s="146"/>
      <c r="AD120" s="146">
        <v>0</v>
      </c>
      <c r="AE120" s="146">
        <v>0</v>
      </c>
      <c r="AF120" s="146">
        <v>0</v>
      </c>
      <c r="AG120" s="146">
        <v>0</v>
      </c>
      <c r="AH120" s="146">
        <v>1</v>
      </c>
      <c r="AI120" s="146">
        <v>1</v>
      </c>
      <c r="AJ120" s="146">
        <v>0</v>
      </c>
      <c r="AK120" s="146">
        <v>0</v>
      </c>
      <c r="AL120" s="146">
        <v>0</v>
      </c>
      <c r="AM120" s="146">
        <v>0</v>
      </c>
      <c r="AN120" s="146">
        <v>0</v>
      </c>
      <c r="AO120" s="146">
        <v>0</v>
      </c>
      <c r="AP120" s="146">
        <v>0</v>
      </c>
      <c r="AQ120" s="146"/>
      <c r="AR120" s="146">
        <v>0</v>
      </c>
      <c r="AS120" s="146">
        <v>0</v>
      </c>
      <c r="AT120" s="146">
        <v>1</v>
      </c>
      <c r="AU120" s="146">
        <v>1</v>
      </c>
      <c r="AV120" s="146">
        <v>0</v>
      </c>
      <c r="AW120" s="146">
        <v>0</v>
      </c>
      <c r="AX120" s="146">
        <f t="shared" si="21"/>
        <v>520</v>
      </c>
      <c r="AY120" s="146">
        <f t="shared" si="20"/>
        <v>520</v>
      </c>
      <c r="AZ120" s="140" t="s">
        <v>562</v>
      </c>
      <c r="BA120" s="137" t="s">
        <v>562</v>
      </c>
      <c r="BB120" s="137">
        <v>5</v>
      </c>
      <c r="BC120" s="148">
        <v>116</v>
      </c>
      <c r="BD120" s="149"/>
      <c r="BE120" s="145"/>
      <c r="BF120" s="150"/>
      <c r="BG120" s="151">
        <v>45931</v>
      </c>
      <c r="BH120" s="153" t="s">
        <v>15</v>
      </c>
      <c r="BI120" s="153" t="s">
        <v>562</v>
      </c>
      <c r="CC120" s="41"/>
      <c r="CD120" s="41"/>
      <c r="CE120" s="41"/>
      <c r="CF120" s="41"/>
      <c r="CG120" s="41"/>
      <c r="CH120" s="41"/>
      <c r="CI120" s="41"/>
      <c r="CJ120" s="41"/>
      <c r="CK120" s="41"/>
      <c r="CL120" s="41"/>
      <c r="CM120" s="41"/>
      <c r="CN120" s="41"/>
      <c r="CO120" s="41"/>
      <c r="CP120" s="41"/>
      <c r="CQ120" s="41"/>
      <c r="CR120" s="41"/>
      <c r="CS120" s="41"/>
      <c r="CT120" s="41"/>
      <c r="CU120" s="41"/>
      <c r="CV120" s="41"/>
      <c r="CW120" s="41"/>
      <c r="CX120" s="41"/>
      <c r="CY120" s="41"/>
      <c r="CZ120" s="41"/>
      <c r="DA120" s="41"/>
      <c r="DB120" s="41"/>
      <c r="DC120" s="41"/>
      <c r="DD120" s="41"/>
      <c r="DE120" s="41"/>
      <c r="DF120" s="41"/>
      <c r="DG120" s="41"/>
      <c r="DH120" s="41"/>
      <c r="DI120" s="41"/>
      <c r="DJ120" s="41"/>
      <c r="DK120" s="41"/>
      <c r="DL120" s="41"/>
      <c r="DM120" s="41"/>
      <c r="DN120" s="41"/>
      <c r="DO120" s="41"/>
      <c r="DP120" s="41"/>
      <c r="DQ120" s="41"/>
      <c r="DR120" s="41"/>
      <c r="DS120" s="41"/>
      <c r="DT120" s="41"/>
      <c r="DU120" s="41"/>
      <c r="DV120" s="41"/>
      <c r="DW120" s="41"/>
      <c r="DX120" s="41"/>
      <c r="DY120" s="41"/>
      <c r="DZ120" s="41"/>
      <c r="EA120" s="41"/>
      <c r="EB120" s="41"/>
      <c r="EC120" s="41"/>
      <c r="ED120" s="41"/>
      <c r="EE120" s="41"/>
      <c r="EF120" s="41"/>
      <c r="EG120" s="41"/>
      <c r="EH120" s="41"/>
      <c r="EI120" s="41"/>
      <c r="EJ120" s="41"/>
      <c r="EK120" s="41"/>
      <c r="EL120" s="41"/>
      <c r="EM120" s="41"/>
      <c r="EN120" s="41"/>
      <c r="EO120" s="41"/>
      <c r="EP120" s="41"/>
      <c r="EQ120" s="41"/>
      <c r="ER120" s="41"/>
      <c r="ES120" s="41"/>
      <c r="ET120" s="41"/>
      <c r="EU120" s="41"/>
      <c r="EV120" s="41"/>
      <c r="EW120" s="41"/>
      <c r="EX120" s="41"/>
      <c r="EY120" s="41"/>
      <c r="EZ120" s="41"/>
      <c r="FA120" s="41"/>
      <c r="FB120" s="41"/>
      <c r="FC120" s="41"/>
      <c r="FD120" s="41"/>
      <c r="FE120" s="41"/>
      <c r="FF120" s="41"/>
      <c r="FG120" s="41"/>
      <c r="FH120" s="41"/>
      <c r="FI120" s="41"/>
      <c r="FJ120" s="41"/>
      <c r="FK120" s="41"/>
      <c r="FL120" s="41"/>
      <c r="FM120" s="41"/>
      <c r="FN120" s="41"/>
      <c r="FO120" s="41"/>
      <c r="FP120" s="41"/>
      <c r="FQ120" s="41"/>
      <c r="FR120" s="41"/>
      <c r="FS120" s="41"/>
      <c r="FT120" s="41"/>
      <c r="FU120" s="41"/>
      <c r="FV120" s="41"/>
      <c r="FW120" s="41"/>
      <c r="FX120" s="41"/>
      <c r="FY120" s="41"/>
      <c r="FZ120" s="41"/>
      <c r="GA120" s="41"/>
      <c r="GB120" s="41"/>
      <c r="GC120" s="41"/>
      <c r="GD120" s="41"/>
      <c r="GE120" s="41"/>
      <c r="GF120" s="41"/>
      <c r="GG120" s="41"/>
      <c r="GH120" s="41"/>
      <c r="GI120" s="41"/>
      <c r="GJ120" s="41"/>
      <c r="GK120" s="41"/>
      <c r="GL120" s="41"/>
      <c r="GM120" s="41"/>
      <c r="GN120" s="41"/>
      <c r="GO120" s="41"/>
      <c r="GP120" s="41"/>
      <c r="GQ120" s="41"/>
      <c r="GR120" s="41"/>
      <c r="GS120" s="41"/>
      <c r="GT120" s="41"/>
      <c r="GU120" s="41"/>
      <c r="GV120" s="41"/>
      <c r="GW120" s="41"/>
      <c r="GX120" s="41"/>
      <c r="GY120" s="41"/>
      <c r="GZ120" s="41"/>
      <c r="HA120" s="41"/>
      <c r="HB120" s="41"/>
      <c r="HC120" s="41"/>
      <c r="HD120" s="41"/>
      <c r="HE120" s="41"/>
      <c r="HF120" s="41"/>
      <c r="HG120" s="41"/>
      <c r="HH120" s="41"/>
      <c r="HI120" s="41"/>
      <c r="HJ120" s="41"/>
      <c r="HK120" s="41"/>
      <c r="HL120" s="41"/>
      <c r="HM120" s="41"/>
      <c r="HN120" s="41"/>
      <c r="HO120" s="41"/>
      <c r="HP120" s="41"/>
      <c r="HQ120" s="41"/>
      <c r="HR120" s="41"/>
      <c r="HS120" s="41"/>
      <c r="HT120" s="41"/>
      <c r="HU120" s="41"/>
      <c r="HV120" s="41"/>
      <c r="HW120" s="41"/>
      <c r="HX120" s="41"/>
      <c r="HY120" s="41"/>
      <c r="HZ120" s="41"/>
      <c r="IA120" s="41"/>
      <c r="IB120" s="41"/>
      <c r="IC120" s="41"/>
      <c r="ID120" s="41"/>
      <c r="IE120" s="41"/>
      <c r="IF120" s="41"/>
      <c r="IG120" s="41"/>
      <c r="IH120" s="41"/>
      <c r="II120" s="41"/>
      <c r="IJ120" s="41"/>
      <c r="IK120" s="41"/>
      <c r="IL120" s="41"/>
      <c r="IM120" s="41"/>
      <c r="IN120" s="41"/>
      <c r="IO120" s="41"/>
      <c r="IP120" s="41"/>
      <c r="IQ120" s="41"/>
      <c r="IR120" s="41"/>
      <c r="IS120" s="41"/>
      <c r="IT120" s="41"/>
      <c r="IU120" s="41"/>
      <c r="IV120" s="41"/>
      <c r="IW120" s="41"/>
      <c r="IX120" s="41"/>
      <c r="IY120" s="41"/>
      <c r="IZ120" s="41"/>
      <c r="JA120" s="41"/>
      <c r="JB120" s="41"/>
      <c r="JC120" s="41"/>
      <c r="JD120" s="41"/>
      <c r="JE120" s="41"/>
      <c r="JF120" s="41"/>
      <c r="JG120" s="41"/>
      <c r="JH120" s="41"/>
      <c r="JI120" s="41"/>
      <c r="JJ120" s="41"/>
      <c r="JK120" s="41"/>
      <c r="JL120" s="41"/>
      <c r="JM120" s="41"/>
      <c r="JN120" s="41"/>
      <c r="JO120" s="41"/>
      <c r="JP120" s="41"/>
      <c r="JQ120" s="41"/>
      <c r="JR120" s="41"/>
      <c r="JS120" s="41"/>
      <c r="JT120" s="41"/>
      <c r="JU120" s="41"/>
      <c r="JV120" s="41"/>
      <c r="JW120" s="41"/>
      <c r="JX120" s="41"/>
      <c r="JY120" s="41"/>
      <c r="JZ120" s="41"/>
      <c r="KA120" s="41"/>
      <c r="KB120" s="41"/>
      <c r="KC120" s="41"/>
      <c r="KD120" s="41"/>
      <c r="KE120" s="41"/>
      <c r="KF120" s="41"/>
      <c r="KG120" s="41"/>
      <c r="KH120" s="41"/>
      <c r="KI120" s="41"/>
      <c r="KJ120" s="41"/>
      <c r="KK120" s="41"/>
      <c r="KL120" s="41"/>
      <c r="KM120" s="41"/>
      <c r="KN120" s="41"/>
      <c r="KO120" s="41"/>
      <c r="KP120" s="41"/>
      <c r="KQ120" s="41"/>
      <c r="KR120" s="41"/>
      <c r="KS120" s="41"/>
      <c r="KT120" s="41"/>
      <c r="KU120" s="41"/>
      <c r="KV120" s="41"/>
      <c r="KW120" s="41"/>
      <c r="KX120" s="41"/>
      <c r="KY120" s="41"/>
      <c r="KZ120" s="41"/>
      <c r="LA120" s="41"/>
      <c r="LB120" s="41"/>
      <c r="LC120" s="41"/>
      <c r="LD120" s="41"/>
      <c r="LE120" s="41"/>
      <c r="LF120" s="41"/>
      <c r="LG120" s="41"/>
      <c r="LH120" s="41"/>
      <c r="LI120" s="41"/>
      <c r="LJ120" s="41"/>
      <c r="LK120" s="41"/>
      <c r="LL120" s="41"/>
      <c r="LM120" s="41"/>
      <c r="LN120" s="41"/>
      <c r="LO120" s="41"/>
      <c r="LP120" s="41"/>
      <c r="LQ120" s="41"/>
      <c r="LR120" s="41"/>
      <c r="LS120" s="41"/>
      <c r="LT120" s="41"/>
      <c r="LU120" s="41"/>
      <c r="LV120" s="41"/>
      <c r="LW120" s="41"/>
      <c r="LX120" s="41"/>
      <c r="LY120" s="41"/>
      <c r="LZ120" s="41"/>
      <c r="MA120" s="41"/>
      <c r="MB120" s="41"/>
      <c r="MC120" s="41"/>
      <c r="MD120" s="41"/>
      <c r="ME120" s="41"/>
      <c r="MF120" s="41"/>
      <c r="MG120" s="41"/>
      <c r="MH120" s="41"/>
      <c r="MI120" s="41"/>
      <c r="MJ120" s="41"/>
      <c r="MK120" s="41"/>
      <c r="ML120" s="41"/>
      <c r="MM120" s="41"/>
      <c r="MN120" s="41"/>
      <c r="MO120" s="41"/>
      <c r="MP120" s="41"/>
      <c r="MQ120" s="41"/>
      <c r="MR120" s="41"/>
      <c r="MS120" s="41"/>
      <c r="MT120" s="41"/>
      <c r="MU120" s="41"/>
      <c r="MV120" s="41"/>
      <c r="MW120" s="41"/>
      <c r="MX120" s="41"/>
      <c r="MY120" s="41"/>
      <c r="MZ120" s="41"/>
      <c r="NA120" s="41"/>
      <c r="NB120" s="41"/>
      <c r="NC120" s="41"/>
      <c r="ND120" s="41"/>
      <c r="NE120" s="41"/>
      <c r="NF120" s="41"/>
      <c r="NG120" s="41"/>
      <c r="NH120" s="41"/>
      <c r="NI120" s="41"/>
      <c r="NJ120" s="41"/>
      <c r="NK120" s="41"/>
      <c r="NL120" s="41"/>
      <c r="NM120" s="41"/>
      <c r="NN120" s="41"/>
      <c r="NO120" s="41"/>
      <c r="NP120" s="41"/>
      <c r="NQ120" s="41"/>
      <c r="NR120" s="41"/>
      <c r="NS120" s="41"/>
      <c r="NT120" s="41"/>
      <c r="NU120" s="41"/>
      <c r="NV120" s="41"/>
      <c r="NW120" s="41"/>
      <c r="NX120" s="41"/>
      <c r="NY120" s="41"/>
      <c r="NZ120" s="41"/>
      <c r="OA120" s="41"/>
      <c r="OB120" s="41"/>
      <c r="OC120" s="41"/>
      <c r="OD120" s="41"/>
      <c r="OE120" s="41"/>
      <c r="OF120" s="41"/>
      <c r="OG120" s="41"/>
      <c r="OH120" s="41"/>
      <c r="OI120" s="41"/>
      <c r="OJ120" s="41"/>
      <c r="OK120" s="41"/>
      <c r="OL120" s="41"/>
      <c r="OM120" s="41"/>
      <c r="ON120" s="41"/>
      <c r="OO120" s="41"/>
      <c r="OP120" s="41"/>
      <c r="OQ120" s="41"/>
      <c r="OR120" s="41"/>
      <c r="OS120" s="41"/>
      <c r="OT120" s="41"/>
      <c r="OU120" s="41"/>
      <c r="OV120" s="41"/>
      <c r="OW120" s="41"/>
      <c r="OX120" s="41"/>
      <c r="OY120" s="41"/>
      <c r="OZ120" s="41"/>
      <c r="PA120" s="41"/>
      <c r="PB120" s="41"/>
      <c r="PC120" s="41"/>
      <c r="PD120" s="41"/>
      <c r="PE120" s="41"/>
      <c r="PF120" s="41"/>
      <c r="PG120" s="41"/>
      <c r="PH120" s="41"/>
      <c r="PI120" s="41"/>
      <c r="PJ120" s="41"/>
      <c r="PK120" s="41"/>
      <c r="PL120" s="41"/>
      <c r="PM120" s="41"/>
      <c r="PN120" s="41"/>
      <c r="PO120" s="41"/>
      <c r="PP120" s="41"/>
      <c r="PQ120" s="41"/>
      <c r="PR120" s="41"/>
      <c r="PS120" s="41"/>
      <c r="PT120" s="41"/>
      <c r="PU120" s="41"/>
      <c r="PV120" s="41"/>
      <c r="PW120" s="41"/>
      <c r="PX120" s="41"/>
      <c r="PY120" s="41"/>
      <c r="PZ120" s="41"/>
      <c r="QA120" s="41"/>
      <c r="QB120" s="41"/>
      <c r="QC120" s="41"/>
      <c r="QD120" s="41"/>
      <c r="QE120" s="41"/>
      <c r="QF120" s="41"/>
      <c r="QG120" s="41"/>
      <c r="QH120" s="41"/>
      <c r="QI120" s="41"/>
      <c r="QJ120" s="41"/>
      <c r="QK120" s="41"/>
      <c r="QL120" s="41"/>
      <c r="QM120" s="41"/>
      <c r="QN120" s="41"/>
      <c r="QO120" s="41"/>
      <c r="QP120" s="41"/>
      <c r="QQ120" s="41"/>
      <c r="QR120" s="41"/>
      <c r="QS120" s="41"/>
      <c r="QT120" s="41"/>
      <c r="QU120" s="41"/>
      <c r="QV120" s="41"/>
      <c r="QW120" s="41"/>
      <c r="QX120" s="41"/>
      <c r="QY120" s="41"/>
      <c r="QZ120" s="41"/>
      <c r="RA120" s="41"/>
      <c r="RB120" s="41"/>
      <c r="RC120" s="41"/>
      <c r="RD120" s="41"/>
      <c r="RE120" s="41"/>
      <c r="RF120" s="41"/>
      <c r="RG120" s="41"/>
      <c r="RH120" s="41"/>
      <c r="RI120" s="41"/>
      <c r="RJ120" s="41"/>
      <c r="RK120" s="41"/>
      <c r="RL120" s="41"/>
      <c r="RM120" s="41"/>
      <c r="RN120" s="41"/>
      <c r="RO120" s="41"/>
      <c r="RP120" s="41"/>
      <c r="RQ120" s="41"/>
      <c r="RR120" s="41"/>
      <c r="RS120" s="41"/>
      <c r="RT120" s="41"/>
      <c r="RU120" s="41"/>
      <c r="RV120" s="41"/>
      <c r="RW120" s="41"/>
      <c r="RX120" s="41"/>
      <c r="RY120" s="41"/>
      <c r="RZ120" s="41"/>
      <c r="SA120" s="41"/>
      <c r="SB120" s="41"/>
      <c r="SC120" s="41"/>
      <c r="SD120" s="41"/>
      <c r="SE120" s="41"/>
      <c r="SF120" s="41"/>
      <c r="SG120" s="41"/>
      <c r="SH120" s="41"/>
      <c r="SI120" s="41"/>
      <c r="SJ120" s="41"/>
      <c r="SK120" s="41"/>
      <c r="SL120" s="41"/>
      <c r="SM120" s="41"/>
      <c r="SN120" s="41"/>
      <c r="SO120" s="41"/>
      <c r="SP120" s="41"/>
      <c r="SQ120" s="41"/>
      <c r="SR120" s="41"/>
      <c r="SS120" s="41"/>
      <c r="ST120" s="41"/>
      <c r="SU120" s="41"/>
      <c r="SV120" s="41"/>
      <c r="SW120" s="41"/>
      <c r="SX120" s="41"/>
      <c r="SY120" s="41"/>
      <c r="SZ120" s="41"/>
      <c r="TA120" s="41"/>
      <c r="TB120" s="41"/>
      <c r="TC120" s="41"/>
      <c r="TD120" s="41"/>
      <c r="TE120" s="41"/>
      <c r="TF120" s="41"/>
      <c r="TG120" s="41"/>
      <c r="TH120" s="41"/>
      <c r="TI120" s="41"/>
      <c r="TJ120" s="41"/>
      <c r="TK120" s="41"/>
      <c r="TL120" s="41"/>
      <c r="TM120" s="41"/>
      <c r="TN120" s="41"/>
      <c r="TO120" s="41"/>
      <c r="TP120" s="41"/>
      <c r="TQ120" s="41"/>
      <c r="TR120" s="41"/>
      <c r="TS120" s="41"/>
      <c r="TT120" s="41"/>
      <c r="TU120" s="41"/>
      <c r="TV120" s="41"/>
      <c r="TW120" s="41"/>
      <c r="TX120" s="41"/>
      <c r="TY120" s="41"/>
      <c r="TZ120" s="41"/>
      <c r="UA120" s="41"/>
      <c r="UB120" s="41"/>
      <c r="UC120" s="41"/>
      <c r="UD120" s="41"/>
      <c r="UE120" s="41"/>
      <c r="UF120" s="41"/>
      <c r="UG120" s="41"/>
      <c r="UH120" s="41"/>
      <c r="UI120" s="41"/>
      <c r="UJ120" s="41"/>
      <c r="UK120" s="41"/>
      <c r="UL120" s="41"/>
      <c r="UM120" s="41"/>
      <c r="UN120" s="41"/>
      <c r="UO120" s="41"/>
      <c r="UP120" s="41"/>
      <c r="UQ120" s="41"/>
      <c r="UR120" s="41"/>
      <c r="US120" s="41"/>
      <c r="UT120" s="41"/>
      <c r="UU120" s="41"/>
      <c r="UV120" s="41"/>
      <c r="UW120" s="41"/>
      <c r="UX120" s="41"/>
      <c r="UY120" s="41"/>
      <c r="UZ120" s="41"/>
      <c r="VA120" s="41"/>
      <c r="VB120" s="41"/>
      <c r="VC120" s="41"/>
      <c r="VD120" s="41"/>
      <c r="VE120" s="41"/>
      <c r="VF120" s="41"/>
      <c r="VG120" s="41"/>
      <c r="VH120" s="41"/>
      <c r="VI120" s="41"/>
      <c r="VJ120" s="41"/>
      <c r="VK120" s="41"/>
      <c r="VL120" s="41"/>
      <c r="VM120" s="41"/>
      <c r="VN120" s="41"/>
      <c r="VO120" s="41"/>
      <c r="VP120" s="41"/>
      <c r="VQ120" s="41"/>
      <c r="VR120" s="41"/>
      <c r="VS120" s="41"/>
      <c r="VT120" s="41"/>
      <c r="VU120" s="41"/>
      <c r="VV120" s="41"/>
      <c r="VW120" s="41"/>
      <c r="VX120" s="41"/>
      <c r="VY120" s="41"/>
      <c r="VZ120" s="41"/>
      <c r="WA120" s="41"/>
      <c r="WB120" s="41"/>
      <c r="WC120" s="41"/>
      <c r="WD120" s="41"/>
      <c r="WE120" s="41"/>
      <c r="WF120" s="41"/>
      <c r="WG120" s="41"/>
      <c r="WH120" s="41"/>
      <c r="WI120" s="41"/>
      <c r="WJ120" s="41"/>
      <c r="WK120" s="41"/>
      <c r="WL120" s="41"/>
      <c r="WM120" s="41"/>
      <c r="WN120" s="41"/>
      <c r="WO120" s="41"/>
      <c r="WP120" s="41"/>
      <c r="WQ120" s="41"/>
      <c r="WR120" s="41"/>
      <c r="WS120" s="41"/>
      <c r="WT120" s="41"/>
      <c r="WU120" s="41"/>
      <c r="WV120" s="41"/>
      <c r="WW120" s="41"/>
      <c r="WX120" s="41"/>
      <c r="WY120" s="41"/>
      <c r="WZ120" s="41"/>
      <c r="XA120" s="41"/>
      <c r="XB120" s="41"/>
      <c r="XC120" s="41"/>
      <c r="XD120" s="41"/>
      <c r="XE120" s="41"/>
      <c r="XF120" s="41"/>
      <c r="XG120" s="41"/>
      <c r="XH120" s="41"/>
      <c r="XI120" s="41"/>
      <c r="XJ120" s="41"/>
      <c r="XK120" s="41"/>
      <c r="XL120" s="41"/>
      <c r="XM120" s="41"/>
      <c r="XN120" s="41"/>
      <c r="XO120" s="41"/>
      <c r="XP120" s="41"/>
      <c r="XQ120" s="41"/>
      <c r="XR120" s="41"/>
      <c r="XS120" s="41"/>
      <c r="XT120" s="41"/>
      <c r="XU120" s="41"/>
      <c r="XV120" s="41"/>
      <c r="XW120" s="41"/>
      <c r="XX120" s="41"/>
      <c r="XY120" s="41"/>
      <c r="XZ120" s="41"/>
      <c r="YA120" s="41"/>
      <c r="YB120" s="41"/>
      <c r="YC120" s="41"/>
      <c r="YD120" s="41"/>
      <c r="YE120" s="41"/>
      <c r="YF120" s="41"/>
      <c r="YG120" s="41"/>
      <c r="YH120" s="41"/>
      <c r="YI120" s="41"/>
      <c r="YJ120" s="41"/>
      <c r="YK120" s="41"/>
      <c r="YL120" s="41"/>
      <c r="YM120" s="41"/>
      <c r="YN120" s="41"/>
      <c r="YO120" s="41"/>
      <c r="YP120" s="41"/>
      <c r="YQ120" s="41"/>
      <c r="YR120" s="41"/>
      <c r="YS120" s="41"/>
      <c r="YT120" s="41"/>
      <c r="YU120" s="41"/>
      <c r="YV120" s="41"/>
      <c r="YW120" s="41"/>
      <c r="YX120" s="41"/>
      <c r="YY120" s="41"/>
      <c r="YZ120" s="41"/>
      <c r="ZA120" s="41"/>
      <c r="ZB120" s="41"/>
      <c r="ZC120" s="41"/>
      <c r="ZD120" s="41"/>
      <c r="ZE120" s="41"/>
      <c r="ZF120" s="41"/>
      <c r="ZG120" s="41"/>
      <c r="ZH120" s="41"/>
      <c r="ZI120" s="41"/>
      <c r="ZJ120" s="41"/>
      <c r="ZK120" s="41"/>
      <c r="ZL120" s="41"/>
      <c r="ZM120" s="41"/>
      <c r="ZN120" s="41"/>
      <c r="ZO120" s="41"/>
      <c r="ZP120" s="41"/>
      <c r="ZQ120" s="41"/>
      <c r="ZR120" s="41"/>
      <c r="ZS120" s="41"/>
      <c r="ZT120" s="41"/>
      <c r="ZU120" s="41"/>
      <c r="ZV120" s="41"/>
      <c r="ZW120" s="41"/>
      <c r="ZX120" s="41"/>
      <c r="ZY120" s="41"/>
      <c r="ZZ120" s="41"/>
      <c r="AAA120" s="41"/>
      <c r="AAB120" s="41"/>
      <c r="AAC120" s="41"/>
    </row>
    <row r="121" spans="1:705" s="42" customFormat="1" ht="44.1" hidden="1" customHeight="1" x14ac:dyDescent="0.3">
      <c r="A121" s="26">
        <v>117</v>
      </c>
      <c r="B121" s="137">
        <v>240148</v>
      </c>
      <c r="C121" s="138">
        <v>117</v>
      </c>
      <c r="D121" s="139">
        <v>45929</v>
      </c>
      <c r="E121" s="139">
        <f t="shared" si="18"/>
        <v>45928</v>
      </c>
      <c r="F121" s="139">
        <f t="shared" si="15"/>
        <v>45939</v>
      </c>
      <c r="G121" s="139">
        <v>46020</v>
      </c>
      <c r="H121" s="139">
        <v>45984</v>
      </c>
      <c r="I121" s="139" t="s">
        <v>321</v>
      </c>
      <c r="J121" s="140" t="s">
        <v>328</v>
      </c>
      <c r="K121" s="141">
        <f t="shared" si="19"/>
        <v>45</v>
      </c>
      <c r="L121" s="141">
        <v>1148974</v>
      </c>
      <c r="M121" s="140" t="s">
        <v>15</v>
      </c>
      <c r="N121" s="140">
        <v>804711</v>
      </c>
      <c r="O121" s="137" t="s">
        <v>246</v>
      </c>
      <c r="P121" s="143">
        <v>45960</v>
      </c>
      <c r="Q121" s="143">
        <v>46121</v>
      </c>
      <c r="R121" s="157" t="s">
        <v>211</v>
      </c>
      <c r="S121" s="144" t="s">
        <v>329</v>
      </c>
      <c r="T121" s="145">
        <v>1</v>
      </c>
      <c r="U121" s="137" t="s">
        <v>264</v>
      </c>
      <c r="V121" s="146">
        <v>330</v>
      </c>
      <c r="W121" s="146">
        <v>330</v>
      </c>
      <c r="X121" s="147">
        <v>0</v>
      </c>
      <c r="Y121" s="146"/>
      <c r="Z121" s="146">
        <v>0</v>
      </c>
      <c r="AA121" s="146">
        <v>0</v>
      </c>
      <c r="AB121" s="146">
        <v>96</v>
      </c>
      <c r="AC121" s="146">
        <v>96</v>
      </c>
      <c r="AD121" s="146">
        <v>0</v>
      </c>
      <c r="AE121" s="146">
        <v>0</v>
      </c>
      <c r="AF121" s="146">
        <v>0</v>
      </c>
      <c r="AG121" s="146">
        <v>0</v>
      </c>
      <c r="AH121" s="146">
        <v>0</v>
      </c>
      <c r="AI121" s="146">
        <v>0</v>
      </c>
      <c r="AJ121" s="146">
        <v>0</v>
      </c>
      <c r="AK121" s="146"/>
      <c r="AL121" s="146">
        <v>2</v>
      </c>
      <c r="AM121" s="146">
        <v>2</v>
      </c>
      <c r="AN121" s="146">
        <v>2</v>
      </c>
      <c r="AO121" s="146">
        <v>2</v>
      </c>
      <c r="AP121" s="146">
        <v>0</v>
      </c>
      <c r="AQ121" s="146"/>
      <c r="AR121" s="146">
        <v>0</v>
      </c>
      <c r="AS121" s="146">
        <v>0</v>
      </c>
      <c r="AT121" s="146">
        <v>0</v>
      </c>
      <c r="AU121" s="146">
        <v>0</v>
      </c>
      <c r="AV121" s="146">
        <v>0</v>
      </c>
      <c r="AW121" s="146">
        <v>0</v>
      </c>
      <c r="AX121" s="146">
        <f t="shared" si="21"/>
        <v>26572</v>
      </c>
      <c r="AY121" s="146">
        <f t="shared" si="20"/>
        <v>26572</v>
      </c>
      <c r="AZ121" s="140" t="s">
        <v>562</v>
      </c>
      <c r="BA121" s="137" t="s">
        <v>562</v>
      </c>
      <c r="BB121" s="137">
        <v>4</v>
      </c>
      <c r="BC121" s="148">
        <v>117</v>
      </c>
      <c r="BD121" s="149"/>
      <c r="BE121" s="145"/>
      <c r="BF121" s="150"/>
      <c r="BG121" s="151">
        <v>45962</v>
      </c>
      <c r="BH121" s="153" t="s">
        <v>535</v>
      </c>
      <c r="BI121" s="153" t="s">
        <v>562</v>
      </c>
      <c r="CC121" s="41"/>
      <c r="CD121" s="41"/>
      <c r="CE121" s="41"/>
      <c r="CF121" s="41"/>
      <c r="CG121" s="41"/>
      <c r="CH121" s="41"/>
      <c r="CI121" s="41"/>
      <c r="CJ121" s="41"/>
      <c r="CK121" s="41"/>
      <c r="CL121" s="41"/>
      <c r="CM121" s="41"/>
      <c r="CN121" s="41"/>
      <c r="CO121" s="41"/>
      <c r="CP121" s="41"/>
      <c r="CQ121" s="41"/>
      <c r="CR121" s="41"/>
      <c r="CS121" s="41"/>
      <c r="CT121" s="41"/>
      <c r="CU121" s="41"/>
      <c r="CV121" s="41"/>
      <c r="CW121" s="41"/>
      <c r="CX121" s="41"/>
      <c r="CY121" s="41"/>
      <c r="CZ121" s="41"/>
      <c r="DA121" s="41"/>
      <c r="DB121" s="41"/>
      <c r="DC121" s="41"/>
      <c r="DD121" s="41"/>
      <c r="DE121" s="41"/>
      <c r="DF121" s="41"/>
      <c r="DG121" s="41"/>
      <c r="DH121" s="41"/>
      <c r="DI121" s="41"/>
      <c r="DJ121" s="41"/>
      <c r="DK121" s="41"/>
      <c r="DL121" s="41"/>
      <c r="DM121" s="41"/>
      <c r="DN121" s="41"/>
      <c r="DO121" s="41"/>
      <c r="DP121" s="41"/>
      <c r="DQ121" s="41"/>
      <c r="DR121" s="41"/>
      <c r="DS121" s="41"/>
      <c r="DT121" s="41"/>
      <c r="DU121" s="41"/>
      <c r="DV121" s="41"/>
      <c r="DW121" s="41"/>
      <c r="DX121" s="41"/>
      <c r="DY121" s="41"/>
      <c r="DZ121" s="41"/>
      <c r="EA121" s="41"/>
      <c r="EB121" s="41"/>
      <c r="EC121" s="41"/>
      <c r="ED121" s="41"/>
      <c r="EE121" s="41"/>
      <c r="EF121" s="41"/>
      <c r="EG121" s="41"/>
      <c r="EH121" s="41"/>
      <c r="EI121" s="41"/>
      <c r="EJ121" s="41"/>
      <c r="EK121" s="41"/>
      <c r="EL121" s="41"/>
      <c r="EM121" s="41"/>
      <c r="EN121" s="41"/>
      <c r="EO121" s="41"/>
      <c r="EP121" s="41"/>
      <c r="EQ121" s="41"/>
      <c r="ER121" s="41"/>
      <c r="ES121" s="41"/>
      <c r="ET121" s="41"/>
      <c r="EU121" s="41"/>
      <c r="EV121" s="41"/>
      <c r="EW121" s="41"/>
      <c r="EX121" s="41"/>
      <c r="EY121" s="41"/>
      <c r="EZ121" s="41"/>
      <c r="FA121" s="41"/>
      <c r="FB121" s="41"/>
      <c r="FC121" s="41"/>
      <c r="FD121" s="41"/>
      <c r="FE121" s="41"/>
      <c r="FF121" s="41"/>
      <c r="FG121" s="41"/>
      <c r="FH121" s="41"/>
      <c r="FI121" s="41"/>
      <c r="FJ121" s="41"/>
      <c r="FK121" s="41"/>
      <c r="FL121" s="41"/>
      <c r="FM121" s="41"/>
      <c r="FN121" s="41"/>
      <c r="FO121" s="41"/>
      <c r="FP121" s="41"/>
      <c r="FQ121" s="41"/>
      <c r="FR121" s="41"/>
      <c r="FS121" s="41"/>
      <c r="FT121" s="41"/>
      <c r="FU121" s="41"/>
      <c r="FV121" s="41"/>
      <c r="FW121" s="41"/>
      <c r="FX121" s="41"/>
      <c r="FY121" s="41"/>
      <c r="FZ121" s="41"/>
      <c r="GA121" s="41"/>
      <c r="GB121" s="41"/>
      <c r="GC121" s="41"/>
      <c r="GD121" s="41"/>
      <c r="GE121" s="41"/>
      <c r="GF121" s="41"/>
      <c r="GG121" s="41"/>
      <c r="GH121" s="41"/>
      <c r="GI121" s="41"/>
      <c r="GJ121" s="41"/>
      <c r="GK121" s="41"/>
      <c r="GL121" s="41"/>
      <c r="GM121" s="41"/>
      <c r="GN121" s="41"/>
      <c r="GO121" s="41"/>
      <c r="GP121" s="41"/>
      <c r="GQ121" s="41"/>
      <c r="GR121" s="41"/>
      <c r="GS121" s="41"/>
      <c r="GT121" s="41"/>
      <c r="GU121" s="41"/>
      <c r="GV121" s="41"/>
      <c r="GW121" s="41"/>
      <c r="GX121" s="41"/>
      <c r="GY121" s="41"/>
      <c r="GZ121" s="41"/>
      <c r="HA121" s="41"/>
      <c r="HB121" s="41"/>
      <c r="HC121" s="41"/>
      <c r="HD121" s="41"/>
      <c r="HE121" s="41"/>
      <c r="HF121" s="41"/>
      <c r="HG121" s="41"/>
      <c r="HH121" s="41"/>
      <c r="HI121" s="41"/>
      <c r="HJ121" s="41"/>
      <c r="HK121" s="41"/>
      <c r="HL121" s="41"/>
      <c r="HM121" s="41"/>
      <c r="HN121" s="41"/>
      <c r="HO121" s="41"/>
      <c r="HP121" s="41"/>
      <c r="HQ121" s="41"/>
      <c r="HR121" s="41"/>
      <c r="HS121" s="41"/>
      <c r="HT121" s="41"/>
      <c r="HU121" s="41"/>
      <c r="HV121" s="41"/>
      <c r="HW121" s="41"/>
      <c r="HX121" s="41"/>
      <c r="HY121" s="41"/>
      <c r="HZ121" s="41"/>
      <c r="IA121" s="41"/>
      <c r="IB121" s="41"/>
      <c r="IC121" s="41"/>
      <c r="ID121" s="41"/>
      <c r="IE121" s="41"/>
      <c r="IF121" s="41"/>
      <c r="IG121" s="41"/>
      <c r="IH121" s="41"/>
      <c r="II121" s="41"/>
      <c r="IJ121" s="41"/>
      <c r="IK121" s="41"/>
      <c r="IL121" s="41"/>
      <c r="IM121" s="41"/>
      <c r="IN121" s="41"/>
      <c r="IO121" s="41"/>
      <c r="IP121" s="41"/>
      <c r="IQ121" s="41"/>
      <c r="IR121" s="41"/>
      <c r="IS121" s="41"/>
      <c r="IT121" s="41"/>
      <c r="IU121" s="41"/>
      <c r="IV121" s="41"/>
      <c r="IW121" s="41"/>
      <c r="IX121" s="41"/>
      <c r="IY121" s="41"/>
      <c r="IZ121" s="41"/>
      <c r="JA121" s="41"/>
      <c r="JB121" s="41"/>
      <c r="JC121" s="41"/>
      <c r="JD121" s="41"/>
      <c r="JE121" s="41"/>
      <c r="JF121" s="41"/>
      <c r="JG121" s="41"/>
      <c r="JH121" s="41"/>
      <c r="JI121" s="41"/>
      <c r="JJ121" s="41"/>
      <c r="JK121" s="41"/>
      <c r="JL121" s="41"/>
      <c r="JM121" s="41"/>
      <c r="JN121" s="41"/>
      <c r="JO121" s="41"/>
      <c r="JP121" s="41"/>
      <c r="JQ121" s="41"/>
      <c r="JR121" s="41"/>
      <c r="JS121" s="41"/>
      <c r="JT121" s="41"/>
      <c r="JU121" s="41"/>
      <c r="JV121" s="41"/>
      <c r="JW121" s="41"/>
      <c r="JX121" s="41"/>
      <c r="JY121" s="41"/>
      <c r="JZ121" s="41"/>
      <c r="KA121" s="41"/>
      <c r="KB121" s="41"/>
      <c r="KC121" s="41"/>
      <c r="KD121" s="41"/>
      <c r="KE121" s="41"/>
      <c r="KF121" s="41"/>
      <c r="KG121" s="41"/>
      <c r="KH121" s="41"/>
      <c r="KI121" s="41"/>
      <c r="KJ121" s="41"/>
      <c r="KK121" s="41"/>
      <c r="KL121" s="41"/>
      <c r="KM121" s="41"/>
      <c r="KN121" s="41"/>
      <c r="KO121" s="41"/>
      <c r="KP121" s="41"/>
      <c r="KQ121" s="41"/>
      <c r="KR121" s="41"/>
      <c r="KS121" s="41"/>
      <c r="KT121" s="41"/>
      <c r="KU121" s="41"/>
      <c r="KV121" s="41"/>
      <c r="KW121" s="41"/>
      <c r="KX121" s="41"/>
      <c r="KY121" s="41"/>
      <c r="KZ121" s="41"/>
      <c r="LA121" s="41"/>
      <c r="LB121" s="41"/>
      <c r="LC121" s="41"/>
      <c r="LD121" s="41"/>
      <c r="LE121" s="41"/>
      <c r="LF121" s="41"/>
      <c r="LG121" s="41"/>
      <c r="LH121" s="41"/>
      <c r="LI121" s="41"/>
      <c r="LJ121" s="41"/>
      <c r="LK121" s="41"/>
      <c r="LL121" s="41"/>
      <c r="LM121" s="41"/>
      <c r="LN121" s="41"/>
      <c r="LO121" s="41"/>
      <c r="LP121" s="41"/>
      <c r="LQ121" s="41"/>
      <c r="LR121" s="41"/>
      <c r="LS121" s="41"/>
      <c r="LT121" s="41"/>
      <c r="LU121" s="41"/>
      <c r="LV121" s="41"/>
      <c r="LW121" s="41"/>
      <c r="LX121" s="41"/>
      <c r="LY121" s="41"/>
      <c r="LZ121" s="41"/>
      <c r="MA121" s="41"/>
      <c r="MB121" s="41"/>
      <c r="MC121" s="41"/>
      <c r="MD121" s="41"/>
      <c r="ME121" s="41"/>
      <c r="MF121" s="41"/>
      <c r="MG121" s="41"/>
      <c r="MH121" s="41"/>
      <c r="MI121" s="41"/>
      <c r="MJ121" s="41"/>
      <c r="MK121" s="41"/>
      <c r="ML121" s="41"/>
      <c r="MM121" s="41"/>
      <c r="MN121" s="41"/>
      <c r="MO121" s="41"/>
      <c r="MP121" s="41"/>
      <c r="MQ121" s="41"/>
      <c r="MR121" s="41"/>
      <c r="MS121" s="41"/>
      <c r="MT121" s="41"/>
      <c r="MU121" s="41"/>
      <c r="MV121" s="41"/>
      <c r="MW121" s="41"/>
      <c r="MX121" s="41"/>
      <c r="MY121" s="41"/>
      <c r="MZ121" s="41"/>
      <c r="NA121" s="41"/>
      <c r="NB121" s="41"/>
      <c r="NC121" s="41"/>
      <c r="ND121" s="41"/>
      <c r="NE121" s="41"/>
      <c r="NF121" s="41"/>
      <c r="NG121" s="41"/>
      <c r="NH121" s="41"/>
      <c r="NI121" s="41"/>
      <c r="NJ121" s="41"/>
      <c r="NK121" s="41"/>
      <c r="NL121" s="41"/>
      <c r="NM121" s="41"/>
      <c r="NN121" s="41"/>
      <c r="NO121" s="41"/>
      <c r="NP121" s="41"/>
      <c r="NQ121" s="41"/>
      <c r="NR121" s="41"/>
      <c r="NS121" s="41"/>
      <c r="NT121" s="41"/>
      <c r="NU121" s="41"/>
      <c r="NV121" s="41"/>
      <c r="NW121" s="41"/>
      <c r="NX121" s="41"/>
      <c r="NY121" s="41"/>
      <c r="NZ121" s="41"/>
      <c r="OA121" s="41"/>
      <c r="OB121" s="41"/>
      <c r="OC121" s="41"/>
      <c r="OD121" s="41"/>
      <c r="OE121" s="41"/>
      <c r="OF121" s="41"/>
      <c r="OG121" s="41"/>
      <c r="OH121" s="41"/>
      <c r="OI121" s="41"/>
      <c r="OJ121" s="41"/>
      <c r="OK121" s="41"/>
      <c r="OL121" s="41"/>
      <c r="OM121" s="41"/>
      <c r="ON121" s="41"/>
      <c r="OO121" s="41"/>
      <c r="OP121" s="41"/>
      <c r="OQ121" s="41"/>
      <c r="OR121" s="41"/>
      <c r="OS121" s="41"/>
      <c r="OT121" s="41"/>
      <c r="OU121" s="41"/>
      <c r="OV121" s="41"/>
      <c r="OW121" s="41"/>
      <c r="OX121" s="41"/>
      <c r="OY121" s="41"/>
      <c r="OZ121" s="41"/>
      <c r="PA121" s="41"/>
      <c r="PB121" s="41"/>
      <c r="PC121" s="41"/>
      <c r="PD121" s="41"/>
      <c r="PE121" s="41"/>
      <c r="PF121" s="41"/>
      <c r="PG121" s="41"/>
      <c r="PH121" s="41"/>
      <c r="PI121" s="41"/>
      <c r="PJ121" s="41"/>
      <c r="PK121" s="41"/>
      <c r="PL121" s="41"/>
      <c r="PM121" s="41"/>
      <c r="PN121" s="41"/>
      <c r="PO121" s="41"/>
      <c r="PP121" s="41"/>
      <c r="PQ121" s="41"/>
      <c r="PR121" s="41"/>
      <c r="PS121" s="41"/>
      <c r="PT121" s="41"/>
      <c r="PU121" s="41"/>
      <c r="PV121" s="41"/>
      <c r="PW121" s="41"/>
      <c r="PX121" s="41"/>
      <c r="PY121" s="41"/>
      <c r="PZ121" s="41"/>
      <c r="QA121" s="41"/>
      <c r="QB121" s="41"/>
      <c r="QC121" s="41"/>
      <c r="QD121" s="41"/>
      <c r="QE121" s="41"/>
      <c r="QF121" s="41"/>
      <c r="QG121" s="41"/>
      <c r="QH121" s="41"/>
      <c r="QI121" s="41"/>
      <c r="QJ121" s="41"/>
      <c r="QK121" s="41"/>
      <c r="QL121" s="41"/>
      <c r="QM121" s="41"/>
      <c r="QN121" s="41"/>
      <c r="QO121" s="41"/>
      <c r="QP121" s="41"/>
      <c r="QQ121" s="41"/>
      <c r="QR121" s="41"/>
      <c r="QS121" s="41"/>
      <c r="QT121" s="41"/>
      <c r="QU121" s="41"/>
      <c r="QV121" s="41"/>
      <c r="QW121" s="41"/>
      <c r="QX121" s="41"/>
      <c r="QY121" s="41"/>
      <c r="QZ121" s="41"/>
      <c r="RA121" s="41"/>
      <c r="RB121" s="41"/>
      <c r="RC121" s="41"/>
      <c r="RD121" s="41"/>
      <c r="RE121" s="41"/>
      <c r="RF121" s="41"/>
      <c r="RG121" s="41"/>
      <c r="RH121" s="41"/>
      <c r="RI121" s="41"/>
      <c r="RJ121" s="41"/>
      <c r="RK121" s="41"/>
      <c r="RL121" s="41"/>
      <c r="RM121" s="41"/>
      <c r="RN121" s="41"/>
      <c r="RO121" s="41"/>
      <c r="RP121" s="41"/>
      <c r="RQ121" s="41"/>
      <c r="RR121" s="41"/>
      <c r="RS121" s="41"/>
      <c r="RT121" s="41"/>
      <c r="RU121" s="41"/>
      <c r="RV121" s="41"/>
      <c r="RW121" s="41"/>
      <c r="RX121" s="41"/>
      <c r="RY121" s="41"/>
      <c r="RZ121" s="41"/>
      <c r="SA121" s="41"/>
      <c r="SB121" s="41"/>
      <c r="SC121" s="41"/>
      <c r="SD121" s="41"/>
      <c r="SE121" s="41"/>
      <c r="SF121" s="41"/>
      <c r="SG121" s="41"/>
      <c r="SH121" s="41"/>
      <c r="SI121" s="41"/>
      <c r="SJ121" s="41"/>
      <c r="SK121" s="41"/>
      <c r="SL121" s="41"/>
      <c r="SM121" s="41"/>
      <c r="SN121" s="41"/>
      <c r="SO121" s="41"/>
      <c r="SP121" s="41"/>
      <c r="SQ121" s="41"/>
      <c r="SR121" s="41"/>
      <c r="SS121" s="41"/>
      <c r="ST121" s="41"/>
      <c r="SU121" s="41"/>
      <c r="SV121" s="41"/>
      <c r="SW121" s="41"/>
      <c r="SX121" s="41"/>
      <c r="SY121" s="41"/>
      <c r="SZ121" s="41"/>
      <c r="TA121" s="41"/>
      <c r="TB121" s="41"/>
      <c r="TC121" s="41"/>
      <c r="TD121" s="41"/>
      <c r="TE121" s="41"/>
      <c r="TF121" s="41"/>
      <c r="TG121" s="41"/>
      <c r="TH121" s="41"/>
      <c r="TI121" s="41"/>
      <c r="TJ121" s="41"/>
      <c r="TK121" s="41"/>
      <c r="TL121" s="41"/>
      <c r="TM121" s="41"/>
      <c r="TN121" s="41"/>
      <c r="TO121" s="41"/>
      <c r="TP121" s="41"/>
      <c r="TQ121" s="41"/>
      <c r="TR121" s="41"/>
      <c r="TS121" s="41"/>
      <c r="TT121" s="41"/>
      <c r="TU121" s="41"/>
      <c r="TV121" s="41"/>
      <c r="TW121" s="41"/>
      <c r="TX121" s="41"/>
      <c r="TY121" s="41"/>
      <c r="TZ121" s="41"/>
      <c r="UA121" s="41"/>
      <c r="UB121" s="41"/>
      <c r="UC121" s="41"/>
      <c r="UD121" s="41"/>
      <c r="UE121" s="41"/>
      <c r="UF121" s="41"/>
      <c r="UG121" s="41"/>
      <c r="UH121" s="41"/>
      <c r="UI121" s="41"/>
      <c r="UJ121" s="41"/>
      <c r="UK121" s="41"/>
      <c r="UL121" s="41"/>
      <c r="UM121" s="41"/>
      <c r="UN121" s="41"/>
      <c r="UO121" s="41"/>
      <c r="UP121" s="41"/>
      <c r="UQ121" s="41"/>
      <c r="UR121" s="41"/>
      <c r="US121" s="41"/>
      <c r="UT121" s="41"/>
      <c r="UU121" s="41"/>
      <c r="UV121" s="41"/>
      <c r="UW121" s="41"/>
      <c r="UX121" s="41"/>
      <c r="UY121" s="41"/>
      <c r="UZ121" s="41"/>
      <c r="VA121" s="41"/>
      <c r="VB121" s="41"/>
      <c r="VC121" s="41"/>
      <c r="VD121" s="41"/>
      <c r="VE121" s="41"/>
      <c r="VF121" s="41"/>
      <c r="VG121" s="41"/>
      <c r="VH121" s="41"/>
      <c r="VI121" s="41"/>
      <c r="VJ121" s="41"/>
      <c r="VK121" s="41"/>
      <c r="VL121" s="41"/>
      <c r="VM121" s="41"/>
      <c r="VN121" s="41"/>
      <c r="VO121" s="41"/>
      <c r="VP121" s="41"/>
      <c r="VQ121" s="41"/>
      <c r="VR121" s="41"/>
      <c r="VS121" s="41"/>
      <c r="VT121" s="41"/>
      <c r="VU121" s="41"/>
      <c r="VV121" s="41"/>
      <c r="VW121" s="41"/>
      <c r="VX121" s="41"/>
      <c r="VY121" s="41"/>
      <c r="VZ121" s="41"/>
      <c r="WA121" s="41"/>
      <c r="WB121" s="41"/>
      <c r="WC121" s="41"/>
      <c r="WD121" s="41"/>
      <c r="WE121" s="41"/>
      <c r="WF121" s="41"/>
      <c r="WG121" s="41"/>
      <c r="WH121" s="41"/>
      <c r="WI121" s="41"/>
      <c r="WJ121" s="41"/>
      <c r="WK121" s="41"/>
      <c r="WL121" s="41"/>
      <c r="WM121" s="41"/>
      <c r="WN121" s="41"/>
      <c r="WO121" s="41"/>
      <c r="WP121" s="41"/>
      <c r="WQ121" s="41"/>
      <c r="WR121" s="41"/>
      <c r="WS121" s="41"/>
      <c r="WT121" s="41"/>
      <c r="WU121" s="41"/>
      <c r="WV121" s="41"/>
      <c r="WW121" s="41"/>
      <c r="WX121" s="41"/>
      <c r="WY121" s="41"/>
      <c r="WZ121" s="41"/>
      <c r="XA121" s="41"/>
      <c r="XB121" s="41"/>
      <c r="XC121" s="41"/>
      <c r="XD121" s="41"/>
      <c r="XE121" s="41"/>
      <c r="XF121" s="41"/>
      <c r="XG121" s="41"/>
      <c r="XH121" s="41"/>
      <c r="XI121" s="41"/>
      <c r="XJ121" s="41"/>
      <c r="XK121" s="41"/>
      <c r="XL121" s="41"/>
      <c r="XM121" s="41"/>
      <c r="XN121" s="41"/>
      <c r="XO121" s="41"/>
      <c r="XP121" s="41"/>
      <c r="XQ121" s="41"/>
      <c r="XR121" s="41"/>
      <c r="XS121" s="41"/>
      <c r="XT121" s="41"/>
      <c r="XU121" s="41"/>
      <c r="XV121" s="41"/>
      <c r="XW121" s="41"/>
      <c r="XX121" s="41"/>
      <c r="XY121" s="41"/>
      <c r="XZ121" s="41"/>
      <c r="YA121" s="41"/>
      <c r="YB121" s="41"/>
      <c r="YC121" s="41"/>
      <c r="YD121" s="41"/>
      <c r="YE121" s="41"/>
      <c r="YF121" s="41"/>
      <c r="YG121" s="41"/>
      <c r="YH121" s="41"/>
      <c r="YI121" s="41"/>
      <c r="YJ121" s="41"/>
      <c r="YK121" s="41"/>
      <c r="YL121" s="41"/>
      <c r="YM121" s="41"/>
      <c r="YN121" s="41"/>
      <c r="YO121" s="41"/>
      <c r="YP121" s="41"/>
      <c r="YQ121" s="41"/>
      <c r="YR121" s="41"/>
      <c r="YS121" s="41"/>
      <c r="YT121" s="41"/>
      <c r="YU121" s="41"/>
      <c r="YV121" s="41"/>
      <c r="YW121" s="41"/>
      <c r="YX121" s="41"/>
      <c r="YY121" s="41"/>
      <c r="YZ121" s="41"/>
      <c r="ZA121" s="41"/>
      <c r="ZB121" s="41"/>
      <c r="ZC121" s="41"/>
      <c r="ZD121" s="41"/>
      <c r="ZE121" s="41"/>
      <c r="ZF121" s="41"/>
      <c r="ZG121" s="41"/>
      <c r="ZH121" s="41"/>
      <c r="ZI121" s="41"/>
      <c r="ZJ121" s="41"/>
      <c r="ZK121" s="41"/>
      <c r="ZL121" s="41"/>
      <c r="ZM121" s="41"/>
      <c r="ZN121" s="41"/>
      <c r="ZO121" s="41"/>
      <c r="ZP121" s="41"/>
      <c r="ZQ121" s="41"/>
      <c r="ZR121" s="41"/>
      <c r="ZS121" s="41"/>
      <c r="ZT121" s="41"/>
      <c r="ZU121" s="41"/>
      <c r="ZV121" s="41"/>
      <c r="ZW121" s="41"/>
      <c r="ZX121" s="41"/>
      <c r="ZY121" s="41"/>
      <c r="ZZ121" s="41"/>
      <c r="AAA121" s="41"/>
      <c r="AAB121" s="41"/>
      <c r="AAC121" s="41"/>
    </row>
    <row r="122" spans="1:705" s="42" customFormat="1" ht="44.1" hidden="1" customHeight="1" x14ac:dyDescent="0.3">
      <c r="A122" s="26">
        <v>118</v>
      </c>
      <c r="B122" s="137">
        <v>240150</v>
      </c>
      <c r="C122" s="138">
        <v>118</v>
      </c>
      <c r="D122" s="139">
        <v>45929</v>
      </c>
      <c r="E122" s="139">
        <f t="shared" si="18"/>
        <v>45928</v>
      </c>
      <c r="F122" s="139">
        <f t="shared" si="15"/>
        <v>45939</v>
      </c>
      <c r="G122" s="139">
        <v>46020</v>
      </c>
      <c r="H122" s="139">
        <v>46013</v>
      </c>
      <c r="I122" s="139" t="s">
        <v>321</v>
      </c>
      <c r="J122" s="140" t="s">
        <v>330</v>
      </c>
      <c r="K122" s="141">
        <f t="shared" si="19"/>
        <v>74</v>
      </c>
      <c r="L122" s="141">
        <v>1148995</v>
      </c>
      <c r="M122" s="140" t="s">
        <v>15</v>
      </c>
      <c r="N122" s="140">
        <v>804717</v>
      </c>
      <c r="O122" s="137" t="s">
        <v>246</v>
      </c>
      <c r="P122" s="143">
        <v>45957</v>
      </c>
      <c r="Q122" s="143">
        <v>46121</v>
      </c>
      <c r="R122" s="157" t="s">
        <v>211</v>
      </c>
      <c r="S122" s="144" t="s">
        <v>331</v>
      </c>
      <c r="T122" s="145">
        <v>1</v>
      </c>
      <c r="U122" s="137" t="s">
        <v>186</v>
      </c>
      <c r="V122" s="146">
        <v>488</v>
      </c>
      <c r="W122" s="146">
        <v>488</v>
      </c>
      <c r="X122" s="147"/>
      <c r="Y122" s="146"/>
      <c r="Z122" s="146">
        <v>0</v>
      </c>
      <c r="AA122" s="146">
        <v>0</v>
      </c>
      <c r="AB122" s="146">
        <v>275</v>
      </c>
      <c r="AC122" s="146">
        <v>275</v>
      </c>
      <c r="AD122" s="146">
        <v>0</v>
      </c>
      <c r="AE122" s="146">
        <v>0</v>
      </c>
      <c r="AF122" s="146">
        <v>0</v>
      </c>
      <c r="AG122" s="146">
        <v>0</v>
      </c>
      <c r="AH122" s="146">
        <v>0</v>
      </c>
      <c r="AI122" s="146">
        <v>0</v>
      </c>
      <c r="AJ122" s="146">
        <v>0</v>
      </c>
      <c r="AK122" s="146"/>
      <c r="AL122" s="146">
        <v>4</v>
      </c>
      <c r="AM122" s="146">
        <v>4</v>
      </c>
      <c r="AN122" s="146">
        <v>3</v>
      </c>
      <c r="AO122" s="146">
        <v>3</v>
      </c>
      <c r="AP122" s="146">
        <v>0</v>
      </c>
      <c r="AQ122" s="146">
        <v>0</v>
      </c>
      <c r="AR122" s="146">
        <v>0</v>
      </c>
      <c r="AS122" s="146">
        <v>0</v>
      </c>
      <c r="AT122" s="146">
        <v>0</v>
      </c>
      <c r="AU122" s="146">
        <v>0</v>
      </c>
      <c r="AV122" s="146">
        <v>0</v>
      </c>
      <c r="AW122" s="146">
        <v>0</v>
      </c>
      <c r="AX122" s="146">
        <f t="shared" si="21"/>
        <v>47495</v>
      </c>
      <c r="AY122" s="146">
        <f t="shared" si="20"/>
        <v>47495</v>
      </c>
      <c r="AZ122" s="137" t="s">
        <v>562</v>
      </c>
      <c r="BA122" s="137" t="s">
        <v>562</v>
      </c>
      <c r="BB122" s="137">
        <v>6</v>
      </c>
      <c r="BC122" s="148">
        <v>118</v>
      </c>
      <c r="BD122" s="149"/>
      <c r="BE122" s="145"/>
      <c r="BF122" s="150"/>
      <c r="BG122" s="151">
        <v>45992</v>
      </c>
      <c r="BH122" s="153" t="s">
        <v>15</v>
      </c>
      <c r="BI122" s="153" t="s">
        <v>562</v>
      </c>
      <c r="CC122" s="41"/>
      <c r="CD122" s="41"/>
      <c r="CE122" s="41"/>
      <c r="CF122" s="41"/>
      <c r="CG122" s="41"/>
      <c r="CH122" s="41"/>
      <c r="CI122" s="41"/>
      <c r="CJ122" s="41"/>
      <c r="CK122" s="41"/>
      <c r="CL122" s="41"/>
      <c r="CM122" s="41"/>
      <c r="CN122" s="41"/>
      <c r="CO122" s="41"/>
      <c r="CP122" s="41"/>
      <c r="CQ122" s="41"/>
      <c r="CR122" s="41"/>
      <c r="CS122" s="41"/>
      <c r="CT122" s="41"/>
      <c r="CU122" s="41"/>
      <c r="CV122" s="41"/>
      <c r="CW122" s="41"/>
      <c r="CX122" s="41"/>
      <c r="CY122" s="41"/>
      <c r="CZ122" s="41"/>
      <c r="DA122" s="41"/>
      <c r="DB122" s="41"/>
      <c r="DC122" s="41"/>
      <c r="DD122" s="41"/>
      <c r="DE122" s="41"/>
      <c r="DF122" s="41"/>
      <c r="DG122" s="41"/>
      <c r="DH122" s="41"/>
      <c r="DI122" s="41"/>
      <c r="DJ122" s="41"/>
      <c r="DK122" s="41"/>
      <c r="DL122" s="41"/>
      <c r="DM122" s="41"/>
      <c r="DN122" s="41"/>
      <c r="DO122" s="41"/>
      <c r="DP122" s="41"/>
      <c r="DQ122" s="41"/>
      <c r="DR122" s="41"/>
      <c r="DS122" s="41"/>
      <c r="DT122" s="41"/>
      <c r="DU122" s="41"/>
      <c r="DV122" s="41"/>
      <c r="DW122" s="41"/>
      <c r="DX122" s="41"/>
      <c r="DY122" s="41"/>
      <c r="DZ122" s="41"/>
      <c r="EA122" s="41"/>
      <c r="EB122" s="41"/>
      <c r="EC122" s="41"/>
      <c r="ED122" s="41"/>
      <c r="EE122" s="41"/>
      <c r="EF122" s="41"/>
      <c r="EG122" s="41"/>
      <c r="EH122" s="41"/>
      <c r="EI122" s="41"/>
      <c r="EJ122" s="41"/>
      <c r="EK122" s="41"/>
      <c r="EL122" s="41"/>
      <c r="EM122" s="41"/>
      <c r="EN122" s="41"/>
      <c r="EO122" s="41"/>
      <c r="EP122" s="41"/>
      <c r="EQ122" s="41"/>
      <c r="ER122" s="41"/>
      <c r="ES122" s="41"/>
      <c r="ET122" s="41"/>
      <c r="EU122" s="41"/>
      <c r="EV122" s="41"/>
      <c r="EW122" s="41"/>
      <c r="EX122" s="41"/>
      <c r="EY122" s="41"/>
      <c r="EZ122" s="41"/>
      <c r="FA122" s="41"/>
      <c r="FB122" s="41"/>
      <c r="FC122" s="41"/>
      <c r="FD122" s="41"/>
      <c r="FE122" s="41"/>
      <c r="FF122" s="41"/>
      <c r="FG122" s="41"/>
      <c r="FH122" s="41"/>
      <c r="FI122" s="41"/>
      <c r="FJ122" s="41"/>
      <c r="FK122" s="41"/>
      <c r="FL122" s="41"/>
      <c r="FM122" s="41"/>
      <c r="FN122" s="41"/>
      <c r="FO122" s="41"/>
      <c r="FP122" s="41"/>
      <c r="FQ122" s="41"/>
      <c r="FR122" s="41"/>
      <c r="FS122" s="41"/>
      <c r="FT122" s="41"/>
      <c r="FU122" s="41"/>
      <c r="FV122" s="41"/>
      <c r="FW122" s="41"/>
      <c r="FX122" s="41"/>
      <c r="FY122" s="41"/>
      <c r="FZ122" s="41"/>
      <c r="GA122" s="41"/>
      <c r="GB122" s="41"/>
      <c r="GC122" s="41"/>
      <c r="GD122" s="41"/>
      <c r="GE122" s="41"/>
      <c r="GF122" s="41"/>
      <c r="GG122" s="41"/>
      <c r="GH122" s="41"/>
      <c r="GI122" s="41"/>
      <c r="GJ122" s="41"/>
      <c r="GK122" s="41"/>
      <c r="GL122" s="41"/>
      <c r="GM122" s="41"/>
      <c r="GN122" s="41"/>
      <c r="GO122" s="41"/>
      <c r="GP122" s="41"/>
      <c r="GQ122" s="41"/>
      <c r="GR122" s="41"/>
      <c r="GS122" s="41"/>
      <c r="GT122" s="41"/>
      <c r="GU122" s="41"/>
      <c r="GV122" s="41"/>
      <c r="GW122" s="41"/>
      <c r="GX122" s="41"/>
      <c r="GY122" s="41"/>
      <c r="GZ122" s="41"/>
      <c r="HA122" s="41"/>
      <c r="HB122" s="41"/>
      <c r="HC122" s="41"/>
      <c r="HD122" s="41"/>
      <c r="HE122" s="41"/>
      <c r="HF122" s="41"/>
      <c r="HG122" s="41"/>
      <c r="HH122" s="41"/>
      <c r="HI122" s="41"/>
      <c r="HJ122" s="41"/>
      <c r="HK122" s="41"/>
      <c r="HL122" s="41"/>
      <c r="HM122" s="41"/>
      <c r="HN122" s="41"/>
      <c r="HO122" s="41"/>
      <c r="HP122" s="41"/>
      <c r="HQ122" s="41"/>
      <c r="HR122" s="41"/>
      <c r="HS122" s="41"/>
      <c r="HT122" s="41"/>
      <c r="HU122" s="41"/>
      <c r="HV122" s="41"/>
      <c r="HW122" s="41"/>
      <c r="HX122" s="41"/>
      <c r="HY122" s="41"/>
      <c r="HZ122" s="41"/>
      <c r="IA122" s="41"/>
      <c r="IB122" s="41"/>
      <c r="IC122" s="41"/>
      <c r="ID122" s="41"/>
      <c r="IE122" s="41"/>
      <c r="IF122" s="41"/>
      <c r="IG122" s="41"/>
      <c r="IH122" s="41"/>
      <c r="II122" s="41"/>
      <c r="IJ122" s="41"/>
      <c r="IK122" s="41"/>
      <c r="IL122" s="41"/>
      <c r="IM122" s="41"/>
      <c r="IN122" s="41"/>
      <c r="IO122" s="41"/>
      <c r="IP122" s="41"/>
      <c r="IQ122" s="41"/>
      <c r="IR122" s="41"/>
      <c r="IS122" s="41"/>
      <c r="IT122" s="41"/>
      <c r="IU122" s="41"/>
      <c r="IV122" s="41"/>
      <c r="IW122" s="41"/>
      <c r="IX122" s="41"/>
      <c r="IY122" s="41"/>
      <c r="IZ122" s="41"/>
      <c r="JA122" s="41"/>
      <c r="JB122" s="41"/>
      <c r="JC122" s="41"/>
      <c r="JD122" s="41"/>
      <c r="JE122" s="41"/>
      <c r="JF122" s="41"/>
      <c r="JG122" s="41"/>
      <c r="JH122" s="41"/>
      <c r="JI122" s="41"/>
      <c r="JJ122" s="41"/>
      <c r="JK122" s="41"/>
      <c r="JL122" s="41"/>
      <c r="JM122" s="41"/>
      <c r="JN122" s="41"/>
      <c r="JO122" s="41"/>
      <c r="JP122" s="41"/>
      <c r="JQ122" s="41"/>
      <c r="JR122" s="41"/>
      <c r="JS122" s="41"/>
      <c r="JT122" s="41"/>
      <c r="JU122" s="41"/>
      <c r="JV122" s="41"/>
      <c r="JW122" s="41"/>
      <c r="JX122" s="41"/>
      <c r="JY122" s="41"/>
      <c r="JZ122" s="41"/>
      <c r="KA122" s="41"/>
      <c r="KB122" s="41"/>
      <c r="KC122" s="41"/>
      <c r="KD122" s="41"/>
      <c r="KE122" s="41"/>
      <c r="KF122" s="41"/>
      <c r="KG122" s="41"/>
      <c r="KH122" s="41"/>
      <c r="KI122" s="41"/>
      <c r="KJ122" s="41"/>
      <c r="KK122" s="41"/>
      <c r="KL122" s="41"/>
      <c r="KM122" s="41"/>
      <c r="KN122" s="41"/>
      <c r="KO122" s="41"/>
      <c r="KP122" s="41"/>
      <c r="KQ122" s="41"/>
      <c r="KR122" s="41"/>
      <c r="KS122" s="41"/>
      <c r="KT122" s="41"/>
      <c r="KU122" s="41"/>
      <c r="KV122" s="41"/>
      <c r="KW122" s="41"/>
      <c r="KX122" s="41"/>
      <c r="KY122" s="41"/>
      <c r="KZ122" s="41"/>
      <c r="LA122" s="41"/>
      <c r="LB122" s="41"/>
      <c r="LC122" s="41"/>
      <c r="LD122" s="41"/>
      <c r="LE122" s="41"/>
      <c r="LF122" s="41"/>
      <c r="LG122" s="41"/>
      <c r="LH122" s="41"/>
      <c r="LI122" s="41"/>
      <c r="LJ122" s="41"/>
      <c r="LK122" s="41"/>
      <c r="LL122" s="41"/>
      <c r="LM122" s="41"/>
      <c r="LN122" s="41"/>
      <c r="LO122" s="41"/>
      <c r="LP122" s="41"/>
      <c r="LQ122" s="41"/>
      <c r="LR122" s="41"/>
      <c r="LS122" s="41"/>
      <c r="LT122" s="41"/>
      <c r="LU122" s="41"/>
      <c r="LV122" s="41"/>
      <c r="LW122" s="41"/>
      <c r="LX122" s="41"/>
      <c r="LY122" s="41"/>
      <c r="LZ122" s="41"/>
      <c r="MA122" s="41"/>
      <c r="MB122" s="41"/>
      <c r="MC122" s="41"/>
      <c r="MD122" s="41"/>
      <c r="ME122" s="41"/>
      <c r="MF122" s="41"/>
      <c r="MG122" s="41"/>
      <c r="MH122" s="41"/>
      <c r="MI122" s="41"/>
      <c r="MJ122" s="41"/>
      <c r="MK122" s="41"/>
      <c r="ML122" s="41"/>
      <c r="MM122" s="41"/>
      <c r="MN122" s="41"/>
      <c r="MO122" s="41"/>
      <c r="MP122" s="41"/>
      <c r="MQ122" s="41"/>
      <c r="MR122" s="41"/>
      <c r="MS122" s="41"/>
      <c r="MT122" s="41"/>
      <c r="MU122" s="41"/>
      <c r="MV122" s="41"/>
      <c r="MW122" s="41"/>
      <c r="MX122" s="41"/>
      <c r="MY122" s="41"/>
      <c r="MZ122" s="41"/>
      <c r="NA122" s="41"/>
      <c r="NB122" s="41"/>
      <c r="NC122" s="41"/>
      <c r="ND122" s="41"/>
      <c r="NE122" s="41"/>
      <c r="NF122" s="41"/>
      <c r="NG122" s="41"/>
      <c r="NH122" s="41"/>
      <c r="NI122" s="41"/>
      <c r="NJ122" s="41"/>
      <c r="NK122" s="41"/>
      <c r="NL122" s="41"/>
      <c r="NM122" s="41"/>
      <c r="NN122" s="41"/>
      <c r="NO122" s="41"/>
      <c r="NP122" s="41"/>
      <c r="NQ122" s="41"/>
      <c r="NR122" s="41"/>
      <c r="NS122" s="41"/>
      <c r="NT122" s="41"/>
      <c r="NU122" s="41"/>
      <c r="NV122" s="41"/>
      <c r="NW122" s="41"/>
      <c r="NX122" s="41"/>
      <c r="NY122" s="41"/>
      <c r="NZ122" s="41"/>
      <c r="OA122" s="41"/>
      <c r="OB122" s="41"/>
      <c r="OC122" s="41"/>
      <c r="OD122" s="41"/>
      <c r="OE122" s="41"/>
      <c r="OF122" s="41"/>
      <c r="OG122" s="41"/>
      <c r="OH122" s="41"/>
      <c r="OI122" s="41"/>
      <c r="OJ122" s="41"/>
      <c r="OK122" s="41"/>
      <c r="OL122" s="41"/>
      <c r="OM122" s="41"/>
      <c r="ON122" s="41"/>
      <c r="OO122" s="41"/>
      <c r="OP122" s="41"/>
      <c r="OQ122" s="41"/>
      <c r="OR122" s="41"/>
      <c r="OS122" s="41"/>
      <c r="OT122" s="41"/>
      <c r="OU122" s="41"/>
      <c r="OV122" s="41"/>
      <c r="OW122" s="41"/>
      <c r="OX122" s="41"/>
      <c r="OY122" s="41"/>
      <c r="OZ122" s="41"/>
      <c r="PA122" s="41"/>
      <c r="PB122" s="41"/>
      <c r="PC122" s="41"/>
      <c r="PD122" s="41"/>
      <c r="PE122" s="41"/>
      <c r="PF122" s="41"/>
      <c r="PG122" s="41"/>
      <c r="PH122" s="41"/>
      <c r="PI122" s="41"/>
      <c r="PJ122" s="41"/>
      <c r="PK122" s="41"/>
      <c r="PL122" s="41"/>
      <c r="PM122" s="41"/>
      <c r="PN122" s="41"/>
      <c r="PO122" s="41"/>
      <c r="PP122" s="41"/>
      <c r="PQ122" s="41"/>
      <c r="PR122" s="41"/>
      <c r="PS122" s="41"/>
      <c r="PT122" s="41"/>
      <c r="PU122" s="41"/>
      <c r="PV122" s="41"/>
      <c r="PW122" s="41"/>
      <c r="PX122" s="41"/>
      <c r="PY122" s="41"/>
      <c r="PZ122" s="41"/>
      <c r="QA122" s="41"/>
      <c r="QB122" s="41"/>
      <c r="QC122" s="41"/>
      <c r="QD122" s="41"/>
      <c r="QE122" s="41"/>
      <c r="QF122" s="41"/>
      <c r="QG122" s="41"/>
      <c r="QH122" s="41"/>
      <c r="QI122" s="41"/>
      <c r="QJ122" s="41"/>
      <c r="QK122" s="41"/>
      <c r="QL122" s="41"/>
      <c r="QM122" s="41"/>
      <c r="QN122" s="41"/>
      <c r="QO122" s="41"/>
      <c r="QP122" s="41"/>
      <c r="QQ122" s="41"/>
      <c r="QR122" s="41"/>
      <c r="QS122" s="41"/>
      <c r="QT122" s="41"/>
      <c r="QU122" s="41"/>
      <c r="QV122" s="41"/>
      <c r="QW122" s="41"/>
      <c r="QX122" s="41"/>
      <c r="QY122" s="41"/>
      <c r="QZ122" s="41"/>
      <c r="RA122" s="41"/>
      <c r="RB122" s="41"/>
      <c r="RC122" s="41"/>
      <c r="RD122" s="41"/>
      <c r="RE122" s="41"/>
      <c r="RF122" s="41"/>
      <c r="RG122" s="41"/>
      <c r="RH122" s="41"/>
      <c r="RI122" s="41"/>
      <c r="RJ122" s="41"/>
      <c r="RK122" s="41"/>
      <c r="RL122" s="41"/>
      <c r="RM122" s="41"/>
      <c r="RN122" s="41"/>
      <c r="RO122" s="41"/>
      <c r="RP122" s="41"/>
      <c r="RQ122" s="41"/>
      <c r="RR122" s="41"/>
      <c r="RS122" s="41"/>
      <c r="RT122" s="41"/>
      <c r="RU122" s="41"/>
      <c r="RV122" s="41"/>
      <c r="RW122" s="41"/>
      <c r="RX122" s="41"/>
      <c r="RY122" s="41"/>
      <c r="RZ122" s="41"/>
      <c r="SA122" s="41"/>
      <c r="SB122" s="41"/>
      <c r="SC122" s="41"/>
      <c r="SD122" s="41"/>
      <c r="SE122" s="41"/>
      <c r="SF122" s="41"/>
      <c r="SG122" s="41"/>
      <c r="SH122" s="41"/>
      <c r="SI122" s="41"/>
      <c r="SJ122" s="41"/>
      <c r="SK122" s="41"/>
      <c r="SL122" s="41"/>
      <c r="SM122" s="41"/>
      <c r="SN122" s="41"/>
      <c r="SO122" s="41"/>
      <c r="SP122" s="41"/>
      <c r="SQ122" s="41"/>
      <c r="SR122" s="41"/>
      <c r="SS122" s="41"/>
      <c r="ST122" s="41"/>
      <c r="SU122" s="41"/>
      <c r="SV122" s="41"/>
      <c r="SW122" s="41"/>
      <c r="SX122" s="41"/>
      <c r="SY122" s="41"/>
      <c r="SZ122" s="41"/>
      <c r="TA122" s="41"/>
      <c r="TB122" s="41"/>
      <c r="TC122" s="41"/>
      <c r="TD122" s="41"/>
      <c r="TE122" s="41"/>
      <c r="TF122" s="41"/>
      <c r="TG122" s="41"/>
      <c r="TH122" s="41"/>
      <c r="TI122" s="41"/>
      <c r="TJ122" s="41"/>
      <c r="TK122" s="41"/>
      <c r="TL122" s="41"/>
      <c r="TM122" s="41"/>
      <c r="TN122" s="41"/>
      <c r="TO122" s="41"/>
      <c r="TP122" s="41"/>
      <c r="TQ122" s="41"/>
      <c r="TR122" s="41"/>
      <c r="TS122" s="41"/>
      <c r="TT122" s="41"/>
      <c r="TU122" s="41"/>
      <c r="TV122" s="41"/>
      <c r="TW122" s="41"/>
      <c r="TX122" s="41"/>
      <c r="TY122" s="41"/>
      <c r="TZ122" s="41"/>
      <c r="UA122" s="41"/>
      <c r="UB122" s="41"/>
      <c r="UC122" s="41"/>
      <c r="UD122" s="41"/>
      <c r="UE122" s="41"/>
      <c r="UF122" s="41"/>
      <c r="UG122" s="41"/>
      <c r="UH122" s="41"/>
      <c r="UI122" s="41"/>
      <c r="UJ122" s="41"/>
      <c r="UK122" s="41"/>
      <c r="UL122" s="41"/>
      <c r="UM122" s="41"/>
      <c r="UN122" s="41"/>
      <c r="UO122" s="41"/>
      <c r="UP122" s="41"/>
      <c r="UQ122" s="41"/>
      <c r="UR122" s="41"/>
      <c r="US122" s="41"/>
      <c r="UT122" s="41"/>
      <c r="UU122" s="41"/>
      <c r="UV122" s="41"/>
      <c r="UW122" s="41"/>
      <c r="UX122" s="41"/>
      <c r="UY122" s="41"/>
      <c r="UZ122" s="41"/>
      <c r="VA122" s="41"/>
      <c r="VB122" s="41"/>
      <c r="VC122" s="41"/>
      <c r="VD122" s="41"/>
      <c r="VE122" s="41"/>
      <c r="VF122" s="41"/>
      <c r="VG122" s="41"/>
      <c r="VH122" s="41"/>
      <c r="VI122" s="41"/>
      <c r="VJ122" s="41"/>
      <c r="VK122" s="41"/>
      <c r="VL122" s="41"/>
      <c r="VM122" s="41"/>
      <c r="VN122" s="41"/>
      <c r="VO122" s="41"/>
      <c r="VP122" s="41"/>
      <c r="VQ122" s="41"/>
      <c r="VR122" s="41"/>
      <c r="VS122" s="41"/>
      <c r="VT122" s="41"/>
      <c r="VU122" s="41"/>
      <c r="VV122" s="41"/>
      <c r="VW122" s="41"/>
      <c r="VX122" s="41"/>
      <c r="VY122" s="41"/>
      <c r="VZ122" s="41"/>
      <c r="WA122" s="41"/>
      <c r="WB122" s="41"/>
      <c r="WC122" s="41"/>
      <c r="WD122" s="41"/>
      <c r="WE122" s="41"/>
      <c r="WF122" s="41"/>
      <c r="WG122" s="41"/>
      <c r="WH122" s="41"/>
      <c r="WI122" s="41"/>
      <c r="WJ122" s="41"/>
      <c r="WK122" s="41"/>
      <c r="WL122" s="41"/>
      <c r="WM122" s="41"/>
      <c r="WN122" s="41"/>
      <c r="WO122" s="41"/>
      <c r="WP122" s="41"/>
      <c r="WQ122" s="41"/>
      <c r="WR122" s="41"/>
      <c r="WS122" s="41"/>
      <c r="WT122" s="41"/>
      <c r="WU122" s="41"/>
      <c r="WV122" s="41"/>
      <c r="WW122" s="41"/>
      <c r="WX122" s="41"/>
      <c r="WY122" s="41"/>
      <c r="WZ122" s="41"/>
      <c r="XA122" s="41"/>
      <c r="XB122" s="41"/>
      <c r="XC122" s="41"/>
      <c r="XD122" s="41"/>
      <c r="XE122" s="41"/>
      <c r="XF122" s="41"/>
      <c r="XG122" s="41"/>
      <c r="XH122" s="41"/>
      <c r="XI122" s="41"/>
      <c r="XJ122" s="41"/>
      <c r="XK122" s="41"/>
      <c r="XL122" s="41"/>
      <c r="XM122" s="41"/>
      <c r="XN122" s="41"/>
      <c r="XO122" s="41"/>
      <c r="XP122" s="41"/>
      <c r="XQ122" s="41"/>
      <c r="XR122" s="41"/>
      <c r="XS122" s="41"/>
      <c r="XT122" s="41"/>
      <c r="XU122" s="41"/>
      <c r="XV122" s="41"/>
      <c r="XW122" s="41"/>
      <c r="XX122" s="41"/>
      <c r="XY122" s="41"/>
      <c r="XZ122" s="41"/>
      <c r="YA122" s="41"/>
      <c r="YB122" s="41"/>
      <c r="YC122" s="41"/>
      <c r="YD122" s="41"/>
      <c r="YE122" s="41"/>
      <c r="YF122" s="41"/>
      <c r="YG122" s="41"/>
      <c r="YH122" s="41"/>
      <c r="YI122" s="41"/>
      <c r="YJ122" s="41"/>
      <c r="YK122" s="41"/>
      <c r="YL122" s="41"/>
      <c r="YM122" s="41"/>
      <c r="YN122" s="41"/>
      <c r="YO122" s="41"/>
      <c r="YP122" s="41"/>
      <c r="YQ122" s="41"/>
      <c r="YR122" s="41"/>
      <c r="YS122" s="41"/>
      <c r="YT122" s="41"/>
      <c r="YU122" s="41"/>
      <c r="YV122" s="41"/>
      <c r="YW122" s="41"/>
      <c r="YX122" s="41"/>
      <c r="YY122" s="41"/>
      <c r="YZ122" s="41"/>
      <c r="ZA122" s="41"/>
      <c r="ZB122" s="41"/>
      <c r="ZC122" s="41"/>
      <c r="ZD122" s="41"/>
      <c r="ZE122" s="41"/>
      <c r="ZF122" s="41"/>
      <c r="ZG122" s="41"/>
      <c r="ZH122" s="41"/>
      <c r="ZI122" s="41"/>
      <c r="ZJ122" s="41"/>
      <c r="ZK122" s="41"/>
      <c r="ZL122" s="41"/>
      <c r="ZM122" s="41"/>
      <c r="ZN122" s="41"/>
      <c r="ZO122" s="41"/>
      <c r="ZP122" s="41"/>
      <c r="ZQ122" s="41"/>
      <c r="ZR122" s="41"/>
      <c r="ZS122" s="41"/>
      <c r="ZT122" s="41"/>
      <c r="ZU122" s="41"/>
      <c r="ZV122" s="41"/>
      <c r="ZW122" s="41"/>
      <c r="ZX122" s="41"/>
      <c r="ZY122" s="41"/>
      <c r="ZZ122" s="41"/>
      <c r="AAA122" s="41"/>
      <c r="AAB122" s="41"/>
      <c r="AAC122" s="41"/>
    </row>
    <row r="123" spans="1:705" s="42" customFormat="1" ht="44.1" hidden="1" customHeight="1" x14ac:dyDescent="0.3">
      <c r="A123" s="26">
        <v>119</v>
      </c>
      <c r="B123" s="137">
        <v>240170</v>
      </c>
      <c r="C123" s="138">
        <v>119</v>
      </c>
      <c r="D123" s="139">
        <v>45930</v>
      </c>
      <c r="E123" s="139">
        <f t="shared" si="18"/>
        <v>45929</v>
      </c>
      <c r="F123" s="139">
        <f t="shared" si="15"/>
        <v>45940</v>
      </c>
      <c r="G123" s="139">
        <v>45940</v>
      </c>
      <c r="H123" s="139">
        <v>45979</v>
      </c>
      <c r="I123" s="139" t="s">
        <v>75</v>
      </c>
      <c r="J123" s="140" t="s">
        <v>333</v>
      </c>
      <c r="K123" s="141">
        <f t="shared" si="19"/>
        <v>39</v>
      </c>
      <c r="L123" s="141">
        <v>1149368</v>
      </c>
      <c r="M123" s="140" t="s">
        <v>15</v>
      </c>
      <c r="N123" s="140">
        <v>804985</v>
      </c>
      <c r="O123" s="137" t="s">
        <v>246</v>
      </c>
      <c r="P123" s="143">
        <v>45949</v>
      </c>
      <c r="Q123" s="143">
        <v>46121</v>
      </c>
      <c r="R123" s="157" t="s">
        <v>211</v>
      </c>
      <c r="S123" s="144" t="s">
        <v>334</v>
      </c>
      <c r="T123" s="145">
        <v>1</v>
      </c>
      <c r="U123" s="137" t="s">
        <v>82</v>
      </c>
      <c r="V123" s="146">
        <v>10</v>
      </c>
      <c r="W123" s="146">
        <v>10</v>
      </c>
      <c r="X123" s="147">
        <v>0</v>
      </c>
      <c r="Y123" s="146">
        <v>0</v>
      </c>
      <c r="Z123" s="146">
        <v>0</v>
      </c>
      <c r="AA123" s="146">
        <v>0</v>
      </c>
      <c r="AB123" s="146">
        <v>6</v>
      </c>
      <c r="AC123" s="146">
        <v>6</v>
      </c>
      <c r="AD123" s="146">
        <v>0</v>
      </c>
      <c r="AE123" s="146">
        <v>0</v>
      </c>
      <c r="AF123" s="146">
        <v>0</v>
      </c>
      <c r="AG123" s="146">
        <v>0</v>
      </c>
      <c r="AH123" s="146">
        <v>1</v>
      </c>
      <c r="AI123" s="146">
        <v>1</v>
      </c>
      <c r="AJ123" s="146">
        <v>0</v>
      </c>
      <c r="AK123" s="146">
        <v>0</v>
      </c>
      <c r="AL123" s="146">
        <v>0</v>
      </c>
      <c r="AM123" s="146"/>
      <c r="AN123" s="146">
        <v>2</v>
      </c>
      <c r="AO123" s="146">
        <v>2</v>
      </c>
      <c r="AP123" s="146">
        <v>2</v>
      </c>
      <c r="AQ123" s="146">
        <v>2</v>
      </c>
      <c r="AR123" s="146">
        <v>0</v>
      </c>
      <c r="AS123" s="146">
        <v>0</v>
      </c>
      <c r="AT123" s="146">
        <v>0</v>
      </c>
      <c r="AU123" s="146"/>
      <c r="AV123" s="146">
        <v>1</v>
      </c>
      <c r="AW123" s="146">
        <v>1</v>
      </c>
      <c r="AX123" s="146">
        <f t="shared" si="21"/>
        <v>3442</v>
      </c>
      <c r="AY123" s="146">
        <f t="shared" si="20"/>
        <v>3442</v>
      </c>
      <c r="AZ123" s="140" t="s">
        <v>562</v>
      </c>
      <c r="BA123" s="137" t="s">
        <v>562</v>
      </c>
      <c r="BB123" s="137">
        <v>4</v>
      </c>
      <c r="BC123" s="148">
        <v>119</v>
      </c>
      <c r="BD123" s="149"/>
      <c r="BE123" s="145"/>
      <c r="BF123" s="150"/>
      <c r="BG123" s="151">
        <v>45962</v>
      </c>
      <c r="BH123" s="153" t="s">
        <v>535</v>
      </c>
      <c r="BI123" s="153" t="s">
        <v>562</v>
      </c>
      <c r="CC123" s="41"/>
      <c r="CD123" s="41"/>
      <c r="CE123" s="41"/>
      <c r="CF123" s="41"/>
      <c r="CG123" s="41"/>
      <c r="CH123" s="41"/>
      <c r="CI123" s="41"/>
      <c r="CJ123" s="41"/>
      <c r="CK123" s="41"/>
      <c r="CL123" s="41"/>
      <c r="CM123" s="41"/>
      <c r="CN123" s="41"/>
      <c r="CO123" s="41"/>
      <c r="CP123" s="41"/>
      <c r="CQ123" s="41"/>
      <c r="CR123" s="41"/>
      <c r="CS123" s="41"/>
      <c r="CT123" s="41"/>
      <c r="CU123" s="41"/>
      <c r="CV123" s="41"/>
      <c r="CW123" s="41"/>
      <c r="CX123" s="41"/>
      <c r="CY123" s="41"/>
      <c r="CZ123" s="41"/>
      <c r="DA123" s="41"/>
      <c r="DB123" s="41"/>
      <c r="DC123" s="41"/>
      <c r="DD123" s="41"/>
      <c r="DE123" s="41"/>
      <c r="DF123" s="41"/>
      <c r="DG123" s="41"/>
      <c r="DH123" s="41"/>
      <c r="DI123" s="41"/>
      <c r="DJ123" s="41"/>
      <c r="DK123" s="41"/>
      <c r="DL123" s="41"/>
      <c r="DM123" s="41"/>
      <c r="DN123" s="41"/>
      <c r="DO123" s="41"/>
      <c r="DP123" s="41"/>
      <c r="DQ123" s="41"/>
      <c r="DR123" s="41"/>
      <c r="DS123" s="41"/>
      <c r="DT123" s="41"/>
      <c r="DU123" s="41"/>
      <c r="DV123" s="41"/>
      <c r="DW123" s="41"/>
      <c r="DX123" s="41"/>
      <c r="DY123" s="41"/>
      <c r="DZ123" s="41"/>
      <c r="EA123" s="41"/>
      <c r="EB123" s="41"/>
      <c r="EC123" s="41"/>
      <c r="ED123" s="41"/>
      <c r="EE123" s="41"/>
      <c r="EF123" s="41"/>
      <c r="EG123" s="41"/>
      <c r="EH123" s="41"/>
      <c r="EI123" s="41"/>
      <c r="EJ123" s="41"/>
      <c r="EK123" s="41"/>
      <c r="EL123" s="41"/>
      <c r="EM123" s="41"/>
      <c r="EN123" s="41"/>
      <c r="EO123" s="41"/>
      <c r="EP123" s="41"/>
      <c r="EQ123" s="41"/>
      <c r="ER123" s="41"/>
      <c r="ES123" s="41"/>
      <c r="ET123" s="41"/>
      <c r="EU123" s="41"/>
      <c r="EV123" s="41"/>
      <c r="EW123" s="41"/>
      <c r="EX123" s="41"/>
      <c r="EY123" s="41"/>
      <c r="EZ123" s="41"/>
      <c r="FA123" s="41"/>
      <c r="FB123" s="41"/>
      <c r="FC123" s="41"/>
      <c r="FD123" s="41"/>
      <c r="FE123" s="41"/>
      <c r="FF123" s="41"/>
      <c r="FG123" s="41"/>
      <c r="FH123" s="41"/>
      <c r="FI123" s="41"/>
      <c r="FJ123" s="41"/>
      <c r="FK123" s="41"/>
      <c r="FL123" s="41"/>
      <c r="FM123" s="41"/>
      <c r="FN123" s="41"/>
      <c r="FO123" s="41"/>
      <c r="FP123" s="41"/>
      <c r="FQ123" s="41"/>
      <c r="FR123" s="41"/>
      <c r="FS123" s="41"/>
      <c r="FT123" s="41"/>
      <c r="FU123" s="41"/>
      <c r="FV123" s="41"/>
      <c r="FW123" s="41"/>
      <c r="FX123" s="41"/>
      <c r="FY123" s="41"/>
      <c r="FZ123" s="41"/>
      <c r="GA123" s="41"/>
      <c r="GB123" s="41"/>
      <c r="GC123" s="41"/>
      <c r="GD123" s="41"/>
      <c r="GE123" s="41"/>
      <c r="GF123" s="41"/>
      <c r="GG123" s="41"/>
      <c r="GH123" s="41"/>
      <c r="GI123" s="41"/>
      <c r="GJ123" s="41"/>
      <c r="GK123" s="41"/>
      <c r="GL123" s="41"/>
      <c r="GM123" s="41"/>
      <c r="GN123" s="41"/>
      <c r="GO123" s="41"/>
      <c r="GP123" s="41"/>
      <c r="GQ123" s="41"/>
      <c r="GR123" s="41"/>
      <c r="GS123" s="41"/>
      <c r="GT123" s="41"/>
      <c r="GU123" s="41"/>
      <c r="GV123" s="41"/>
      <c r="GW123" s="41"/>
      <c r="GX123" s="41"/>
      <c r="GY123" s="41"/>
      <c r="GZ123" s="41"/>
      <c r="HA123" s="41"/>
      <c r="HB123" s="41"/>
      <c r="HC123" s="41"/>
      <c r="HD123" s="41"/>
      <c r="HE123" s="41"/>
      <c r="HF123" s="41"/>
      <c r="HG123" s="41"/>
      <c r="HH123" s="41"/>
      <c r="HI123" s="41"/>
      <c r="HJ123" s="41"/>
      <c r="HK123" s="41"/>
      <c r="HL123" s="41"/>
      <c r="HM123" s="41"/>
      <c r="HN123" s="41"/>
      <c r="HO123" s="41"/>
      <c r="HP123" s="41"/>
      <c r="HQ123" s="41"/>
      <c r="HR123" s="41"/>
      <c r="HS123" s="41"/>
      <c r="HT123" s="41"/>
      <c r="HU123" s="41"/>
      <c r="HV123" s="41"/>
      <c r="HW123" s="41"/>
      <c r="HX123" s="41"/>
      <c r="HY123" s="41"/>
      <c r="HZ123" s="41"/>
      <c r="IA123" s="41"/>
      <c r="IB123" s="41"/>
      <c r="IC123" s="41"/>
      <c r="ID123" s="41"/>
      <c r="IE123" s="41"/>
      <c r="IF123" s="41"/>
      <c r="IG123" s="41"/>
      <c r="IH123" s="41"/>
      <c r="II123" s="41"/>
      <c r="IJ123" s="41"/>
      <c r="IK123" s="41"/>
      <c r="IL123" s="41"/>
      <c r="IM123" s="41"/>
      <c r="IN123" s="41"/>
      <c r="IO123" s="41"/>
      <c r="IP123" s="41"/>
      <c r="IQ123" s="41"/>
      <c r="IR123" s="41"/>
      <c r="IS123" s="41"/>
      <c r="IT123" s="41"/>
      <c r="IU123" s="41"/>
      <c r="IV123" s="41"/>
      <c r="IW123" s="41"/>
      <c r="IX123" s="41"/>
      <c r="IY123" s="41"/>
      <c r="IZ123" s="41"/>
      <c r="JA123" s="41"/>
      <c r="JB123" s="41"/>
      <c r="JC123" s="41"/>
      <c r="JD123" s="41"/>
      <c r="JE123" s="41"/>
      <c r="JF123" s="41"/>
      <c r="JG123" s="41"/>
      <c r="JH123" s="41"/>
      <c r="JI123" s="41"/>
      <c r="JJ123" s="41"/>
      <c r="JK123" s="41"/>
      <c r="JL123" s="41"/>
      <c r="JM123" s="41"/>
      <c r="JN123" s="41"/>
      <c r="JO123" s="41"/>
      <c r="JP123" s="41"/>
      <c r="JQ123" s="41"/>
      <c r="JR123" s="41"/>
      <c r="JS123" s="41"/>
      <c r="JT123" s="41"/>
      <c r="JU123" s="41"/>
      <c r="JV123" s="41"/>
      <c r="JW123" s="41"/>
      <c r="JX123" s="41"/>
      <c r="JY123" s="41"/>
      <c r="JZ123" s="41"/>
      <c r="KA123" s="41"/>
      <c r="KB123" s="41"/>
      <c r="KC123" s="41"/>
      <c r="KD123" s="41"/>
      <c r="KE123" s="41"/>
      <c r="KF123" s="41"/>
      <c r="KG123" s="41"/>
      <c r="KH123" s="41"/>
      <c r="KI123" s="41"/>
      <c r="KJ123" s="41"/>
      <c r="KK123" s="41"/>
      <c r="KL123" s="41"/>
      <c r="KM123" s="41"/>
      <c r="KN123" s="41"/>
      <c r="KO123" s="41"/>
      <c r="KP123" s="41"/>
      <c r="KQ123" s="41"/>
      <c r="KR123" s="41"/>
      <c r="KS123" s="41"/>
      <c r="KT123" s="41"/>
      <c r="KU123" s="41"/>
      <c r="KV123" s="41"/>
      <c r="KW123" s="41"/>
      <c r="KX123" s="41"/>
      <c r="KY123" s="41"/>
      <c r="KZ123" s="41"/>
      <c r="LA123" s="41"/>
      <c r="LB123" s="41"/>
      <c r="LC123" s="41"/>
      <c r="LD123" s="41"/>
      <c r="LE123" s="41"/>
      <c r="LF123" s="41"/>
      <c r="LG123" s="41"/>
      <c r="LH123" s="41"/>
      <c r="LI123" s="41"/>
      <c r="LJ123" s="41"/>
      <c r="LK123" s="41"/>
      <c r="LL123" s="41"/>
      <c r="LM123" s="41"/>
      <c r="LN123" s="41"/>
      <c r="LO123" s="41"/>
      <c r="LP123" s="41"/>
      <c r="LQ123" s="41"/>
      <c r="LR123" s="41"/>
      <c r="LS123" s="41"/>
      <c r="LT123" s="41"/>
      <c r="LU123" s="41"/>
      <c r="LV123" s="41"/>
      <c r="LW123" s="41"/>
      <c r="LX123" s="41"/>
      <c r="LY123" s="41"/>
      <c r="LZ123" s="41"/>
      <c r="MA123" s="41"/>
      <c r="MB123" s="41"/>
      <c r="MC123" s="41"/>
      <c r="MD123" s="41"/>
      <c r="ME123" s="41"/>
      <c r="MF123" s="41"/>
      <c r="MG123" s="41"/>
      <c r="MH123" s="41"/>
      <c r="MI123" s="41"/>
      <c r="MJ123" s="41"/>
      <c r="MK123" s="41"/>
      <c r="ML123" s="41"/>
      <c r="MM123" s="41"/>
      <c r="MN123" s="41"/>
      <c r="MO123" s="41"/>
      <c r="MP123" s="41"/>
      <c r="MQ123" s="41"/>
      <c r="MR123" s="41"/>
      <c r="MS123" s="41"/>
      <c r="MT123" s="41"/>
      <c r="MU123" s="41"/>
      <c r="MV123" s="41"/>
      <c r="MW123" s="41"/>
      <c r="MX123" s="41"/>
      <c r="MY123" s="41"/>
      <c r="MZ123" s="41"/>
      <c r="NA123" s="41"/>
      <c r="NB123" s="41"/>
      <c r="NC123" s="41"/>
      <c r="ND123" s="41"/>
      <c r="NE123" s="41"/>
      <c r="NF123" s="41"/>
      <c r="NG123" s="41"/>
      <c r="NH123" s="41"/>
      <c r="NI123" s="41"/>
      <c r="NJ123" s="41"/>
      <c r="NK123" s="41"/>
      <c r="NL123" s="41"/>
      <c r="NM123" s="41"/>
      <c r="NN123" s="41"/>
      <c r="NO123" s="41"/>
      <c r="NP123" s="41"/>
      <c r="NQ123" s="41"/>
      <c r="NR123" s="41"/>
      <c r="NS123" s="41"/>
      <c r="NT123" s="41"/>
      <c r="NU123" s="41"/>
      <c r="NV123" s="41"/>
      <c r="NW123" s="41"/>
      <c r="NX123" s="41"/>
      <c r="NY123" s="41"/>
      <c r="NZ123" s="41"/>
      <c r="OA123" s="41"/>
      <c r="OB123" s="41"/>
      <c r="OC123" s="41"/>
      <c r="OD123" s="41"/>
      <c r="OE123" s="41"/>
      <c r="OF123" s="41"/>
      <c r="OG123" s="41"/>
      <c r="OH123" s="41"/>
      <c r="OI123" s="41"/>
      <c r="OJ123" s="41"/>
      <c r="OK123" s="41"/>
      <c r="OL123" s="41"/>
      <c r="OM123" s="41"/>
      <c r="ON123" s="41"/>
      <c r="OO123" s="41"/>
      <c r="OP123" s="41"/>
      <c r="OQ123" s="41"/>
      <c r="OR123" s="41"/>
      <c r="OS123" s="41"/>
      <c r="OT123" s="41"/>
      <c r="OU123" s="41"/>
      <c r="OV123" s="41"/>
      <c r="OW123" s="41"/>
      <c r="OX123" s="41"/>
      <c r="OY123" s="41"/>
      <c r="OZ123" s="41"/>
      <c r="PA123" s="41"/>
      <c r="PB123" s="41"/>
      <c r="PC123" s="41"/>
      <c r="PD123" s="41"/>
      <c r="PE123" s="41"/>
      <c r="PF123" s="41"/>
      <c r="PG123" s="41"/>
      <c r="PH123" s="41"/>
      <c r="PI123" s="41"/>
      <c r="PJ123" s="41"/>
      <c r="PK123" s="41"/>
      <c r="PL123" s="41"/>
      <c r="PM123" s="41"/>
      <c r="PN123" s="41"/>
      <c r="PO123" s="41"/>
      <c r="PP123" s="41"/>
      <c r="PQ123" s="41"/>
      <c r="PR123" s="41"/>
      <c r="PS123" s="41"/>
      <c r="PT123" s="41"/>
      <c r="PU123" s="41"/>
      <c r="PV123" s="41"/>
      <c r="PW123" s="41"/>
      <c r="PX123" s="41"/>
      <c r="PY123" s="41"/>
      <c r="PZ123" s="41"/>
      <c r="QA123" s="41"/>
      <c r="QB123" s="41"/>
      <c r="QC123" s="41"/>
      <c r="QD123" s="41"/>
      <c r="QE123" s="41"/>
      <c r="QF123" s="41"/>
      <c r="QG123" s="41"/>
      <c r="QH123" s="41"/>
      <c r="QI123" s="41"/>
      <c r="QJ123" s="41"/>
      <c r="QK123" s="41"/>
      <c r="QL123" s="41"/>
      <c r="QM123" s="41"/>
      <c r="QN123" s="41"/>
      <c r="QO123" s="41"/>
      <c r="QP123" s="41"/>
      <c r="QQ123" s="41"/>
      <c r="QR123" s="41"/>
      <c r="QS123" s="41"/>
      <c r="QT123" s="41"/>
      <c r="QU123" s="41"/>
      <c r="QV123" s="41"/>
      <c r="QW123" s="41"/>
      <c r="QX123" s="41"/>
      <c r="QY123" s="41"/>
      <c r="QZ123" s="41"/>
      <c r="RA123" s="41"/>
      <c r="RB123" s="41"/>
      <c r="RC123" s="41"/>
      <c r="RD123" s="41"/>
      <c r="RE123" s="41"/>
      <c r="RF123" s="41"/>
      <c r="RG123" s="41"/>
      <c r="RH123" s="41"/>
      <c r="RI123" s="41"/>
      <c r="RJ123" s="41"/>
      <c r="RK123" s="41"/>
      <c r="RL123" s="41"/>
      <c r="RM123" s="41"/>
      <c r="RN123" s="41"/>
      <c r="RO123" s="41"/>
      <c r="RP123" s="41"/>
      <c r="RQ123" s="41"/>
      <c r="RR123" s="41"/>
      <c r="RS123" s="41"/>
      <c r="RT123" s="41"/>
      <c r="RU123" s="41"/>
      <c r="RV123" s="41"/>
      <c r="RW123" s="41"/>
      <c r="RX123" s="41"/>
      <c r="RY123" s="41"/>
      <c r="RZ123" s="41"/>
      <c r="SA123" s="41"/>
      <c r="SB123" s="41"/>
      <c r="SC123" s="41"/>
      <c r="SD123" s="41"/>
      <c r="SE123" s="41"/>
      <c r="SF123" s="41"/>
      <c r="SG123" s="41"/>
      <c r="SH123" s="41"/>
      <c r="SI123" s="41"/>
      <c r="SJ123" s="41"/>
      <c r="SK123" s="41"/>
      <c r="SL123" s="41"/>
      <c r="SM123" s="41"/>
      <c r="SN123" s="41"/>
      <c r="SO123" s="41"/>
      <c r="SP123" s="41"/>
      <c r="SQ123" s="41"/>
      <c r="SR123" s="41"/>
      <c r="SS123" s="41"/>
      <c r="ST123" s="41"/>
      <c r="SU123" s="41"/>
      <c r="SV123" s="41"/>
      <c r="SW123" s="41"/>
      <c r="SX123" s="41"/>
      <c r="SY123" s="41"/>
      <c r="SZ123" s="41"/>
      <c r="TA123" s="41"/>
      <c r="TB123" s="41"/>
      <c r="TC123" s="41"/>
      <c r="TD123" s="41"/>
      <c r="TE123" s="41"/>
      <c r="TF123" s="41"/>
      <c r="TG123" s="41"/>
      <c r="TH123" s="41"/>
      <c r="TI123" s="41"/>
      <c r="TJ123" s="41"/>
      <c r="TK123" s="41"/>
      <c r="TL123" s="41"/>
      <c r="TM123" s="41"/>
      <c r="TN123" s="41"/>
      <c r="TO123" s="41"/>
      <c r="TP123" s="41"/>
      <c r="TQ123" s="41"/>
      <c r="TR123" s="41"/>
      <c r="TS123" s="41"/>
      <c r="TT123" s="41"/>
      <c r="TU123" s="41"/>
      <c r="TV123" s="41"/>
      <c r="TW123" s="41"/>
      <c r="TX123" s="41"/>
      <c r="TY123" s="41"/>
      <c r="TZ123" s="41"/>
      <c r="UA123" s="41"/>
      <c r="UB123" s="41"/>
      <c r="UC123" s="41"/>
      <c r="UD123" s="41"/>
      <c r="UE123" s="41"/>
      <c r="UF123" s="41"/>
      <c r="UG123" s="41"/>
      <c r="UH123" s="41"/>
      <c r="UI123" s="41"/>
      <c r="UJ123" s="41"/>
      <c r="UK123" s="41"/>
      <c r="UL123" s="41"/>
      <c r="UM123" s="41"/>
      <c r="UN123" s="41"/>
      <c r="UO123" s="41"/>
      <c r="UP123" s="41"/>
      <c r="UQ123" s="41"/>
      <c r="UR123" s="41"/>
      <c r="US123" s="41"/>
      <c r="UT123" s="41"/>
      <c r="UU123" s="41"/>
      <c r="UV123" s="41"/>
      <c r="UW123" s="41"/>
      <c r="UX123" s="41"/>
      <c r="UY123" s="41"/>
      <c r="UZ123" s="41"/>
      <c r="VA123" s="41"/>
      <c r="VB123" s="41"/>
      <c r="VC123" s="41"/>
      <c r="VD123" s="41"/>
      <c r="VE123" s="41"/>
      <c r="VF123" s="41"/>
      <c r="VG123" s="41"/>
      <c r="VH123" s="41"/>
      <c r="VI123" s="41"/>
      <c r="VJ123" s="41"/>
      <c r="VK123" s="41"/>
      <c r="VL123" s="41"/>
      <c r="VM123" s="41"/>
      <c r="VN123" s="41"/>
      <c r="VO123" s="41"/>
      <c r="VP123" s="41"/>
      <c r="VQ123" s="41"/>
      <c r="VR123" s="41"/>
      <c r="VS123" s="41"/>
      <c r="VT123" s="41"/>
      <c r="VU123" s="41"/>
      <c r="VV123" s="41"/>
      <c r="VW123" s="41"/>
      <c r="VX123" s="41"/>
      <c r="VY123" s="41"/>
      <c r="VZ123" s="41"/>
      <c r="WA123" s="41"/>
      <c r="WB123" s="41"/>
      <c r="WC123" s="41"/>
      <c r="WD123" s="41"/>
      <c r="WE123" s="41"/>
      <c r="WF123" s="41"/>
      <c r="WG123" s="41"/>
      <c r="WH123" s="41"/>
      <c r="WI123" s="41"/>
      <c r="WJ123" s="41"/>
      <c r="WK123" s="41"/>
      <c r="WL123" s="41"/>
      <c r="WM123" s="41"/>
      <c r="WN123" s="41"/>
      <c r="WO123" s="41"/>
      <c r="WP123" s="41"/>
      <c r="WQ123" s="41"/>
      <c r="WR123" s="41"/>
      <c r="WS123" s="41"/>
      <c r="WT123" s="41"/>
      <c r="WU123" s="41"/>
      <c r="WV123" s="41"/>
      <c r="WW123" s="41"/>
      <c r="WX123" s="41"/>
      <c r="WY123" s="41"/>
      <c r="WZ123" s="41"/>
      <c r="XA123" s="41"/>
      <c r="XB123" s="41"/>
      <c r="XC123" s="41"/>
      <c r="XD123" s="41"/>
      <c r="XE123" s="41"/>
      <c r="XF123" s="41"/>
      <c r="XG123" s="41"/>
      <c r="XH123" s="41"/>
      <c r="XI123" s="41"/>
      <c r="XJ123" s="41"/>
      <c r="XK123" s="41"/>
      <c r="XL123" s="41"/>
      <c r="XM123" s="41"/>
      <c r="XN123" s="41"/>
      <c r="XO123" s="41"/>
      <c r="XP123" s="41"/>
      <c r="XQ123" s="41"/>
      <c r="XR123" s="41"/>
      <c r="XS123" s="41"/>
      <c r="XT123" s="41"/>
      <c r="XU123" s="41"/>
      <c r="XV123" s="41"/>
      <c r="XW123" s="41"/>
      <c r="XX123" s="41"/>
      <c r="XY123" s="41"/>
      <c r="XZ123" s="41"/>
      <c r="YA123" s="41"/>
      <c r="YB123" s="41"/>
      <c r="YC123" s="41"/>
      <c r="YD123" s="41"/>
      <c r="YE123" s="41"/>
      <c r="YF123" s="41"/>
      <c r="YG123" s="41"/>
      <c r="YH123" s="41"/>
      <c r="YI123" s="41"/>
      <c r="YJ123" s="41"/>
      <c r="YK123" s="41"/>
      <c r="YL123" s="41"/>
      <c r="YM123" s="41"/>
      <c r="YN123" s="41"/>
      <c r="YO123" s="41"/>
      <c r="YP123" s="41"/>
      <c r="YQ123" s="41"/>
      <c r="YR123" s="41"/>
      <c r="YS123" s="41"/>
      <c r="YT123" s="41"/>
      <c r="YU123" s="41"/>
      <c r="YV123" s="41"/>
      <c r="YW123" s="41"/>
      <c r="YX123" s="41"/>
      <c r="YY123" s="41"/>
      <c r="YZ123" s="41"/>
      <c r="ZA123" s="41"/>
      <c r="ZB123" s="41"/>
      <c r="ZC123" s="41"/>
      <c r="ZD123" s="41"/>
      <c r="ZE123" s="41"/>
      <c r="ZF123" s="41"/>
      <c r="ZG123" s="41"/>
      <c r="ZH123" s="41"/>
      <c r="ZI123" s="41"/>
      <c r="ZJ123" s="41"/>
      <c r="ZK123" s="41"/>
      <c r="ZL123" s="41"/>
      <c r="ZM123" s="41"/>
      <c r="ZN123" s="41"/>
      <c r="ZO123" s="41"/>
      <c r="ZP123" s="41"/>
      <c r="ZQ123" s="41"/>
      <c r="ZR123" s="41"/>
      <c r="ZS123" s="41"/>
      <c r="ZT123" s="41"/>
      <c r="ZU123" s="41"/>
      <c r="ZV123" s="41"/>
      <c r="ZW123" s="41"/>
      <c r="ZX123" s="41"/>
      <c r="ZY123" s="41"/>
      <c r="ZZ123" s="41"/>
      <c r="AAA123" s="41"/>
      <c r="AAB123" s="41"/>
      <c r="AAC123" s="41"/>
    </row>
    <row r="124" spans="1:705" s="42" customFormat="1" ht="44.25" hidden="1" customHeight="1" x14ac:dyDescent="0.3">
      <c r="A124" s="26">
        <v>120</v>
      </c>
      <c r="B124" s="137">
        <v>240168</v>
      </c>
      <c r="C124" s="138">
        <v>120</v>
      </c>
      <c r="D124" s="139">
        <v>45930</v>
      </c>
      <c r="E124" s="139">
        <f t="shared" si="18"/>
        <v>45929</v>
      </c>
      <c r="F124" s="139">
        <f t="shared" si="15"/>
        <v>45940</v>
      </c>
      <c r="G124" s="139">
        <v>45940</v>
      </c>
      <c r="H124" s="139">
        <v>45943</v>
      </c>
      <c r="I124" s="139" t="s">
        <v>75</v>
      </c>
      <c r="J124" s="140" t="s">
        <v>337</v>
      </c>
      <c r="K124" s="141">
        <f t="shared" si="19"/>
        <v>3</v>
      </c>
      <c r="L124" s="141">
        <v>1149366</v>
      </c>
      <c r="M124" s="140" t="s">
        <v>15</v>
      </c>
      <c r="N124" s="140">
        <v>804645</v>
      </c>
      <c r="O124" s="137" t="s">
        <v>246</v>
      </c>
      <c r="P124" s="143">
        <v>45934</v>
      </c>
      <c r="Q124" s="143">
        <v>45949</v>
      </c>
      <c r="R124" s="157" t="s">
        <v>211</v>
      </c>
      <c r="S124" s="144" t="s">
        <v>338</v>
      </c>
      <c r="T124" s="145">
        <v>1</v>
      </c>
      <c r="U124" s="137" t="s">
        <v>98</v>
      </c>
      <c r="V124" s="146">
        <v>6</v>
      </c>
      <c r="W124" s="146">
        <v>6</v>
      </c>
      <c r="X124" s="147">
        <v>0</v>
      </c>
      <c r="Y124" s="146">
        <v>0</v>
      </c>
      <c r="Z124" s="146">
        <v>0</v>
      </c>
      <c r="AA124" s="146">
        <v>0</v>
      </c>
      <c r="AB124" s="146">
        <v>4</v>
      </c>
      <c r="AC124" s="146">
        <v>4</v>
      </c>
      <c r="AD124" s="146">
        <v>0</v>
      </c>
      <c r="AE124" s="146">
        <v>0</v>
      </c>
      <c r="AF124" s="146">
        <v>0</v>
      </c>
      <c r="AG124" s="146">
        <v>0</v>
      </c>
      <c r="AH124" s="146">
        <v>1</v>
      </c>
      <c r="AI124" s="146">
        <v>1</v>
      </c>
      <c r="AJ124" s="146">
        <v>0</v>
      </c>
      <c r="AK124" s="146">
        <v>0</v>
      </c>
      <c r="AL124" s="146">
        <v>0</v>
      </c>
      <c r="AM124" s="146">
        <v>0</v>
      </c>
      <c r="AN124" s="146">
        <v>1</v>
      </c>
      <c r="AO124" s="146">
        <v>1</v>
      </c>
      <c r="AP124" s="146">
        <v>1</v>
      </c>
      <c r="AQ124" s="146">
        <v>1</v>
      </c>
      <c r="AR124" s="146">
        <v>0</v>
      </c>
      <c r="AS124" s="146">
        <v>0</v>
      </c>
      <c r="AT124" s="146">
        <v>1</v>
      </c>
      <c r="AU124" s="146">
        <v>1</v>
      </c>
      <c r="AV124" s="146">
        <v>0</v>
      </c>
      <c r="AW124" s="146">
        <v>0</v>
      </c>
      <c r="AX124" s="146">
        <f t="shared" si="21"/>
        <v>1798</v>
      </c>
      <c r="AY124" s="146">
        <f t="shared" si="20"/>
        <v>1798</v>
      </c>
      <c r="AZ124" s="140" t="s">
        <v>562</v>
      </c>
      <c r="BA124" s="137" t="s">
        <v>562</v>
      </c>
      <c r="BB124" s="137">
        <v>4</v>
      </c>
      <c r="BC124" s="148">
        <v>120</v>
      </c>
      <c r="BD124" s="149"/>
      <c r="BE124" s="145"/>
      <c r="BF124" s="150"/>
      <c r="BG124" s="151">
        <v>45931</v>
      </c>
      <c r="BH124" s="153" t="s">
        <v>535</v>
      </c>
      <c r="BI124" s="153" t="s">
        <v>562</v>
      </c>
      <c r="CC124" s="41"/>
      <c r="CD124" s="41"/>
      <c r="CE124" s="41"/>
      <c r="CF124" s="41"/>
      <c r="CG124" s="41"/>
      <c r="CH124" s="41"/>
      <c r="CI124" s="41"/>
      <c r="CJ124" s="41"/>
      <c r="CK124" s="41"/>
      <c r="CL124" s="41"/>
      <c r="CM124" s="41"/>
      <c r="CN124" s="41"/>
      <c r="CO124" s="41"/>
      <c r="CP124" s="41"/>
      <c r="CQ124" s="41"/>
      <c r="CR124" s="41"/>
      <c r="CS124" s="41"/>
      <c r="CT124" s="41"/>
      <c r="CU124" s="41"/>
      <c r="CV124" s="41"/>
      <c r="CW124" s="41"/>
      <c r="CX124" s="41"/>
      <c r="CY124" s="41"/>
      <c r="CZ124" s="41"/>
      <c r="DA124" s="41"/>
      <c r="DB124" s="41"/>
      <c r="DC124" s="41"/>
      <c r="DD124" s="41"/>
      <c r="DE124" s="41"/>
      <c r="DF124" s="41"/>
      <c r="DG124" s="41"/>
      <c r="DH124" s="41"/>
      <c r="DI124" s="41"/>
      <c r="DJ124" s="41"/>
      <c r="DK124" s="41"/>
      <c r="DL124" s="41"/>
      <c r="DM124" s="41"/>
      <c r="DN124" s="41"/>
      <c r="DO124" s="41"/>
      <c r="DP124" s="41"/>
      <c r="DQ124" s="41"/>
      <c r="DR124" s="41"/>
      <c r="DS124" s="41"/>
      <c r="DT124" s="41"/>
      <c r="DU124" s="41"/>
      <c r="DV124" s="41"/>
      <c r="DW124" s="41"/>
      <c r="DX124" s="41"/>
      <c r="DY124" s="41"/>
      <c r="DZ124" s="41"/>
      <c r="EA124" s="41"/>
      <c r="EB124" s="41"/>
      <c r="EC124" s="41"/>
      <c r="ED124" s="41"/>
      <c r="EE124" s="41"/>
      <c r="EF124" s="41"/>
      <c r="EG124" s="41"/>
      <c r="EH124" s="41"/>
      <c r="EI124" s="41"/>
      <c r="EJ124" s="41"/>
      <c r="EK124" s="41"/>
      <c r="EL124" s="41"/>
      <c r="EM124" s="41"/>
      <c r="EN124" s="41"/>
      <c r="EO124" s="41"/>
      <c r="EP124" s="41"/>
      <c r="EQ124" s="41"/>
      <c r="ER124" s="41"/>
      <c r="ES124" s="41"/>
      <c r="ET124" s="41"/>
      <c r="EU124" s="41"/>
      <c r="EV124" s="41"/>
      <c r="EW124" s="41"/>
      <c r="EX124" s="41"/>
      <c r="EY124" s="41"/>
      <c r="EZ124" s="41"/>
      <c r="FA124" s="41"/>
      <c r="FB124" s="41"/>
      <c r="FC124" s="41"/>
      <c r="FD124" s="41"/>
      <c r="FE124" s="41"/>
      <c r="FF124" s="41"/>
      <c r="FG124" s="41"/>
      <c r="FH124" s="41"/>
      <c r="FI124" s="41"/>
      <c r="FJ124" s="41"/>
      <c r="FK124" s="41"/>
      <c r="FL124" s="41"/>
      <c r="FM124" s="41"/>
      <c r="FN124" s="41"/>
      <c r="FO124" s="41"/>
      <c r="FP124" s="41"/>
      <c r="FQ124" s="41"/>
      <c r="FR124" s="41"/>
      <c r="FS124" s="41"/>
      <c r="FT124" s="41"/>
      <c r="FU124" s="41"/>
      <c r="FV124" s="41"/>
      <c r="FW124" s="41"/>
      <c r="FX124" s="41"/>
      <c r="FY124" s="41"/>
      <c r="FZ124" s="41"/>
      <c r="GA124" s="41"/>
      <c r="GB124" s="41"/>
      <c r="GC124" s="41"/>
      <c r="GD124" s="41"/>
      <c r="GE124" s="41"/>
      <c r="GF124" s="41"/>
      <c r="GG124" s="41"/>
      <c r="GH124" s="41"/>
      <c r="GI124" s="41"/>
      <c r="GJ124" s="41"/>
      <c r="GK124" s="41"/>
      <c r="GL124" s="41"/>
      <c r="GM124" s="41"/>
      <c r="GN124" s="41"/>
      <c r="GO124" s="41"/>
      <c r="GP124" s="41"/>
      <c r="GQ124" s="41"/>
      <c r="GR124" s="41"/>
      <c r="GS124" s="41"/>
      <c r="GT124" s="41"/>
      <c r="GU124" s="41"/>
      <c r="GV124" s="41"/>
      <c r="GW124" s="41"/>
      <c r="GX124" s="41"/>
      <c r="GY124" s="41"/>
      <c r="GZ124" s="41"/>
      <c r="HA124" s="41"/>
      <c r="HB124" s="41"/>
      <c r="HC124" s="41"/>
      <c r="HD124" s="41"/>
      <c r="HE124" s="41"/>
      <c r="HF124" s="41"/>
      <c r="HG124" s="41"/>
      <c r="HH124" s="41"/>
      <c r="HI124" s="41"/>
      <c r="HJ124" s="41"/>
      <c r="HK124" s="41"/>
      <c r="HL124" s="41"/>
      <c r="HM124" s="41"/>
      <c r="HN124" s="41"/>
      <c r="HO124" s="41"/>
      <c r="HP124" s="41"/>
      <c r="HQ124" s="41"/>
      <c r="HR124" s="41"/>
      <c r="HS124" s="41"/>
      <c r="HT124" s="41"/>
      <c r="HU124" s="41"/>
      <c r="HV124" s="41"/>
      <c r="HW124" s="41"/>
      <c r="HX124" s="41"/>
      <c r="HY124" s="41"/>
      <c r="HZ124" s="41"/>
      <c r="IA124" s="41"/>
      <c r="IB124" s="41"/>
      <c r="IC124" s="41"/>
      <c r="ID124" s="41"/>
      <c r="IE124" s="41"/>
      <c r="IF124" s="41"/>
      <c r="IG124" s="41"/>
      <c r="IH124" s="41"/>
      <c r="II124" s="41"/>
      <c r="IJ124" s="41"/>
      <c r="IK124" s="41"/>
      <c r="IL124" s="41"/>
      <c r="IM124" s="41"/>
      <c r="IN124" s="41"/>
      <c r="IO124" s="41"/>
      <c r="IP124" s="41"/>
      <c r="IQ124" s="41"/>
      <c r="IR124" s="41"/>
      <c r="IS124" s="41"/>
      <c r="IT124" s="41"/>
      <c r="IU124" s="41"/>
      <c r="IV124" s="41"/>
      <c r="IW124" s="41"/>
      <c r="IX124" s="41"/>
      <c r="IY124" s="41"/>
      <c r="IZ124" s="41"/>
      <c r="JA124" s="41"/>
      <c r="JB124" s="41"/>
      <c r="JC124" s="41"/>
      <c r="JD124" s="41"/>
      <c r="JE124" s="41"/>
      <c r="JF124" s="41"/>
      <c r="JG124" s="41"/>
      <c r="JH124" s="41"/>
      <c r="JI124" s="41"/>
      <c r="JJ124" s="41"/>
      <c r="JK124" s="41"/>
      <c r="JL124" s="41"/>
      <c r="JM124" s="41"/>
      <c r="JN124" s="41"/>
      <c r="JO124" s="41"/>
      <c r="JP124" s="41"/>
      <c r="JQ124" s="41"/>
      <c r="JR124" s="41"/>
      <c r="JS124" s="41"/>
      <c r="JT124" s="41"/>
      <c r="JU124" s="41"/>
      <c r="JV124" s="41"/>
      <c r="JW124" s="41"/>
      <c r="JX124" s="41"/>
      <c r="JY124" s="41"/>
      <c r="JZ124" s="41"/>
      <c r="KA124" s="41"/>
      <c r="KB124" s="41"/>
      <c r="KC124" s="41"/>
      <c r="KD124" s="41"/>
      <c r="KE124" s="41"/>
      <c r="KF124" s="41"/>
      <c r="KG124" s="41"/>
      <c r="KH124" s="41"/>
      <c r="KI124" s="41"/>
      <c r="KJ124" s="41"/>
      <c r="KK124" s="41"/>
      <c r="KL124" s="41"/>
      <c r="KM124" s="41"/>
      <c r="KN124" s="41"/>
      <c r="KO124" s="41"/>
      <c r="KP124" s="41"/>
      <c r="KQ124" s="41"/>
      <c r="KR124" s="41"/>
      <c r="KS124" s="41"/>
      <c r="KT124" s="41"/>
      <c r="KU124" s="41"/>
      <c r="KV124" s="41"/>
      <c r="KW124" s="41"/>
      <c r="KX124" s="41"/>
      <c r="KY124" s="41"/>
      <c r="KZ124" s="41"/>
      <c r="LA124" s="41"/>
      <c r="LB124" s="41"/>
      <c r="LC124" s="41"/>
      <c r="LD124" s="41"/>
      <c r="LE124" s="41"/>
      <c r="LF124" s="41"/>
      <c r="LG124" s="41"/>
      <c r="LH124" s="41"/>
      <c r="LI124" s="41"/>
      <c r="LJ124" s="41"/>
      <c r="LK124" s="41"/>
      <c r="LL124" s="41"/>
      <c r="LM124" s="41"/>
      <c r="LN124" s="41"/>
      <c r="LO124" s="41"/>
      <c r="LP124" s="41"/>
      <c r="LQ124" s="41"/>
      <c r="LR124" s="41"/>
      <c r="LS124" s="41"/>
      <c r="LT124" s="41"/>
      <c r="LU124" s="41"/>
      <c r="LV124" s="41"/>
      <c r="LW124" s="41"/>
      <c r="LX124" s="41"/>
      <c r="LY124" s="41"/>
      <c r="LZ124" s="41"/>
      <c r="MA124" s="41"/>
      <c r="MB124" s="41"/>
      <c r="MC124" s="41"/>
      <c r="MD124" s="41"/>
      <c r="ME124" s="41"/>
      <c r="MF124" s="41"/>
      <c r="MG124" s="41"/>
      <c r="MH124" s="41"/>
      <c r="MI124" s="41"/>
      <c r="MJ124" s="41"/>
      <c r="MK124" s="41"/>
      <c r="ML124" s="41"/>
      <c r="MM124" s="41"/>
      <c r="MN124" s="41"/>
      <c r="MO124" s="41"/>
      <c r="MP124" s="41"/>
      <c r="MQ124" s="41"/>
      <c r="MR124" s="41"/>
      <c r="MS124" s="41"/>
      <c r="MT124" s="41"/>
      <c r="MU124" s="41"/>
      <c r="MV124" s="41"/>
      <c r="MW124" s="41"/>
      <c r="MX124" s="41"/>
      <c r="MY124" s="41"/>
      <c r="MZ124" s="41"/>
      <c r="NA124" s="41"/>
      <c r="NB124" s="41"/>
      <c r="NC124" s="41"/>
      <c r="ND124" s="41"/>
      <c r="NE124" s="41"/>
      <c r="NF124" s="41"/>
      <c r="NG124" s="41"/>
      <c r="NH124" s="41"/>
      <c r="NI124" s="41"/>
      <c r="NJ124" s="41"/>
      <c r="NK124" s="41"/>
      <c r="NL124" s="41"/>
      <c r="NM124" s="41"/>
      <c r="NN124" s="41"/>
      <c r="NO124" s="41"/>
      <c r="NP124" s="41"/>
      <c r="NQ124" s="41"/>
      <c r="NR124" s="41"/>
      <c r="NS124" s="41"/>
      <c r="NT124" s="41"/>
      <c r="NU124" s="41"/>
      <c r="NV124" s="41"/>
      <c r="NW124" s="41"/>
      <c r="NX124" s="41"/>
      <c r="NY124" s="41"/>
      <c r="NZ124" s="41"/>
      <c r="OA124" s="41"/>
      <c r="OB124" s="41"/>
      <c r="OC124" s="41"/>
      <c r="OD124" s="41"/>
      <c r="OE124" s="41"/>
      <c r="OF124" s="41"/>
      <c r="OG124" s="41"/>
      <c r="OH124" s="41"/>
      <c r="OI124" s="41"/>
      <c r="OJ124" s="41"/>
      <c r="OK124" s="41"/>
      <c r="OL124" s="41"/>
      <c r="OM124" s="41"/>
      <c r="ON124" s="41"/>
      <c r="OO124" s="41"/>
      <c r="OP124" s="41"/>
      <c r="OQ124" s="41"/>
      <c r="OR124" s="41"/>
      <c r="OS124" s="41"/>
      <c r="OT124" s="41"/>
      <c r="OU124" s="41"/>
      <c r="OV124" s="41"/>
      <c r="OW124" s="41"/>
      <c r="OX124" s="41"/>
      <c r="OY124" s="41"/>
      <c r="OZ124" s="41"/>
      <c r="PA124" s="41"/>
      <c r="PB124" s="41"/>
      <c r="PC124" s="41"/>
      <c r="PD124" s="41"/>
      <c r="PE124" s="41"/>
      <c r="PF124" s="41"/>
      <c r="PG124" s="41"/>
      <c r="PH124" s="41"/>
      <c r="PI124" s="41"/>
      <c r="PJ124" s="41"/>
      <c r="PK124" s="41"/>
      <c r="PL124" s="41"/>
      <c r="PM124" s="41"/>
      <c r="PN124" s="41"/>
      <c r="PO124" s="41"/>
      <c r="PP124" s="41"/>
      <c r="PQ124" s="41"/>
      <c r="PR124" s="41"/>
      <c r="PS124" s="41"/>
      <c r="PT124" s="41"/>
      <c r="PU124" s="41"/>
      <c r="PV124" s="41"/>
      <c r="PW124" s="41"/>
      <c r="PX124" s="41"/>
      <c r="PY124" s="41"/>
      <c r="PZ124" s="41"/>
      <c r="QA124" s="41"/>
      <c r="QB124" s="41"/>
      <c r="QC124" s="41"/>
      <c r="QD124" s="41"/>
      <c r="QE124" s="41"/>
      <c r="QF124" s="41"/>
      <c r="QG124" s="41"/>
      <c r="QH124" s="41"/>
      <c r="QI124" s="41"/>
      <c r="QJ124" s="41"/>
      <c r="QK124" s="41"/>
      <c r="QL124" s="41"/>
      <c r="QM124" s="41"/>
      <c r="QN124" s="41"/>
      <c r="QO124" s="41"/>
      <c r="QP124" s="41"/>
      <c r="QQ124" s="41"/>
      <c r="QR124" s="41"/>
      <c r="QS124" s="41"/>
      <c r="QT124" s="41"/>
      <c r="QU124" s="41"/>
      <c r="QV124" s="41"/>
      <c r="QW124" s="41"/>
      <c r="QX124" s="41"/>
      <c r="QY124" s="41"/>
      <c r="QZ124" s="41"/>
      <c r="RA124" s="41"/>
      <c r="RB124" s="41"/>
      <c r="RC124" s="41"/>
      <c r="RD124" s="41"/>
      <c r="RE124" s="41"/>
      <c r="RF124" s="41"/>
      <c r="RG124" s="41"/>
      <c r="RH124" s="41"/>
      <c r="RI124" s="41"/>
      <c r="RJ124" s="41"/>
      <c r="RK124" s="41"/>
      <c r="RL124" s="41"/>
      <c r="RM124" s="41"/>
      <c r="RN124" s="41"/>
      <c r="RO124" s="41"/>
      <c r="RP124" s="41"/>
      <c r="RQ124" s="41"/>
      <c r="RR124" s="41"/>
      <c r="RS124" s="41"/>
      <c r="RT124" s="41"/>
      <c r="RU124" s="41"/>
      <c r="RV124" s="41"/>
      <c r="RW124" s="41"/>
      <c r="RX124" s="41"/>
      <c r="RY124" s="41"/>
      <c r="RZ124" s="41"/>
      <c r="SA124" s="41"/>
      <c r="SB124" s="41"/>
      <c r="SC124" s="41"/>
      <c r="SD124" s="41"/>
      <c r="SE124" s="41"/>
      <c r="SF124" s="41"/>
      <c r="SG124" s="41"/>
      <c r="SH124" s="41"/>
      <c r="SI124" s="41"/>
      <c r="SJ124" s="41"/>
      <c r="SK124" s="41"/>
      <c r="SL124" s="41"/>
      <c r="SM124" s="41"/>
      <c r="SN124" s="41"/>
      <c r="SO124" s="41"/>
      <c r="SP124" s="41"/>
      <c r="SQ124" s="41"/>
      <c r="SR124" s="41"/>
      <c r="SS124" s="41"/>
      <c r="ST124" s="41"/>
      <c r="SU124" s="41"/>
      <c r="SV124" s="41"/>
      <c r="SW124" s="41"/>
      <c r="SX124" s="41"/>
      <c r="SY124" s="41"/>
      <c r="SZ124" s="41"/>
      <c r="TA124" s="41"/>
      <c r="TB124" s="41"/>
      <c r="TC124" s="41"/>
      <c r="TD124" s="41"/>
      <c r="TE124" s="41"/>
      <c r="TF124" s="41"/>
      <c r="TG124" s="41"/>
      <c r="TH124" s="41"/>
      <c r="TI124" s="41"/>
      <c r="TJ124" s="41"/>
      <c r="TK124" s="41"/>
      <c r="TL124" s="41"/>
      <c r="TM124" s="41"/>
      <c r="TN124" s="41"/>
      <c r="TO124" s="41"/>
      <c r="TP124" s="41"/>
      <c r="TQ124" s="41"/>
      <c r="TR124" s="41"/>
      <c r="TS124" s="41"/>
      <c r="TT124" s="41"/>
      <c r="TU124" s="41"/>
      <c r="TV124" s="41"/>
      <c r="TW124" s="41"/>
      <c r="TX124" s="41"/>
      <c r="TY124" s="41"/>
      <c r="TZ124" s="41"/>
      <c r="UA124" s="41"/>
      <c r="UB124" s="41"/>
      <c r="UC124" s="41"/>
      <c r="UD124" s="41"/>
      <c r="UE124" s="41"/>
      <c r="UF124" s="41"/>
      <c r="UG124" s="41"/>
      <c r="UH124" s="41"/>
      <c r="UI124" s="41"/>
      <c r="UJ124" s="41"/>
      <c r="UK124" s="41"/>
      <c r="UL124" s="41"/>
      <c r="UM124" s="41"/>
      <c r="UN124" s="41"/>
      <c r="UO124" s="41"/>
      <c r="UP124" s="41"/>
      <c r="UQ124" s="41"/>
      <c r="UR124" s="41"/>
      <c r="US124" s="41"/>
      <c r="UT124" s="41"/>
      <c r="UU124" s="41"/>
      <c r="UV124" s="41"/>
      <c r="UW124" s="41"/>
      <c r="UX124" s="41"/>
      <c r="UY124" s="41"/>
      <c r="UZ124" s="41"/>
      <c r="VA124" s="41"/>
      <c r="VB124" s="41"/>
      <c r="VC124" s="41"/>
      <c r="VD124" s="41"/>
      <c r="VE124" s="41"/>
      <c r="VF124" s="41"/>
      <c r="VG124" s="41"/>
      <c r="VH124" s="41"/>
      <c r="VI124" s="41"/>
      <c r="VJ124" s="41"/>
      <c r="VK124" s="41"/>
      <c r="VL124" s="41"/>
      <c r="VM124" s="41"/>
      <c r="VN124" s="41"/>
      <c r="VO124" s="41"/>
      <c r="VP124" s="41"/>
      <c r="VQ124" s="41"/>
      <c r="VR124" s="41"/>
      <c r="VS124" s="41"/>
      <c r="VT124" s="41"/>
      <c r="VU124" s="41"/>
      <c r="VV124" s="41"/>
      <c r="VW124" s="41"/>
      <c r="VX124" s="41"/>
      <c r="VY124" s="41"/>
      <c r="VZ124" s="41"/>
      <c r="WA124" s="41"/>
      <c r="WB124" s="41"/>
      <c r="WC124" s="41"/>
      <c r="WD124" s="41"/>
      <c r="WE124" s="41"/>
      <c r="WF124" s="41"/>
      <c r="WG124" s="41"/>
      <c r="WH124" s="41"/>
      <c r="WI124" s="41"/>
      <c r="WJ124" s="41"/>
      <c r="WK124" s="41"/>
      <c r="WL124" s="41"/>
      <c r="WM124" s="41"/>
      <c r="WN124" s="41"/>
      <c r="WO124" s="41"/>
      <c r="WP124" s="41"/>
      <c r="WQ124" s="41"/>
      <c r="WR124" s="41"/>
      <c r="WS124" s="41"/>
      <c r="WT124" s="41"/>
      <c r="WU124" s="41"/>
      <c r="WV124" s="41"/>
      <c r="WW124" s="41"/>
      <c r="WX124" s="41"/>
      <c r="WY124" s="41"/>
      <c r="WZ124" s="41"/>
      <c r="XA124" s="41"/>
      <c r="XB124" s="41"/>
      <c r="XC124" s="41"/>
      <c r="XD124" s="41"/>
      <c r="XE124" s="41"/>
      <c r="XF124" s="41"/>
      <c r="XG124" s="41"/>
      <c r="XH124" s="41"/>
      <c r="XI124" s="41"/>
      <c r="XJ124" s="41"/>
      <c r="XK124" s="41"/>
      <c r="XL124" s="41"/>
      <c r="XM124" s="41"/>
      <c r="XN124" s="41"/>
      <c r="XO124" s="41"/>
      <c r="XP124" s="41"/>
      <c r="XQ124" s="41"/>
      <c r="XR124" s="41"/>
      <c r="XS124" s="41"/>
      <c r="XT124" s="41"/>
      <c r="XU124" s="41"/>
      <c r="XV124" s="41"/>
      <c r="XW124" s="41"/>
      <c r="XX124" s="41"/>
      <c r="XY124" s="41"/>
      <c r="XZ124" s="41"/>
      <c r="YA124" s="41"/>
      <c r="YB124" s="41"/>
      <c r="YC124" s="41"/>
      <c r="YD124" s="41"/>
      <c r="YE124" s="41"/>
      <c r="YF124" s="41"/>
      <c r="YG124" s="41"/>
      <c r="YH124" s="41"/>
      <c r="YI124" s="41"/>
      <c r="YJ124" s="41"/>
      <c r="YK124" s="41"/>
      <c r="YL124" s="41"/>
      <c r="YM124" s="41"/>
      <c r="YN124" s="41"/>
      <c r="YO124" s="41"/>
      <c r="YP124" s="41"/>
      <c r="YQ124" s="41"/>
      <c r="YR124" s="41"/>
      <c r="YS124" s="41"/>
      <c r="YT124" s="41"/>
      <c r="YU124" s="41"/>
      <c r="YV124" s="41"/>
      <c r="YW124" s="41"/>
      <c r="YX124" s="41"/>
      <c r="YY124" s="41"/>
      <c r="YZ124" s="41"/>
      <c r="ZA124" s="41"/>
      <c r="ZB124" s="41"/>
      <c r="ZC124" s="41"/>
      <c r="ZD124" s="41"/>
      <c r="ZE124" s="41"/>
      <c r="ZF124" s="41"/>
      <c r="ZG124" s="41"/>
      <c r="ZH124" s="41"/>
      <c r="ZI124" s="41"/>
      <c r="ZJ124" s="41"/>
      <c r="ZK124" s="41"/>
      <c r="ZL124" s="41"/>
      <c r="ZM124" s="41"/>
      <c r="ZN124" s="41"/>
      <c r="ZO124" s="41"/>
      <c r="ZP124" s="41"/>
      <c r="ZQ124" s="41"/>
      <c r="ZR124" s="41"/>
      <c r="ZS124" s="41"/>
      <c r="ZT124" s="41"/>
      <c r="ZU124" s="41"/>
      <c r="ZV124" s="41"/>
      <c r="ZW124" s="41"/>
      <c r="ZX124" s="41"/>
      <c r="ZY124" s="41"/>
      <c r="ZZ124" s="41"/>
      <c r="AAA124" s="41"/>
      <c r="AAB124" s="41"/>
      <c r="AAC124" s="41"/>
    </row>
    <row r="125" spans="1:705" s="42" customFormat="1" ht="44.1" hidden="1" customHeight="1" x14ac:dyDescent="0.3">
      <c r="A125" s="26">
        <v>121</v>
      </c>
      <c r="B125" s="137">
        <v>240169</v>
      </c>
      <c r="C125" s="138">
        <v>121</v>
      </c>
      <c r="D125" s="139">
        <v>45930</v>
      </c>
      <c r="E125" s="139">
        <f t="shared" si="18"/>
        <v>45929</v>
      </c>
      <c r="F125" s="139">
        <f t="shared" si="15"/>
        <v>45940</v>
      </c>
      <c r="G125" s="139">
        <v>45940</v>
      </c>
      <c r="H125" s="139">
        <v>45942</v>
      </c>
      <c r="I125" s="139" t="s">
        <v>75</v>
      </c>
      <c r="J125" s="140" t="s">
        <v>339</v>
      </c>
      <c r="K125" s="141">
        <f t="shared" si="19"/>
        <v>2</v>
      </c>
      <c r="L125" s="141">
        <v>1149367</v>
      </c>
      <c r="M125" s="140" t="s">
        <v>15</v>
      </c>
      <c r="N125" s="140">
        <v>804493</v>
      </c>
      <c r="O125" s="140" t="s">
        <v>246</v>
      </c>
      <c r="P125" s="143">
        <v>45932</v>
      </c>
      <c r="Q125" s="143">
        <v>45947</v>
      </c>
      <c r="R125" s="157" t="s">
        <v>211</v>
      </c>
      <c r="S125" s="144" t="s">
        <v>340</v>
      </c>
      <c r="T125" s="145">
        <v>1</v>
      </c>
      <c r="U125" s="137" t="s">
        <v>128</v>
      </c>
      <c r="V125" s="146">
        <v>9</v>
      </c>
      <c r="W125" s="146">
        <v>9</v>
      </c>
      <c r="X125" s="147">
        <v>0</v>
      </c>
      <c r="Y125" s="146">
        <v>0</v>
      </c>
      <c r="Z125" s="146">
        <v>0</v>
      </c>
      <c r="AA125" s="146">
        <v>0</v>
      </c>
      <c r="AB125" s="146">
        <v>0</v>
      </c>
      <c r="AC125" s="146"/>
      <c r="AD125" s="146">
        <v>0</v>
      </c>
      <c r="AE125" s="146">
        <v>0</v>
      </c>
      <c r="AF125" s="146">
        <v>0</v>
      </c>
      <c r="AG125" s="146">
        <v>0</v>
      </c>
      <c r="AH125" s="146">
        <v>1</v>
      </c>
      <c r="AI125" s="146">
        <v>1</v>
      </c>
      <c r="AJ125" s="146">
        <v>0</v>
      </c>
      <c r="AK125" s="146">
        <v>0</v>
      </c>
      <c r="AL125" s="146">
        <v>0</v>
      </c>
      <c r="AM125" s="146">
        <v>0</v>
      </c>
      <c r="AN125" s="146">
        <v>0</v>
      </c>
      <c r="AO125" s="146">
        <v>0</v>
      </c>
      <c r="AP125" s="146">
        <v>1</v>
      </c>
      <c r="AQ125" s="146">
        <v>1</v>
      </c>
      <c r="AR125" s="146">
        <v>0</v>
      </c>
      <c r="AS125" s="146">
        <v>0</v>
      </c>
      <c r="AT125" s="146">
        <v>1</v>
      </c>
      <c r="AU125" s="146">
        <v>1</v>
      </c>
      <c r="AV125" s="146">
        <v>0</v>
      </c>
      <c r="AW125" s="146">
        <v>0</v>
      </c>
      <c r="AX125" s="146">
        <f t="shared" si="21"/>
        <v>1690</v>
      </c>
      <c r="AY125" s="146">
        <f t="shared" si="20"/>
        <v>1690</v>
      </c>
      <c r="AZ125" s="140" t="s">
        <v>562</v>
      </c>
      <c r="BA125" s="137" t="s">
        <v>562</v>
      </c>
      <c r="BB125" s="137">
        <v>1</v>
      </c>
      <c r="BC125" s="148">
        <v>121</v>
      </c>
      <c r="BD125" s="149"/>
      <c r="BE125" s="145"/>
      <c r="BF125" s="150"/>
      <c r="BG125" s="151">
        <v>45931</v>
      </c>
      <c r="BH125" s="153" t="s">
        <v>535</v>
      </c>
      <c r="BI125" s="153" t="s">
        <v>562</v>
      </c>
      <c r="CC125" s="41"/>
      <c r="CD125" s="41"/>
      <c r="CE125" s="41"/>
      <c r="CF125" s="41"/>
      <c r="CG125" s="41"/>
      <c r="CH125" s="41"/>
      <c r="CI125" s="41"/>
      <c r="CJ125" s="41"/>
      <c r="CK125" s="41"/>
      <c r="CL125" s="41"/>
      <c r="CM125" s="41"/>
      <c r="CN125" s="41"/>
      <c r="CO125" s="41"/>
      <c r="CP125" s="41"/>
      <c r="CQ125" s="41"/>
      <c r="CR125" s="41"/>
      <c r="CS125" s="41"/>
      <c r="CT125" s="41"/>
      <c r="CU125" s="41"/>
      <c r="CV125" s="41"/>
      <c r="CW125" s="41"/>
      <c r="CX125" s="41"/>
      <c r="CY125" s="41"/>
      <c r="CZ125" s="41"/>
      <c r="DA125" s="41"/>
      <c r="DB125" s="41"/>
      <c r="DC125" s="41"/>
      <c r="DD125" s="41"/>
      <c r="DE125" s="41"/>
      <c r="DF125" s="41"/>
      <c r="DG125" s="41"/>
      <c r="DH125" s="41"/>
      <c r="DI125" s="41"/>
      <c r="DJ125" s="41"/>
      <c r="DK125" s="41"/>
      <c r="DL125" s="41"/>
      <c r="DM125" s="41"/>
      <c r="DN125" s="41"/>
      <c r="DO125" s="41"/>
      <c r="DP125" s="41"/>
      <c r="DQ125" s="41"/>
      <c r="DR125" s="41"/>
      <c r="DS125" s="41"/>
      <c r="DT125" s="41"/>
      <c r="DU125" s="41"/>
      <c r="DV125" s="41"/>
      <c r="DW125" s="41"/>
      <c r="DX125" s="41"/>
      <c r="DY125" s="41"/>
      <c r="DZ125" s="41"/>
      <c r="EA125" s="41"/>
      <c r="EB125" s="41"/>
      <c r="EC125" s="41"/>
      <c r="ED125" s="41"/>
      <c r="EE125" s="41"/>
      <c r="EF125" s="41"/>
      <c r="EG125" s="41"/>
      <c r="EH125" s="41"/>
      <c r="EI125" s="41"/>
      <c r="EJ125" s="41"/>
      <c r="EK125" s="41"/>
      <c r="EL125" s="41"/>
      <c r="EM125" s="41"/>
      <c r="EN125" s="41"/>
      <c r="EO125" s="41"/>
      <c r="EP125" s="41"/>
      <c r="EQ125" s="41"/>
      <c r="ER125" s="41"/>
      <c r="ES125" s="41"/>
      <c r="ET125" s="41"/>
      <c r="EU125" s="41"/>
      <c r="EV125" s="41"/>
      <c r="EW125" s="41"/>
      <c r="EX125" s="41"/>
      <c r="EY125" s="41"/>
      <c r="EZ125" s="41"/>
      <c r="FA125" s="41"/>
      <c r="FB125" s="41"/>
      <c r="FC125" s="41"/>
      <c r="FD125" s="41"/>
      <c r="FE125" s="41"/>
      <c r="FF125" s="41"/>
      <c r="FG125" s="41"/>
      <c r="FH125" s="41"/>
      <c r="FI125" s="41"/>
      <c r="FJ125" s="41"/>
      <c r="FK125" s="41"/>
      <c r="FL125" s="41"/>
      <c r="FM125" s="41"/>
      <c r="FN125" s="41"/>
      <c r="FO125" s="41"/>
      <c r="FP125" s="41"/>
      <c r="FQ125" s="41"/>
      <c r="FR125" s="41"/>
      <c r="FS125" s="41"/>
      <c r="FT125" s="41"/>
      <c r="FU125" s="41"/>
      <c r="FV125" s="41"/>
      <c r="FW125" s="41"/>
      <c r="FX125" s="41"/>
      <c r="FY125" s="41"/>
      <c r="FZ125" s="41"/>
      <c r="GA125" s="41"/>
      <c r="GB125" s="41"/>
      <c r="GC125" s="41"/>
      <c r="GD125" s="41"/>
      <c r="GE125" s="41"/>
      <c r="GF125" s="41"/>
      <c r="GG125" s="41"/>
      <c r="GH125" s="41"/>
      <c r="GI125" s="41"/>
      <c r="GJ125" s="41"/>
      <c r="GK125" s="41"/>
      <c r="GL125" s="41"/>
      <c r="GM125" s="41"/>
      <c r="GN125" s="41"/>
      <c r="GO125" s="41"/>
      <c r="GP125" s="41"/>
      <c r="GQ125" s="41"/>
      <c r="GR125" s="41"/>
      <c r="GS125" s="41"/>
      <c r="GT125" s="41"/>
      <c r="GU125" s="41"/>
      <c r="GV125" s="41"/>
      <c r="GW125" s="41"/>
      <c r="GX125" s="41"/>
      <c r="GY125" s="41"/>
      <c r="GZ125" s="41"/>
      <c r="HA125" s="41"/>
      <c r="HB125" s="41"/>
      <c r="HC125" s="41"/>
      <c r="HD125" s="41"/>
      <c r="HE125" s="41"/>
      <c r="HF125" s="41"/>
      <c r="HG125" s="41"/>
      <c r="HH125" s="41"/>
      <c r="HI125" s="41"/>
      <c r="HJ125" s="41"/>
      <c r="HK125" s="41"/>
      <c r="HL125" s="41"/>
      <c r="HM125" s="41"/>
      <c r="HN125" s="41"/>
      <c r="HO125" s="41"/>
      <c r="HP125" s="41"/>
      <c r="HQ125" s="41"/>
      <c r="HR125" s="41"/>
      <c r="HS125" s="41"/>
      <c r="HT125" s="41"/>
      <c r="HU125" s="41"/>
      <c r="HV125" s="41"/>
      <c r="HW125" s="41"/>
      <c r="HX125" s="41"/>
      <c r="HY125" s="41"/>
      <c r="HZ125" s="41"/>
      <c r="IA125" s="41"/>
      <c r="IB125" s="41"/>
      <c r="IC125" s="41"/>
      <c r="ID125" s="41"/>
      <c r="IE125" s="41"/>
      <c r="IF125" s="41"/>
      <c r="IG125" s="41"/>
      <c r="IH125" s="41"/>
      <c r="II125" s="41"/>
      <c r="IJ125" s="41"/>
      <c r="IK125" s="41"/>
      <c r="IL125" s="41"/>
      <c r="IM125" s="41"/>
      <c r="IN125" s="41"/>
      <c r="IO125" s="41"/>
      <c r="IP125" s="41"/>
      <c r="IQ125" s="41"/>
      <c r="IR125" s="41"/>
      <c r="IS125" s="41"/>
      <c r="IT125" s="41"/>
      <c r="IU125" s="41"/>
      <c r="IV125" s="41"/>
      <c r="IW125" s="41"/>
      <c r="IX125" s="41"/>
      <c r="IY125" s="41"/>
      <c r="IZ125" s="41"/>
      <c r="JA125" s="41"/>
      <c r="JB125" s="41"/>
      <c r="JC125" s="41"/>
      <c r="JD125" s="41"/>
      <c r="JE125" s="41"/>
      <c r="JF125" s="41"/>
      <c r="JG125" s="41"/>
      <c r="JH125" s="41"/>
      <c r="JI125" s="41"/>
      <c r="JJ125" s="41"/>
      <c r="JK125" s="41"/>
      <c r="JL125" s="41"/>
      <c r="JM125" s="41"/>
      <c r="JN125" s="41"/>
      <c r="JO125" s="41"/>
      <c r="JP125" s="41"/>
      <c r="JQ125" s="41"/>
      <c r="JR125" s="41"/>
      <c r="JS125" s="41"/>
      <c r="JT125" s="41"/>
      <c r="JU125" s="41"/>
      <c r="JV125" s="41"/>
      <c r="JW125" s="41"/>
      <c r="JX125" s="41"/>
      <c r="JY125" s="41"/>
      <c r="JZ125" s="41"/>
      <c r="KA125" s="41"/>
      <c r="KB125" s="41"/>
      <c r="KC125" s="41"/>
      <c r="KD125" s="41"/>
      <c r="KE125" s="41"/>
      <c r="KF125" s="41"/>
      <c r="KG125" s="41"/>
      <c r="KH125" s="41"/>
      <c r="KI125" s="41"/>
      <c r="KJ125" s="41"/>
      <c r="KK125" s="41"/>
      <c r="KL125" s="41"/>
      <c r="KM125" s="41"/>
      <c r="KN125" s="41"/>
      <c r="KO125" s="41"/>
      <c r="KP125" s="41"/>
      <c r="KQ125" s="41"/>
      <c r="KR125" s="41"/>
      <c r="KS125" s="41"/>
      <c r="KT125" s="41"/>
      <c r="KU125" s="41"/>
      <c r="KV125" s="41"/>
      <c r="KW125" s="41"/>
      <c r="KX125" s="41"/>
      <c r="KY125" s="41"/>
      <c r="KZ125" s="41"/>
      <c r="LA125" s="41"/>
      <c r="LB125" s="41"/>
      <c r="LC125" s="41"/>
      <c r="LD125" s="41"/>
      <c r="LE125" s="41"/>
      <c r="LF125" s="41"/>
      <c r="LG125" s="41"/>
      <c r="LH125" s="41"/>
      <c r="LI125" s="41"/>
      <c r="LJ125" s="41"/>
      <c r="LK125" s="41"/>
      <c r="LL125" s="41"/>
      <c r="LM125" s="41"/>
      <c r="LN125" s="41"/>
      <c r="LO125" s="41"/>
      <c r="LP125" s="41"/>
      <c r="LQ125" s="41"/>
      <c r="LR125" s="41"/>
      <c r="LS125" s="41"/>
      <c r="LT125" s="41"/>
      <c r="LU125" s="41"/>
      <c r="LV125" s="41"/>
      <c r="LW125" s="41"/>
      <c r="LX125" s="41"/>
      <c r="LY125" s="41"/>
      <c r="LZ125" s="41"/>
      <c r="MA125" s="41"/>
      <c r="MB125" s="41"/>
      <c r="MC125" s="41"/>
      <c r="MD125" s="41"/>
      <c r="ME125" s="41"/>
      <c r="MF125" s="41"/>
      <c r="MG125" s="41"/>
      <c r="MH125" s="41"/>
      <c r="MI125" s="41"/>
      <c r="MJ125" s="41"/>
      <c r="MK125" s="41"/>
      <c r="ML125" s="41"/>
      <c r="MM125" s="41"/>
      <c r="MN125" s="41"/>
      <c r="MO125" s="41"/>
      <c r="MP125" s="41"/>
      <c r="MQ125" s="41"/>
      <c r="MR125" s="41"/>
      <c r="MS125" s="41"/>
      <c r="MT125" s="41"/>
      <c r="MU125" s="41"/>
      <c r="MV125" s="41"/>
      <c r="MW125" s="41"/>
      <c r="MX125" s="41"/>
      <c r="MY125" s="41"/>
      <c r="MZ125" s="41"/>
      <c r="NA125" s="41"/>
      <c r="NB125" s="41"/>
      <c r="NC125" s="41"/>
      <c r="ND125" s="41"/>
      <c r="NE125" s="41"/>
      <c r="NF125" s="41"/>
      <c r="NG125" s="41"/>
      <c r="NH125" s="41"/>
      <c r="NI125" s="41"/>
      <c r="NJ125" s="41"/>
      <c r="NK125" s="41"/>
      <c r="NL125" s="41"/>
      <c r="NM125" s="41"/>
      <c r="NN125" s="41"/>
      <c r="NO125" s="41"/>
      <c r="NP125" s="41"/>
      <c r="NQ125" s="41"/>
      <c r="NR125" s="41"/>
      <c r="NS125" s="41"/>
      <c r="NT125" s="41"/>
      <c r="NU125" s="41"/>
      <c r="NV125" s="41"/>
      <c r="NW125" s="41"/>
      <c r="NX125" s="41"/>
      <c r="NY125" s="41"/>
      <c r="NZ125" s="41"/>
      <c r="OA125" s="41"/>
      <c r="OB125" s="41"/>
      <c r="OC125" s="41"/>
      <c r="OD125" s="41"/>
      <c r="OE125" s="41"/>
      <c r="OF125" s="41"/>
      <c r="OG125" s="41"/>
      <c r="OH125" s="41"/>
      <c r="OI125" s="41"/>
      <c r="OJ125" s="41"/>
      <c r="OK125" s="41"/>
      <c r="OL125" s="41"/>
      <c r="OM125" s="41"/>
      <c r="ON125" s="41"/>
      <c r="OO125" s="41"/>
      <c r="OP125" s="41"/>
      <c r="OQ125" s="41"/>
      <c r="OR125" s="41"/>
      <c r="OS125" s="41"/>
      <c r="OT125" s="41"/>
      <c r="OU125" s="41"/>
      <c r="OV125" s="41"/>
      <c r="OW125" s="41"/>
      <c r="OX125" s="41"/>
      <c r="OY125" s="41"/>
      <c r="OZ125" s="41"/>
      <c r="PA125" s="41"/>
      <c r="PB125" s="41"/>
      <c r="PC125" s="41"/>
      <c r="PD125" s="41"/>
      <c r="PE125" s="41"/>
      <c r="PF125" s="41"/>
      <c r="PG125" s="41"/>
      <c r="PH125" s="41"/>
      <c r="PI125" s="41"/>
      <c r="PJ125" s="41"/>
      <c r="PK125" s="41"/>
      <c r="PL125" s="41"/>
      <c r="PM125" s="41"/>
      <c r="PN125" s="41"/>
      <c r="PO125" s="41"/>
      <c r="PP125" s="41"/>
      <c r="PQ125" s="41"/>
      <c r="PR125" s="41"/>
      <c r="PS125" s="41"/>
      <c r="PT125" s="41"/>
      <c r="PU125" s="41"/>
      <c r="PV125" s="41"/>
      <c r="PW125" s="41"/>
      <c r="PX125" s="41"/>
      <c r="PY125" s="41"/>
      <c r="PZ125" s="41"/>
      <c r="QA125" s="41"/>
      <c r="QB125" s="41"/>
      <c r="QC125" s="41"/>
      <c r="QD125" s="41"/>
      <c r="QE125" s="41"/>
      <c r="QF125" s="41"/>
      <c r="QG125" s="41"/>
      <c r="QH125" s="41"/>
      <c r="QI125" s="41"/>
      <c r="QJ125" s="41"/>
      <c r="QK125" s="41"/>
      <c r="QL125" s="41"/>
      <c r="QM125" s="41"/>
      <c r="QN125" s="41"/>
      <c r="QO125" s="41"/>
      <c r="QP125" s="41"/>
      <c r="QQ125" s="41"/>
      <c r="QR125" s="41"/>
      <c r="QS125" s="41"/>
      <c r="QT125" s="41"/>
      <c r="QU125" s="41"/>
      <c r="QV125" s="41"/>
      <c r="QW125" s="41"/>
      <c r="QX125" s="41"/>
      <c r="QY125" s="41"/>
      <c r="QZ125" s="41"/>
      <c r="RA125" s="41"/>
      <c r="RB125" s="41"/>
      <c r="RC125" s="41"/>
      <c r="RD125" s="41"/>
      <c r="RE125" s="41"/>
      <c r="RF125" s="41"/>
      <c r="RG125" s="41"/>
      <c r="RH125" s="41"/>
      <c r="RI125" s="41"/>
      <c r="RJ125" s="41"/>
      <c r="RK125" s="41"/>
      <c r="RL125" s="41"/>
      <c r="RM125" s="41"/>
      <c r="RN125" s="41"/>
      <c r="RO125" s="41"/>
      <c r="RP125" s="41"/>
      <c r="RQ125" s="41"/>
      <c r="RR125" s="41"/>
      <c r="RS125" s="41"/>
      <c r="RT125" s="41"/>
      <c r="RU125" s="41"/>
      <c r="RV125" s="41"/>
      <c r="RW125" s="41"/>
      <c r="RX125" s="41"/>
      <c r="RY125" s="41"/>
      <c r="RZ125" s="41"/>
      <c r="SA125" s="41"/>
      <c r="SB125" s="41"/>
      <c r="SC125" s="41"/>
      <c r="SD125" s="41"/>
      <c r="SE125" s="41"/>
      <c r="SF125" s="41"/>
      <c r="SG125" s="41"/>
      <c r="SH125" s="41"/>
      <c r="SI125" s="41"/>
      <c r="SJ125" s="41"/>
      <c r="SK125" s="41"/>
      <c r="SL125" s="41"/>
      <c r="SM125" s="41"/>
      <c r="SN125" s="41"/>
      <c r="SO125" s="41"/>
      <c r="SP125" s="41"/>
      <c r="SQ125" s="41"/>
      <c r="SR125" s="41"/>
      <c r="SS125" s="41"/>
      <c r="ST125" s="41"/>
      <c r="SU125" s="41"/>
      <c r="SV125" s="41"/>
      <c r="SW125" s="41"/>
      <c r="SX125" s="41"/>
      <c r="SY125" s="41"/>
      <c r="SZ125" s="41"/>
      <c r="TA125" s="41"/>
      <c r="TB125" s="41"/>
      <c r="TC125" s="41"/>
      <c r="TD125" s="41"/>
      <c r="TE125" s="41"/>
      <c r="TF125" s="41"/>
      <c r="TG125" s="41"/>
      <c r="TH125" s="41"/>
      <c r="TI125" s="41"/>
      <c r="TJ125" s="41"/>
      <c r="TK125" s="41"/>
      <c r="TL125" s="41"/>
      <c r="TM125" s="41"/>
      <c r="TN125" s="41"/>
      <c r="TO125" s="41"/>
      <c r="TP125" s="41"/>
      <c r="TQ125" s="41"/>
      <c r="TR125" s="41"/>
      <c r="TS125" s="41"/>
      <c r="TT125" s="41"/>
      <c r="TU125" s="41"/>
      <c r="TV125" s="41"/>
      <c r="TW125" s="41"/>
      <c r="TX125" s="41"/>
      <c r="TY125" s="41"/>
      <c r="TZ125" s="41"/>
      <c r="UA125" s="41"/>
      <c r="UB125" s="41"/>
      <c r="UC125" s="41"/>
      <c r="UD125" s="41"/>
      <c r="UE125" s="41"/>
      <c r="UF125" s="41"/>
      <c r="UG125" s="41"/>
      <c r="UH125" s="41"/>
      <c r="UI125" s="41"/>
      <c r="UJ125" s="41"/>
      <c r="UK125" s="41"/>
      <c r="UL125" s="41"/>
      <c r="UM125" s="41"/>
      <c r="UN125" s="41"/>
      <c r="UO125" s="41"/>
      <c r="UP125" s="41"/>
      <c r="UQ125" s="41"/>
      <c r="UR125" s="41"/>
      <c r="US125" s="41"/>
      <c r="UT125" s="41"/>
      <c r="UU125" s="41"/>
      <c r="UV125" s="41"/>
      <c r="UW125" s="41"/>
      <c r="UX125" s="41"/>
      <c r="UY125" s="41"/>
      <c r="UZ125" s="41"/>
      <c r="VA125" s="41"/>
      <c r="VB125" s="41"/>
      <c r="VC125" s="41"/>
      <c r="VD125" s="41"/>
      <c r="VE125" s="41"/>
      <c r="VF125" s="41"/>
      <c r="VG125" s="41"/>
      <c r="VH125" s="41"/>
      <c r="VI125" s="41"/>
      <c r="VJ125" s="41"/>
      <c r="VK125" s="41"/>
      <c r="VL125" s="41"/>
      <c r="VM125" s="41"/>
      <c r="VN125" s="41"/>
      <c r="VO125" s="41"/>
      <c r="VP125" s="41"/>
      <c r="VQ125" s="41"/>
      <c r="VR125" s="41"/>
      <c r="VS125" s="41"/>
      <c r="VT125" s="41"/>
      <c r="VU125" s="41"/>
      <c r="VV125" s="41"/>
      <c r="VW125" s="41"/>
      <c r="VX125" s="41"/>
      <c r="VY125" s="41"/>
      <c r="VZ125" s="41"/>
      <c r="WA125" s="41"/>
      <c r="WB125" s="41"/>
      <c r="WC125" s="41"/>
      <c r="WD125" s="41"/>
      <c r="WE125" s="41"/>
      <c r="WF125" s="41"/>
      <c r="WG125" s="41"/>
      <c r="WH125" s="41"/>
      <c r="WI125" s="41"/>
      <c r="WJ125" s="41"/>
      <c r="WK125" s="41"/>
      <c r="WL125" s="41"/>
      <c r="WM125" s="41"/>
      <c r="WN125" s="41"/>
      <c r="WO125" s="41"/>
      <c r="WP125" s="41"/>
      <c r="WQ125" s="41"/>
      <c r="WR125" s="41"/>
      <c r="WS125" s="41"/>
      <c r="WT125" s="41"/>
      <c r="WU125" s="41"/>
      <c r="WV125" s="41"/>
      <c r="WW125" s="41"/>
      <c r="WX125" s="41"/>
      <c r="WY125" s="41"/>
      <c r="WZ125" s="41"/>
      <c r="XA125" s="41"/>
      <c r="XB125" s="41"/>
      <c r="XC125" s="41"/>
      <c r="XD125" s="41"/>
      <c r="XE125" s="41"/>
      <c r="XF125" s="41"/>
      <c r="XG125" s="41"/>
      <c r="XH125" s="41"/>
      <c r="XI125" s="41"/>
      <c r="XJ125" s="41"/>
      <c r="XK125" s="41"/>
      <c r="XL125" s="41"/>
      <c r="XM125" s="41"/>
      <c r="XN125" s="41"/>
      <c r="XO125" s="41"/>
      <c r="XP125" s="41"/>
      <c r="XQ125" s="41"/>
      <c r="XR125" s="41"/>
      <c r="XS125" s="41"/>
      <c r="XT125" s="41"/>
      <c r="XU125" s="41"/>
      <c r="XV125" s="41"/>
      <c r="XW125" s="41"/>
      <c r="XX125" s="41"/>
      <c r="XY125" s="41"/>
      <c r="XZ125" s="41"/>
      <c r="YA125" s="41"/>
      <c r="YB125" s="41"/>
      <c r="YC125" s="41"/>
      <c r="YD125" s="41"/>
      <c r="YE125" s="41"/>
      <c r="YF125" s="41"/>
      <c r="YG125" s="41"/>
      <c r="YH125" s="41"/>
      <c r="YI125" s="41"/>
      <c r="YJ125" s="41"/>
      <c r="YK125" s="41"/>
      <c r="YL125" s="41"/>
      <c r="YM125" s="41"/>
      <c r="YN125" s="41"/>
      <c r="YO125" s="41"/>
      <c r="YP125" s="41"/>
      <c r="YQ125" s="41"/>
      <c r="YR125" s="41"/>
      <c r="YS125" s="41"/>
      <c r="YT125" s="41"/>
      <c r="YU125" s="41"/>
      <c r="YV125" s="41"/>
      <c r="YW125" s="41"/>
      <c r="YX125" s="41"/>
      <c r="YY125" s="41"/>
      <c r="YZ125" s="41"/>
      <c r="ZA125" s="41"/>
      <c r="ZB125" s="41"/>
      <c r="ZC125" s="41"/>
      <c r="ZD125" s="41"/>
      <c r="ZE125" s="41"/>
      <c r="ZF125" s="41"/>
      <c r="ZG125" s="41"/>
      <c r="ZH125" s="41"/>
      <c r="ZI125" s="41"/>
      <c r="ZJ125" s="41"/>
      <c r="ZK125" s="41"/>
      <c r="ZL125" s="41"/>
      <c r="ZM125" s="41"/>
      <c r="ZN125" s="41"/>
      <c r="ZO125" s="41"/>
      <c r="ZP125" s="41"/>
      <c r="ZQ125" s="41"/>
      <c r="ZR125" s="41"/>
      <c r="ZS125" s="41"/>
      <c r="ZT125" s="41"/>
      <c r="ZU125" s="41"/>
      <c r="ZV125" s="41"/>
      <c r="ZW125" s="41"/>
      <c r="ZX125" s="41"/>
      <c r="ZY125" s="41"/>
      <c r="ZZ125" s="41"/>
      <c r="AAA125" s="41"/>
      <c r="AAB125" s="41"/>
      <c r="AAC125" s="41"/>
    </row>
    <row r="126" spans="1:705" s="42" customFormat="1" ht="44.1" hidden="1" customHeight="1" x14ac:dyDescent="0.3">
      <c r="A126" s="26">
        <v>122</v>
      </c>
      <c r="B126" s="137">
        <v>240176</v>
      </c>
      <c r="C126" s="138">
        <v>122</v>
      </c>
      <c r="D126" s="139">
        <v>45930</v>
      </c>
      <c r="E126" s="139">
        <f t="shared" si="18"/>
        <v>45929</v>
      </c>
      <c r="F126" s="139">
        <f t="shared" si="15"/>
        <v>45940</v>
      </c>
      <c r="G126" s="139">
        <v>45991</v>
      </c>
      <c r="H126" s="139">
        <v>45953</v>
      </c>
      <c r="I126" s="139" t="s">
        <v>123</v>
      </c>
      <c r="J126" s="140" t="s">
        <v>335</v>
      </c>
      <c r="K126" s="141">
        <f t="shared" si="19"/>
        <v>13</v>
      </c>
      <c r="L126" s="141">
        <v>1149387</v>
      </c>
      <c r="M126" s="140" t="s">
        <v>15</v>
      </c>
      <c r="N126" s="140">
        <v>804985</v>
      </c>
      <c r="O126" s="137" t="s">
        <v>246</v>
      </c>
      <c r="P126" s="143">
        <v>45949</v>
      </c>
      <c r="Q126" s="143">
        <v>46121</v>
      </c>
      <c r="R126" s="157" t="s">
        <v>211</v>
      </c>
      <c r="S126" s="144" t="s">
        <v>336</v>
      </c>
      <c r="T126" s="145">
        <v>1</v>
      </c>
      <c r="U126" s="137" t="s">
        <v>82</v>
      </c>
      <c r="V126" s="146">
        <v>40</v>
      </c>
      <c r="W126" s="146">
        <v>40</v>
      </c>
      <c r="X126" s="147">
        <v>0</v>
      </c>
      <c r="Y126" s="146">
        <v>0</v>
      </c>
      <c r="Z126" s="146">
        <v>0</v>
      </c>
      <c r="AA126" s="146">
        <v>0</v>
      </c>
      <c r="AB126" s="146">
        <v>20</v>
      </c>
      <c r="AC126" s="146">
        <v>20</v>
      </c>
      <c r="AD126" s="146">
        <v>0</v>
      </c>
      <c r="AE126" s="146">
        <v>0</v>
      </c>
      <c r="AF126" s="146">
        <v>0</v>
      </c>
      <c r="AG126" s="146">
        <v>0</v>
      </c>
      <c r="AH126" s="146">
        <v>1</v>
      </c>
      <c r="AI126" s="146">
        <v>1</v>
      </c>
      <c r="AJ126" s="146">
        <v>0</v>
      </c>
      <c r="AK126" s="146">
        <v>0</v>
      </c>
      <c r="AL126" s="146">
        <v>1</v>
      </c>
      <c r="AM126" s="146">
        <v>1</v>
      </c>
      <c r="AN126" s="146">
        <v>1</v>
      </c>
      <c r="AO126" s="146">
        <v>1</v>
      </c>
      <c r="AP126" s="146">
        <v>1</v>
      </c>
      <c r="AQ126" s="146">
        <v>1</v>
      </c>
      <c r="AR126" s="146">
        <v>0</v>
      </c>
      <c r="AS126" s="146">
        <v>0</v>
      </c>
      <c r="AT126" s="146">
        <v>1</v>
      </c>
      <c r="AU126" s="146">
        <v>1</v>
      </c>
      <c r="AV126" s="146">
        <v>0</v>
      </c>
      <c r="AW126" s="146">
        <v>0</v>
      </c>
      <c r="AX126" s="146">
        <f t="shared" si="21"/>
        <v>5340</v>
      </c>
      <c r="AY126" s="146">
        <f t="shared" si="20"/>
        <v>5340</v>
      </c>
      <c r="AZ126" s="140" t="s">
        <v>562</v>
      </c>
      <c r="BA126" s="140" t="s">
        <v>562</v>
      </c>
      <c r="BB126" s="137">
        <v>2</v>
      </c>
      <c r="BC126" s="148">
        <v>122</v>
      </c>
      <c r="BD126" s="149"/>
      <c r="BE126" s="145"/>
      <c r="BF126" s="150"/>
      <c r="BG126" s="151">
        <v>45931</v>
      </c>
      <c r="BH126" s="153" t="s">
        <v>535</v>
      </c>
      <c r="BI126" s="153" t="s">
        <v>562</v>
      </c>
      <c r="CC126" s="41"/>
      <c r="CD126" s="41"/>
      <c r="CE126" s="41"/>
      <c r="CF126" s="41"/>
      <c r="CG126" s="41"/>
      <c r="CH126" s="41"/>
      <c r="CI126" s="41"/>
      <c r="CJ126" s="41"/>
      <c r="CK126" s="41"/>
      <c r="CL126" s="41"/>
      <c r="CM126" s="41"/>
      <c r="CN126" s="41"/>
      <c r="CO126" s="41"/>
      <c r="CP126" s="41"/>
      <c r="CQ126" s="41"/>
      <c r="CR126" s="41"/>
      <c r="CS126" s="41"/>
      <c r="CT126" s="41"/>
      <c r="CU126" s="41"/>
      <c r="CV126" s="41"/>
      <c r="CW126" s="41"/>
      <c r="CX126" s="41"/>
      <c r="CY126" s="41"/>
      <c r="CZ126" s="41"/>
      <c r="DA126" s="41"/>
      <c r="DB126" s="41"/>
      <c r="DC126" s="41"/>
      <c r="DD126" s="41"/>
      <c r="DE126" s="41"/>
      <c r="DF126" s="41"/>
      <c r="DG126" s="41"/>
      <c r="DH126" s="41"/>
      <c r="DI126" s="41"/>
      <c r="DJ126" s="41"/>
      <c r="DK126" s="41"/>
      <c r="DL126" s="41"/>
      <c r="DM126" s="41"/>
      <c r="DN126" s="41"/>
      <c r="DO126" s="41"/>
      <c r="DP126" s="41"/>
      <c r="DQ126" s="41"/>
      <c r="DR126" s="41"/>
      <c r="DS126" s="41"/>
      <c r="DT126" s="41"/>
      <c r="DU126" s="41"/>
      <c r="DV126" s="41"/>
      <c r="DW126" s="41"/>
      <c r="DX126" s="41"/>
      <c r="DY126" s="41"/>
      <c r="DZ126" s="41"/>
      <c r="EA126" s="41"/>
      <c r="EB126" s="41"/>
      <c r="EC126" s="41"/>
      <c r="ED126" s="41"/>
      <c r="EE126" s="41"/>
      <c r="EF126" s="41"/>
      <c r="EG126" s="41"/>
      <c r="EH126" s="41"/>
      <c r="EI126" s="41"/>
      <c r="EJ126" s="41"/>
      <c r="EK126" s="41"/>
      <c r="EL126" s="41"/>
      <c r="EM126" s="41"/>
      <c r="EN126" s="41"/>
      <c r="EO126" s="41"/>
      <c r="EP126" s="41"/>
      <c r="EQ126" s="41"/>
      <c r="ER126" s="41"/>
      <c r="ES126" s="41"/>
      <c r="ET126" s="41"/>
      <c r="EU126" s="41"/>
      <c r="EV126" s="41"/>
      <c r="EW126" s="41"/>
      <c r="EX126" s="41"/>
      <c r="EY126" s="41"/>
      <c r="EZ126" s="41"/>
      <c r="FA126" s="41"/>
      <c r="FB126" s="41"/>
      <c r="FC126" s="41"/>
      <c r="FD126" s="41"/>
      <c r="FE126" s="41"/>
      <c r="FF126" s="41"/>
      <c r="FG126" s="41"/>
      <c r="FH126" s="41"/>
      <c r="FI126" s="41"/>
      <c r="FJ126" s="41"/>
      <c r="FK126" s="41"/>
      <c r="FL126" s="41"/>
      <c r="FM126" s="41"/>
      <c r="FN126" s="41"/>
      <c r="FO126" s="41"/>
      <c r="FP126" s="41"/>
      <c r="FQ126" s="41"/>
      <c r="FR126" s="41"/>
      <c r="FS126" s="41"/>
      <c r="FT126" s="41"/>
      <c r="FU126" s="41"/>
      <c r="FV126" s="41"/>
      <c r="FW126" s="41"/>
      <c r="FX126" s="41"/>
      <c r="FY126" s="41"/>
      <c r="FZ126" s="41"/>
      <c r="GA126" s="41"/>
      <c r="GB126" s="41"/>
      <c r="GC126" s="41"/>
      <c r="GD126" s="41"/>
      <c r="GE126" s="41"/>
      <c r="GF126" s="41"/>
      <c r="GG126" s="41"/>
      <c r="GH126" s="41"/>
      <c r="GI126" s="41"/>
      <c r="GJ126" s="41"/>
      <c r="GK126" s="41"/>
      <c r="GL126" s="41"/>
      <c r="GM126" s="41"/>
      <c r="GN126" s="41"/>
      <c r="GO126" s="41"/>
      <c r="GP126" s="41"/>
      <c r="GQ126" s="41"/>
      <c r="GR126" s="41"/>
      <c r="GS126" s="41"/>
      <c r="GT126" s="41"/>
      <c r="GU126" s="41"/>
      <c r="GV126" s="41"/>
      <c r="GW126" s="41"/>
      <c r="GX126" s="41"/>
      <c r="GY126" s="41"/>
      <c r="GZ126" s="41"/>
      <c r="HA126" s="41"/>
      <c r="HB126" s="41"/>
      <c r="HC126" s="41"/>
      <c r="HD126" s="41"/>
      <c r="HE126" s="41"/>
      <c r="HF126" s="41"/>
      <c r="HG126" s="41"/>
      <c r="HH126" s="41"/>
      <c r="HI126" s="41"/>
      <c r="HJ126" s="41"/>
      <c r="HK126" s="41"/>
      <c r="HL126" s="41"/>
      <c r="HM126" s="41"/>
      <c r="HN126" s="41"/>
      <c r="HO126" s="41"/>
      <c r="HP126" s="41"/>
      <c r="HQ126" s="41"/>
      <c r="HR126" s="41"/>
      <c r="HS126" s="41"/>
      <c r="HT126" s="41"/>
      <c r="HU126" s="41"/>
      <c r="HV126" s="41"/>
      <c r="HW126" s="41"/>
      <c r="HX126" s="41"/>
      <c r="HY126" s="41"/>
      <c r="HZ126" s="41"/>
      <c r="IA126" s="41"/>
      <c r="IB126" s="41"/>
      <c r="IC126" s="41"/>
      <c r="ID126" s="41"/>
      <c r="IE126" s="41"/>
      <c r="IF126" s="41"/>
      <c r="IG126" s="41"/>
      <c r="IH126" s="41"/>
      <c r="II126" s="41"/>
      <c r="IJ126" s="41"/>
      <c r="IK126" s="41"/>
      <c r="IL126" s="41"/>
      <c r="IM126" s="41"/>
      <c r="IN126" s="41"/>
      <c r="IO126" s="41"/>
      <c r="IP126" s="41"/>
      <c r="IQ126" s="41"/>
      <c r="IR126" s="41"/>
      <c r="IS126" s="41"/>
      <c r="IT126" s="41"/>
      <c r="IU126" s="41"/>
      <c r="IV126" s="41"/>
      <c r="IW126" s="41"/>
      <c r="IX126" s="41"/>
      <c r="IY126" s="41"/>
      <c r="IZ126" s="41"/>
      <c r="JA126" s="41"/>
      <c r="JB126" s="41"/>
      <c r="JC126" s="41"/>
      <c r="JD126" s="41"/>
      <c r="JE126" s="41"/>
      <c r="JF126" s="41"/>
      <c r="JG126" s="41"/>
      <c r="JH126" s="41"/>
      <c r="JI126" s="41"/>
      <c r="JJ126" s="41"/>
      <c r="JK126" s="41"/>
      <c r="JL126" s="41"/>
      <c r="JM126" s="41"/>
      <c r="JN126" s="41"/>
      <c r="JO126" s="41"/>
      <c r="JP126" s="41"/>
      <c r="JQ126" s="41"/>
      <c r="JR126" s="41"/>
      <c r="JS126" s="41"/>
      <c r="JT126" s="41"/>
      <c r="JU126" s="41"/>
      <c r="JV126" s="41"/>
      <c r="JW126" s="41"/>
      <c r="JX126" s="41"/>
      <c r="JY126" s="41"/>
      <c r="JZ126" s="41"/>
      <c r="KA126" s="41"/>
      <c r="KB126" s="41"/>
      <c r="KC126" s="41"/>
      <c r="KD126" s="41"/>
      <c r="KE126" s="41"/>
      <c r="KF126" s="41"/>
      <c r="KG126" s="41"/>
      <c r="KH126" s="41"/>
      <c r="KI126" s="41"/>
      <c r="KJ126" s="41"/>
      <c r="KK126" s="41"/>
      <c r="KL126" s="41"/>
      <c r="KM126" s="41"/>
      <c r="KN126" s="41"/>
      <c r="KO126" s="41"/>
      <c r="KP126" s="41"/>
      <c r="KQ126" s="41"/>
      <c r="KR126" s="41"/>
      <c r="KS126" s="41"/>
      <c r="KT126" s="41"/>
      <c r="KU126" s="41"/>
      <c r="KV126" s="41"/>
      <c r="KW126" s="41"/>
      <c r="KX126" s="41"/>
      <c r="KY126" s="41"/>
      <c r="KZ126" s="41"/>
      <c r="LA126" s="41"/>
      <c r="LB126" s="41"/>
      <c r="LC126" s="41"/>
      <c r="LD126" s="41"/>
      <c r="LE126" s="41"/>
      <c r="LF126" s="41"/>
      <c r="LG126" s="41"/>
      <c r="LH126" s="41"/>
      <c r="LI126" s="41"/>
      <c r="LJ126" s="41"/>
      <c r="LK126" s="41"/>
      <c r="LL126" s="41"/>
      <c r="LM126" s="41"/>
      <c r="LN126" s="41"/>
      <c r="LO126" s="41"/>
      <c r="LP126" s="41"/>
      <c r="LQ126" s="41"/>
      <c r="LR126" s="41"/>
      <c r="LS126" s="41"/>
      <c r="LT126" s="41"/>
      <c r="LU126" s="41"/>
      <c r="LV126" s="41"/>
      <c r="LW126" s="41"/>
      <c r="LX126" s="41"/>
      <c r="LY126" s="41"/>
      <c r="LZ126" s="41"/>
      <c r="MA126" s="41"/>
      <c r="MB126" s="41"/>
      <c r="MC126" s="41"/>
      <c r="MD126" s="41"/>
      <c r="ME126" s="41"/>
      <c r="MF126" s="41"/>
      <c r="MG126" s="41"/>
      <c r="MH126" s="41"/>
      <c r="MI126" s="41"/>
      <c r="MJ126" s="41"/>
      <c r="MK126" s="41"/>
      <c r="ML126" s="41"/>
      <c r="MM126" s="41"/>
      <c r="MN126" s="41"/>
      <c r="MO126" s="41"/>
      <c r="MP126" s="41"/>
      <c r="MQ126" s="41"/>
      <c r="MR126" s="41"/>
      <c r="MS126" s="41"/>
      <c r="MT126" s="41"/>
      <c r="MU126" s="41"/>
      <c r="MV126" s="41"/>
      <c r="MW126" s="41"/>
      <c r="MX126" s="41"/>
      <c r="MY126" s="41"/>
      <c r="MZ126" s="41"/>
      <c r="NA126" s="41"/>
      <c r="NB126" s="41"/>
      <c r="NC126" s="41"/>
      <c r="ND126" s="41"/>
      <c r="NE126" s="41"/>
      <c r="NF126" s="41"/>
      <c r="NG126" s="41"/>
      <c r="NH126" s="41"/>
      <c r="NI126" s="41"/>
      <c r="NJ126" s="41"/>
      <c r="NK126" s="41"/>
      <c r="NL126" s="41"/>
      <c r="NM126" s="41"/>
      <c r="NN126" s="41"/>
      <c r="NO126" s="41"/>
      <c r="NP126" s="41"/>
      <c r="NQ126" s="41"/>
      <c r="NR126" s="41"/>
      <c r="NS126" s="41"/>
      <c r="NT126" s="41"/>
      <c r="NU126" s="41"/>
      <c r="NV126" s="41"/>
      <c r="NW126" s="41"/>
      <c r="NX126" s="41"/>
      <c r="NY126" s="41"/>
      <c r="NZ126" s="41"/>
      <c r="OA126" s="41"/>
      <c r="OB126" s="41"/>
      <c r="OC126" s="41"/>
      <c r="OD126" s="41"/>
      <c r="OE126" s="41"/>
      <c r="OF126" s="41"/>
      <c r="OG126" s="41"/>
      <c r="OH126" s="41"/>
      <c r="OI126" s="41"/>
      <c r="OJ126" s="41"/>
      <c r="OK126" s="41"/>
      <c r="OL126" s="41"/>
      <c r="OM126" s="41"/>
      <c r="ON126" s="41"/>
      <c r="OO126" s="41"/>
      <c r="OP126" s="41"/>
      <c r="OQ126" s="41"/>
      <c r="OR126" s="41"/>
      <c r="OS126" s="41"/>
      <c r="OT126" s="41"/>
      <c r="OU126" s="41"/>
      <c r="OV126" s="41"/>
      <c r="OW126" s="41"/>
      <c r="OX126" s="41"/>
      <c r="OY126" s="41"/>
      <c r="OZ126" s="41"/>
      <c r="PA126" s="41"/>
      <c r="PB126" s="41"/>
      <c r="PC126" s="41"/>
      <c r="PD126" s="41"/>
      <c r="PE126" s="41"/>
      <c r="PF126" s="41"/>
      <c r="PG126" s="41"/>
      <c r="PH126" s="41"/>
      <c r="PI126" s="41"/>
      <c r="PJ126" s="41"/>
      <c r="PK126" s="41"/>
      <c r="PL126" s="41"/>
      <c r="PM126" s="41"/>
      <c r="PN126" s="41"/>
      <c r="PO126" s="41"/>
      <c r="PP126" s="41"/>
      <c r="PQ126" s="41"/>
      <c r="PR126" s="41"/>
      <c r="PS126" s="41"/>
      <c r="PT126" s="41"/>
      <c r="PU126" s="41"/>
      <c r="PV126" s="41"/>
      <c r="PW126" s="41"/>
      <c r="PX126" s="41"/>
      <c r="PY126" s="41"/>
      <c r="PZ126" s="41"/>
      <c r="QA126" s="41"/>
      <c r="QB126" s="41"/>
      <c r="QC126" s="41"/>
      <c r="QD126" s="41"/>
      <c r="QE126" s="41"/>
      <c r="QF126" s="41"/>
      <c r="QG126" s="41"/>
      <c r="QH126" s="41"/>
      <c r="QI126" s="41"/>
      <c r="QJ126" s="41"/>
      <c r="QK126" s="41"/>
      <c r="QL126" s="41"/>
      <c r="QM126" s="41"/>
      <c r="QN126" s="41"/>
      <c r="QO126" s="41"/>
      <c r="QP126" s="41"/>
      <c r="QQ126" s="41"/>
      <c r="QR126" s="41"/>
      <c r="QS126" s="41"/>
      <c r="QT126" s="41"/>
      <c r="QU126" s="41"/>
      <c r="QV126" s="41"/>
      <c r="QW126" s="41"/>
      <c r="QX126" s="41"/>
      <c r="QY126" s="41"/>
      <c r="QZ126" s="41"/>
      <c r="RA126" s="41"/>
      <c r="RB126" s="41"/>
      <c r="RC126" s="41"/>
      <c r="RD126" s="41"/>
      <c r="RE126" s="41"/>
      <c r="RF126" s="41"/>
      <c r="RG126" s="41"/>
      <c r="RH126" s="41"/>
      <c r="RI126" s="41"/>
      <c r="RJ126" s="41"/>
      <c r="RK126" s="41"/>
      <c r="RL126" s="41"/>
      <c r="RM126" s="41"/>
      <c r="RN126" s="41"/>
      <c r="RO126" s="41"/>
      <c r="RP126" s="41"/>
      <c r="RQ126" s="41"/>
      <c r="RR126" s="41"/>
      <c r="RS126" s="41"/>
      <c r="RT126" s="41"/>
      <c r="RU126" s="41"/>
      <c r="RV126" s="41"/>
      <c r="RW126" s="41"/>
      <c r="RX126" s="41"/>
      <c r="RY126" s="41"/>
      <c r="RZ126" s="41"/>
      <c r="SA126" s="41"/>
      <c r="SB126" s="41"/>
      <c r="SC126" s="41"/>
      <c r="SD126" s="41"/>
      <c r="SE126" s="41"/>
      <c r="SF126" s="41"/>
      <c r="SG126" s="41"/>
      <c r="SH126" s="41"/>
      <c r="SI126" s="41"/>
      <c r="SJ126" s="41"/>
      <c r="SK126" s="41"/>
      <c r="SL126" s="41"/>
      <c r="SM126" s="41"/>
      <c r="SN126" s="41"/>
      <c r="SO126" s="41"/>
      <c r="SP126" s="41"/>
      <c r="SQ126" s="41"/>
      <c r="SR126" s="41"/>
      <c r="SS126" s="41"/>
      <c r="ST126" s="41"/>
      <c r="SU126" s="41"/>
      <c r="SV126" s="41"/>
      <c r="SW126" s="41"/>
      <c r="SX126" s="41"/>
      <c r="SY126" s="41"/>
      <c r="SZ126" s="41"/>
      <c r="TA126" s="41"/>
      <c r="TB126" s="41"/>
      <c r="TC126" s="41"/>
      <c r="TD126" s="41"/>
      <c r="TE126" s="41"/>
      <c r="TF126" s="41"/>
      <c r="TG126" s="41"/>
      <c r="TH126" s="41"/>
      <c r="TI126" s="41"/>
      <c r="TJ126" s="41"/>
      <c r="TK126" s="41"/>
      <c r="TL126" s="41"/>
      <c r="TM126" s="41"/>
      <c r="TN126" s="41"/>
      <c r="TO126" s="41"/>
      <c r="TP126" s="41"/>
      <c r="TQ126" s="41"/>
      <c r="TR126" s="41"/>
      <c r="TS126" s="41"/>
      <c r="TT126" s="41"/>
      <c r="TU126" s="41"/>
      <c r="TV126" s="41"/>
      <c r="TW126" s="41"/>
      <c r="TX126" s="41"/>
      <c r="TY126" s="41"/>
      <c r="TZ126" s="41"/>
      <c r="UA126" s="41"/>
      <c r="UB126" s="41"/>
      <c r="UC126" s="41"/>
      <c r="UD126" s="41"/>
      <c r="UE126" s="41"/>
      <c r="UF126" s="41"/>
      <c r="UG126" s="41"/>
      <c r="UH126" s="41"/>
      <c r="UI126" s="41"/>
      <c r="UJ126" s="41"/>
      <c r="UK126" s="41"/>
      <c r="UL126" s="41"/>
      <c r="UM126" s="41"/>
      <c r="UN126" s="41"/>
      <c r="UO126" s="41"/>
      <c r="UP126" s="41"/>
      <c r="UQ126" s="41"/>
      <c r="UR126" s="41"/>
      <c r="US126" s="41"/>
      <c r="UT126" s="41"/>
      <c r="UU126" s="41"/>
      <c r="UV126" s="41"/>
      <c r="UW126" s="41"/>
      <c r="UX126" s="41"/>
      <c r="UY126" s="41"/>
      <c r="UZ126" s="41"/>
      <c r="VA126" s="41"/>
      <c r="VB126" s="41"/>
      <c r="VC126" s="41"/>
      <c r="VD126" s="41"/>
      <c r="VE126" s="41"/>
      <c r="VF126" s="41"/>
      <c r="VG126" s="41"/>
      <c r="VH126" s="41"/>
      <c r="VI126" s="41"/>
      <c r="VJ126" s="41"/>
      <c r="VK126" s="41"/>
      <c r="VL126" s="41"/>
      <c r="VM126" s="41"/>
      <c r="VN126" s="41"/>
      <c r="VO126" s="41"/>
      <c r="VP126" s="41"/>
      <c r="VQ126" s="41"/>
      <c r="VR126" s="41"/>
      <c r="VS126" s="41"/>
      <c r="VT126" s="41"/>
      <c r="VU126" s="41"/>
      <c r="VV126" s="41"/>
      <c r="VW126" s="41"/>
      <c r="VX126" s="41"/>
      <c r="VY126" s="41"/>
      <c r="VZ126" s="41"/>
      <c r="WA126" s="41"/>
      <c r="WB126" s="41"/>
      <c r="WC126" s="41"/>
      <c r="WD126" s="41"/>
      <c r="WE126" s="41"/>
      <c r="WF126" s="41"/>
      <c r="WG126" s="41"/>
      <c r="WH126" s="41"/>
      <c r="WI126" s="41"/>
      <c r="WJ126" s="41"/>
      <c r="WK126" s="41"/>
      <c r="WL126" s="41"/>
      <c r="WM126" s="41"/>
      <c r="WN126" s="41"/>
      <c r="WO126" s="41"/>
      <c r="WP126" s="41"/>
      <c r="WQ126" s="41"/>
      <c r="WR126" s="41"/>
      <c r="WS126" s="41"/>
      <c r="WT126" s="41"/>
      <c r="WU126" s="41"/>
      <c r="WV126" s="41"/>
      <c r="WW126" s="41"/>
      <c r="WX126" s="41"/>
      <c r="WY126" s="41"/>
      <c r="WZ126" s="41"/>
      <c r="XA126" s="41"/>
      <c r="XB126" s="41"/>
      <c r="XC126" s="41"/>
      <c r="XD126" s="41"/>
      <c r="XE126" s="41"/>
      <c r="XF126" s="41"/>
      <c r="XG126" s="41"/>
      <c r="XH126" s="41"/>
      <c r="XI126" s="41"/>
      <c r="XJ126" s="41"/>
      <c r="XK126" s="41"/>
      <c r="XL126" s="41"/>
      <c r="XM126" s="41"/>
      <c r="XN126" s="41"/>
      <c r="XO126" s="41"/>
      <c r="XP126" s="41"/>
      <c r="XQ126" s="41"/>
      <c r="XR126" s="41"/>
      <c r="XS126" s="41"/>
      <c r="XT126" s="41"/>
      <c r="XU126" s="41"/>
      <c r="XV126" s="41"/>
      <c r="XW126" s="41"/>
      <c r="XX126" s="41"/>
      <c r="XY126" s="41"/>
      <c r="XZ126" s="41"/>
      <c r="YA126" s="41"/>
      <c r="YB126" s="41"/>
      <c r="YC126" s="41"/>
      <c r="YD126" s="41"/>
      <c r="YE126" s="41"/>
      <c r="YF126" s="41"/>
      <c r="YG126" s="41"/>
      <c r="YH126" s="41"/>
      <c r="YI126" s="41"/>
      <c r="YJ126" s="41"/>
      <c r="YK126" s="41"/>
      <c r="YL126" s="41"/>
      <c r="YM126" s="41"/>
      <c r="YN126" s="41"/>
      <c r="YO126" s="41"/>
      <c r="YP126" s="41"/>
      <c r="YQ126" s="41"/>
      <c r="YR126" s="41"/>
      <c r="YS126" s="41"/>
      <c r="YT126" s="41"/>
      <c r="YU126" s="41"/>
      <c r="YV126" s="41"/>
      <c r="YW126" s="41"/>
      <c r="YX126" s="41"/>
      <c r="YY126" s="41"/>
      <c r="YZ126" s="41"/>
      <c r="ZA126" s="41"/>
      <c r="ZB126" s="41"/>
      <c r="ZC126" s="41"/>
      <c r="ZD126" s="41"/>
      <c r="ZE126" s="41"/>
      <c r="ZF126" s="41"/>
      <c r="ZG126" s="41"/>
      <c r="ZH126" s="41"/>
      <c r="ZI126" s="41"/>
      <c r="ZJ126" s="41"/>
      <c r="ZK126" s="41"/>
      <c r="ZL126" s="41"/>
      <c r="ZM126" s="41"/>
      <c r="ZN126" s="41"/>
      <c r="ZO126" s="41"/>
      <c r="ZP126" s="41"/>
      <c r="ZQ126" s="41"/>
      <c r="ZR126" s="41"/>
      <c r="ZS126" s="41"/>
      <c r="ZT126" s="41"/>
      <c r="ZU126" s="41"/>
      <c r="ZV126" s="41"/>
      <c r="ZW126" s="41"/>
      <c r="ZX126" s="41"/>
      <c r="ZY126" s="41"/>
      <c r="ZZ126" s="41"/>
      <c r="AAA126" s="41"/>
      <c r="AAB126" s="41"/>
      <c r="AAC126" s="41"/>
    </row>
    <row r="127" spans="1:705" s="134" customFormat="1" ht="44.1" hidden="1" customHeight="1" x14ac:dyDescent="0.3">
      <c r="A127" s="26">
        <v>123</v>
      </c>
      <c r="B127" s="137">
        <v>240218</v>
      </c>
      <c r="C127" s="138">
        <v>123</v>
      </c>
      <c r="D127" s="139">
        <v>45930</v>
      </c>
      <c r="E127" s="139">
        <f t="shared" si="18"/>
        <v>45929</v>
      </c>
      <c r="F127" s="139">
        <f t="shared" si="15"/>
        <v>45940</v>
      </c>
      <c r="G127" s="139">
        <v>46021</v>
      </c>
      <c r="H127" s="139">
        <v>45966</v>
      </c>
      <c r="I127" s="139" t="s">
        <v>321</v>
      </c>
      <c r="J127" s="140" t="s">
        <v>341</v>
      </c>
      <c r="K127" s="141">
        <f t="shared" si="19"/>
        <v>26</v>
      </c>
      <c r="L127" s="142">
        <v>1149444</v>
      </c>
      <c r="M127" s="140" t="s">
        <v>15</v>
      </c>
      <c r="N127" s="140">
        <v>805337</v>
      </c>
      <c r="O127" s="137" t="s">
        <v>246</v>
      </c>
      <c r="P127" s="143">
        <v>45950</v>
      </c>
      <c r="Q127" s="143">
        <v>46128</v>
      </c>
      <c r="R127" s="157" t="s">
        <v>211</v>
      </c>
      <c r="S127" s="144" t="s">
        <v>342</v>
      </c>
      <c r="T127" s="145">
        <v>1</v>
      </c>
      <c r="U127" s="137" t="s">
        <v>169</v>
      </c>
      <c r="V127" s="146">
        <v>40</v>
      </c>
      <c r="W127" s="146">
        <v>40</v>
      </c>
      <c r="X127" s="147">
        <v>0</v>
      </c>
      <c r="Y127" s="146"/>
      <c r="Z127" s="146">
        <v>0</v>
      </c>
      <c r="AA127" s="146">
        <v>0</v>
      </c>
      <c r="AB127" s="146">
        <v>0</v>
      </c>
      <c r="AC127" s="146"/>
      <c r="AD127" s="146">
        <v>0</v>
      </c>
      <c r="AE127" s="146">
        <v>0</v>
      </c>
      <c r="AF127" s="146">
        <v>0</v>
      </c>
      <c r="AG127" s="146">
        <v>0</v>
      </c>
      <c r="AH127" s="146">
        <v>0</v>
      </c>
      <c r="AI127" s="146">
        <v>0</v>
      </c>
      <c r="AJ127" s="146">
        <v>0</v>
      </c>
      <c r="AK127" s="146"/>
      <c r="AL127" s="146">
        <v>1</v>
      </c>
      <c r="AM127" s="146">
        <v>1</v>
      </c>
      <c r="AN127" s="146">
        <v>1</v>
      </c>
      <c r="AO127" s="146">
        <v>1</v>
      </c>
      <c r="AP127" s="146">
        <v>1</v>
      </c>
      <c r="AQ127" s="146">
        <v>1</v>
      </c>
      <c r="AR127" s="146">
        <v>0</v>
      </c>
      <c r="AS127" s="146">
        <v>0</v>
      </c>
      <c r="AT127" s="146">
        <v>0</v>
      </c>
      <c r="AU127" s="146"/>
      <c r="AV127" s="146">
        <v>0</v>
      </c>
      <c r="AW127" s="146">
        <v>0</v>
      </c>
      <c r="AX127" s="146">
        <f t="shared" si="21"/>
        <v>3680</v>
      </c>
      <c r="AY127" s="146">
        <f t="shared" si="20"/>
        <v>3680</v>
      </c>
      <c r="AZ127" s="140" t="s">
        <v>562</v>
      </c>
      <c r="BA127" s="140" t="s">
        <v>562</v>
      </c>
      <c r="BB127" s="137">
        <v>2</v>
      </c>
      <c r="BC127" s="148">
        <v>123</v>
      </c>
      <c r="BD127" s="149"/>
      <c r="BE127" s="145"/>
      <c r="BF127" s="150"/>
      <c r="BG127" s="188">
        <v>45962</v>
      </c>
      <c r="BH127" s="153" t="s">
        <v>535</v>
      </c>
      <c r="BI127" s="153" t="s">
        <v>562</v>
      </c>
      <c r="BJ127" s="42"/>
      <c r="BK127" s="42"/>
      <c r="BL127" s="42"/>
      <c r="BM127" s="42"/>
      <c r="BN127" s="42"/>
      <c r="BO127" s="42"/>
      <c r="BP127" s="42"/>
      <c r="BQ127" s="42"/>
      <c r="BR127" s="42"/>
      <c r="BS127" s="42"/>
      <c r="BT127" s="42"/>
      <c r="BU127" s="42"/>
      <c r="BV127" s="42"/>
      <c r="BW127" s="42"/>
      <c r="BX127" s="42"/>
      <c r="BY127" s="42"/>
      <c r="BZ127" s="42"/>
      <c r="CA127" s="42"/>
      <c r="CB127" s="42"/>
      <c r="CC127" s="42"/>
      <c r="CD127" s="42"/>
      <c r="CE127" s="42"/>
      <c r="CF127" s="42"/>
      <c r="CG127" s="42"/>
      <c r="CH127" s="42"/>
      <c r="CI127" s="42"/>
      <c r="CJ127" s="42"/>
      <c r="CK127" s="42"/>
      <c r="CL127" s="42"/>
      <c r="CM127" s="42"/>
      <c r="CN127" s="42"/>
      <c r="CO127" s="42"/>
      <c r="CP127" s="42"/>
      <c r="CQ127" s="42"/>
      <c r="CR127" s="42"/>
      <c r="CS127" s="42"/>
      <c r="CT127" s="42"/>
      <c r="CU127" s="42"/>
      <c r="CV127" s="42"/>
      <c r="CW127" s="42"/>
      <c r="CX127" s="42"/>
      <c r="CY127" s="42"/>
      <c r="CZ127" s="42"/>
      <c r="DA127" s="42"/>
      <c r="DB127" s="42"/>
      <c r="DC127" s="42"/>
      <c r="DD127" s="42"/>
      <c r="DE127" s="42"/>
      <c r="DF127" s="42"/>
      <c r="DG127" s="42"/>
      <c r="DH127" s="42"/>
      <c r="DI127" s="42"/>
      <c r="DJ127" s="42"/>
      <c r="DK127" s="42"/>
      <c r="DL127" s="42"/>
      <c r="DM127" s="42"/>
      <c r="DN127" s="42"/>
      <c r="DO127" s="42"/>
      <c r="DP127" s="42"/>
      <c r="DQ127" s="42"/>
      <c r="DR127" s="42"/>
      <c r="DS127" s="42"/>
      <c r="DT127" s="42"/>
      <c r="DU127" s="42"/>
      <c r="DV127" s="42"/>
      <c r="DW127" s="42"/>
      <c r="DX127" s="42"/>
      <c r="DY127" s="42"/>
      <c r="DZ127" s="42"/>
      <c r="EA127" s="42"/>
      <c r="EB127" s="42"/>
      <c r="EC127" s="42"/>
      <c r="ED127" s="42"/>
      <c r="EE127" s="42"/>
      <c r="EF127" s="42"/>
      <c r="EG127" s="42"/>
      <c r="EH127" s="42"/>
      <c r="EI127" s="42"/>
      <c r="EJ127" s="42"/>
      <c r="EK127" s="42"/>
      <c r="EL127" s="42"/>
      <c r="EM127" s="42"/>
      <c r="EN127" s="42"/>
      <c r="EO127" s="42"/>
      <c r="EP127" s="42"/>
      <c r="EQ127" s="42"/>
      <c r="ER127" s="42"/>
      <c r="ES127" s="42"/>
      <c r="ET127" s="42"/>
      <c r="EU127" s="42"/>
      <c r="EV127" s="42"/>
      <c r="EW127" s="42"/>
      <c r="EX127" s="42"/>
      <c r="EY127" s="42"/>
      <c r="EZ127" s="42"/>
      <c r="FA127" s="42"/>
      <c r="FB127" s="42"/>
      <c r="FC127" s="42"/>
      <c r="FD127" s="42"/>
      <c r="FE127" s="42"/>
      <c r="FF127" s="42"/>
      <c r="FG127" s="42"/>
      <c r="FH127" s="42"/>
      <c r="FI127" s="42"/>
      <c r="FJ127" s="42"/>
      <c r="FK127" s="42"/>
      <c r="FL127" s="42"/>
      <c r="FM127" s="42"/>
      <c r="FN127" s="42"/>
      <c r="FO127" s="42"/>
      <c r="FP127" s="42"/>
      <c r="FQ127" s="42"/>
      <c r="FR127" s="42"/>
      <c r="FS127" s="42"/>
      <c r="FT127" s="42"/>
      <c r="FU127" s="42"/>
      <c r="FV127" s="42"/>
      <c r="FW127" s="42"/>
      <c r="FX127" s="42"/>
      <c r="FY127" s="42"/>
      <c r="FZ127" s="42"/>
      <c r="GA127" s="42"/>
      <c r="GB127" s="42"/>
      <c r="GC127" s="42"/>
      <c r="GD127" s="42"/>
      <c r="GE127" s="42"/>
      <c r="GF127" s="42"/>
      <c r="GG127" s="42"/>
      <c r="GH127" s="42"/>
      <c r="GI127" s="42"/>
      <c r="GJ127" s="42"/>
      <c r="GK127" s="42"/>
      <c r="GL127" s="42"/>
      <c r="GM127" s="42"/>
      <c r="GN127" s="42"/>
      <c r="GO127" s="42"/>
      <c r="GP127" s="42"/>
      <c r="GQ127" s="42"/>
      <c r="GR127" s="42"/>
      <c r="GS127" s="42"/>
      <c r="GT127" s="42"/>
      <c r="GU127" s="42"/>
      <c r="GV127" s="42"/>
      <c r="GW127" s="42"/>
      <c r="GX127" s="42"/>
      <c r="GY127" s="42"/>
      <c r="GZ127" s="42"/>
      <c r="HA127" s="42"/>
      <c r="HB127" s="42"/>
      <c r="HC127" s="42"/>
      <c r="HD127" s="42"/>
      <c r="HE127" s="42"/>
      <c r="HF127" s="42"/>
      <c r="HG127" s="42"/>
      <c r="HH127" s="42"/>
      <c r="HI127" s="42"/>
      <c r="HJ127" s="42"/>
      <c r="HK127" s="42"/>
      <c r="HL127" s="42"/>
      <c r="HM127" s="42"/>
      <c r="HN127" s="42"/>
      <c r="HO127" s="42"/>
      <c r="HP127" s="42"/>
      <c r="HQ127" s="42"/>
      <c r="HR127" s="42"/>
      <c r="HS127" s="42"/>
      <c r="HT127" s="42"/>
      <c r="HU127" s="42"/>
      <c r="HV127" s="42"/>
      <c r="HW127" s="42"/>
      <c r="HX127" s="42"/>
      <c r="HY127" s="42"/>
      <c r="HZ127" s="42"/>
      <c r="IA127" s="42"/>
      <c r="IB127" s="42"/>
      <c r="IC127" s="42"/>
      <c r="ID127" s="42"/>
      <c r="IE127" s="42"/>
      <c r="IF127" s="42"/>
      <c r="IG127" s="42"/>
      <c r="IH127" s="42"/>
      <c r="II127" s="42"/>
      <c r="IJ127" s="42"/>
      <c r="IK127" s="42"/>
      <c r="IL127" s="42"/>
      <c r="IM127" s="42"/>
      <c r="IN127" s="42"/>
      <c r="IO127" s="42"/>
      <c r="IP127" s="42"/>
      <c r="IQ127" s="42"/>
      <c r="IR127" s="42"/>
      <c r="IS127" s="42"/>
      <c r="IT127" s="42"/>
      <c r="IU127" s="42"/>
      <c r="IV127" s="42"/>
      <c r="IW127" s="42"/>
      <c r="IX127" s="42"/>
      <c r="IY127" s="42"/>
      <c r="IZ127" s="42"/>
      <c r="JA127" s="42"/>
      <c r="JB127" s="42"/>
      <c r="JC127" s="42"/>
      <c r="JD127" s="42"/>
      <c r="JE127" s="42"/>
      <c r="JF127" s="42"/>
      <c r="JG127" s="42"/>
      <c r="JH127" s="42"/>
      <c r="JI127" s="42"/>
      <c r="JJ127" s="42"/>
      <c r="JK127" s="42"/>
      <c r="JL127" s="42"/>
      <c r="JM127" s="42"/>
      <c r="JN127" s="42"/>
      <c r="JO127" s="42"/>
      <c r="JP127" s="42"/>
      <c r="JQ127" s="42"/>
      <c r="JR127" s="42"/>
      <c r="JS127" s="42"/>
      <c r="JT127" s="42"/>
      <c r="JU127" s="42"/>
      <c r="JV127" s="42"/>
      <c r="JW127" s="42"/>
      <c r="JX127" s="42"/>
      <c r="JY127" s="42"/>
      <c r="JZ127" s="42"/>
      <c r="KA127" s="42"/>
      <c r="KB127" s="42"/>
      <c r="KC127" s="42"/>
      <c r="KD127" s="42"/>
      <c r="KE127" s="42"/>
      <c r="KF127" s="42"/>
      <c r="KG127" s="42"/>
      <c r="KH127" s="42"/>
      <c r="KI127" s="42"/>
      <c r="KJ127" s="42"/>
      <c r="KK127" s="42"/>
      <c r="KL127" s="42"/>
      <c r="KM127" s="42"/>
      <c r="KN127" s="42"/>
      <c r="KO127" s="42"/>
      <c r="KP127" s="42"/>
      <c r="KQ127" s="42"/>
      <c r="KR127" s="42"/>
      <c r="KS127" s="42"/>
      <c r="KT127" s="42"/>
      <c r="KU127" s="42"/>
      <c r="KV127" s="42"/>
      <c r="KW127" s="42"/>
      <c r="KX127" s="42"/>
      <c r="KY127" s="42"/>
      <c r="KZ127" s="42"/>
      <c r="LA127" s="42"/>
      <c r="LB127" s="42"/>
      <c r="LC127" s="42"/>
      <c r="LD127" s="42"/>
      <c r="LE127" s="42"/>
      <c r="LF127" s="42"/>
      <c r="LG127" s="42"/>
      <c r="LH127" s="42"/>
      <c r="LI127" s="42"/>
      <c r="LJ127" s="42"/>
      <c r="LK127" s="42"/>
      <c r="LL127" s="42"/>
      <c r="LM127" s="42"/>
      <c r="LN127" s="42"/>
      <c r="LO127" s="42"/>
      <c r="LP127" s="42"/>
      <c r="LQ127" s="42"/>
      <c r="LR127" s="42"/>
      <c r="LS127" s="42"/>
      <c r="LT127" s="42"/>
      <c r="LU127" s="42"/>
      <c r="LV127" s="42"/>
      <c r="LW127" s="42"/>
      <c r="LX127" s="42"/>
      <c r="LY127" s="42"/>
      <c r="LZ127" s="42"/>
      <c r="MA127" s="42"/>
      <c r="MB127" s="42"/>
      <c r="MC127" s="42"/>
      <c r="MD127" s="42"/>
      <c r="ME127" s="42"/>
      <c r="MF127" s="42"/>
      <c r="MG127" s="42"/>
      <c r="MH127" s="42"/>
      <c r="MI127" s="42"/>
      <c r="MJ127" s="42"/>
      <c r="MK127" s="42"/>
      <c r="ML127" s="42"/>
      <c r="MM127" s="42"/>
      <c r="MN127" s="42"/>
      <c r="MO127" s="42"/>
      <c r="MP127" s="42"/>
      <c r="MQ127" s="42"/>
      <c r="MR127" s="42"/>
      <c r="MS127" s="42"/>
      <c r="MT127" s="42"/>
      <c r="MU127" s="42"/>
      <c r="MV127" s="42"/>
      <c r="MW127" s="42"/>
      <c r="MX127" s="42"/>
      <c r="MY127" s="42"/>
      <c r="MZ127" s="42"/>
      <c r="NA127" s="42"/>
      <c r="NB127" s="42"/>
      <c r="NC127" s="42"/>
      <c r="ND127" s="42"/>
      <c r="NE127" s="42"/>
      <c r="NF127" s="42"/>
      <c r="NG127" s="42"/>
      <c r="NH127" s="42"/>
      <c r="NI127" s="42"/>
      <c r="NJ127" s="42"/>
      <c r="NK127" s="42"/>
      <c r="NL127" s="42"/>
      <c r="NM127" s="42"/>
      <c r="NN127" s="42"/>
      <c r="NO127" s="42"/>
      <c r="NP127" s="42"/>
      <c r="NQ127" s="42"/>
      <c r="NR127" s="42"/>
      <c r="NS127" s="42"/>
      <c r="NT127" s="42"/>
      <c r="NU127" s="42"/>
      <c r="NV127" s="42"/>
      <c r="NW127" s="42"/>
      <c r="NX127" s="42"/>
      <c r="NY127" s="42"/>
      <c r="NZ127" s="42"/>
      <c r="OA127" s="42"/>
      <c r="OB127" s="42"/>
      <c r="OC127" s="42"/>
      <c r="OD127" s="42"/>
      <c r="OE127" s="42"/>
      <c r="OF127" s="42"/>
      <c r="OG127" s="42"/>
      <c r="OH127" s="42"/>
      <c r="OI127" s="42"/>
      <c r="OJ127" s="42"/>
      <c r="OK127" s="42"/>
      <c r="OL127" s="42"/>
      <c r="OM127" s="42"/>
      <c r="ON127" s="42"/>
      <c r="OO127" s="42"/>
      <c r="OP127" s="42"/>
      <c r="OQ127" s="42"/>
      <c r="OR127" s="42"/>
      <c r="OS127" s="42"/>
      <c r="OT127" s="42"/>
      <c r="OU127" s="42"/>
      <c r="OV127" s="42"/>
      <c r="OW127" s="42"/>
      <c r="OX127" s="42"/>
      <c r="OY127" s="42"/>
      <c r="OZ127" s="42"/>
      <c r="PA127" s="42"/>
      <c r="PB127" s="42"/>
      <c r="PC127" s="42"/>
      <c r="PD127" s="42"/>
      <c r="PE127" s="42"/>
      <c r="PF127" s="42"/>
      <c r="PG127" s="42"/>
      <c r="PH127" s="42"/>
      <c r="PI127" s="42"/>
      <c r="PJ127" s="42"/>
      <c r="PK127" s="42"/>
      <c r="PL127" s="42"/>
      <c r="PM127" s="42"/>
      <c r="PN127" s="42"/>
      <c r="PO127" s="42"/>
      <c r="PP127" s="42"/>
      <c r="PQ127" s="42"/>
      <c r="PR127" s="42"/>
      <c r="PS127" s="42"/>
      <c r="PT127" s="42"/>
      <c r="PU127" s="42"/>
      <c r="PV127" s="42"/>
      <c r="PW127" s="42"/>
      <c r="PX127" s="42"/>
      <c r="PY127" s="42"/>
      <c r="PZ127" s="42"/>
      <c r="QA127" s="42"/>
      <c r="QB127" s="42"/>
      <c r="QC127" s="42"/>
      <c r="QD127" s="42"/>
      <c r="QE127" s="42"/>
      <c r="QF127" s="42"/>
      <c r="QG127" s="42"/>
      <c r="QH127" s="42"/>
      <c r="QI127" s="42"/>
      <c r="QJ127" s="42"/>
      <c r="QK127" s="42"/>
      <c r="QL127" s="42"/>
      <c r="QM127" s="42"/>
      <c r="QN127" s="42"/>
      <c r="QO127" s="42"/>
      <c r="QP127" s="42"/>
      <c r="QQ127" s="42"/>
      <c r="QR127" s="42"/>
      <c r="QS127" s="42"/>
      <c r="QT127" s="42"/>
      <c r="QU127" s="42"/>
      <c r="QV127" s="42"/>
      <c r="QW127" s="42"/>
      <c r="QX127" s="42"/>
      <c r="QY127" s="42"/>
      <c r="QZ127" s="42"/>
      <c r="RA127" s="42"/>
      <c r="RB127" s="42"/>
      <c r="RC127" s="42"/>
      <c r="RD127" s="42"/>
      <c r="RE127" s="42"/>
      <c r="RF127" s="42"/>
      <c r="RG127" s="42"/>
      <c r="RH127" s="42"/>
      <c r="RI127" s="42"/>
      <c r="RJ127" s="42"/>
      <c r="RK127" s="42"/>
      <c r="RL127" s="42"/>
      <c r="RM127" s="42"/>
      <c r="RN127" s="42"/>
      <c r="RO127" s="42"/>
      <c r="RP127" s="42"/>
      <c r="RQ127" s="42"/>
      <c r="RR127" s="42"/>
      <c r="RS127" s="42"/>
      <c r="RT127" s="42"/>
      <c r="RU127" s="42"/>
      <c r="RV127" s="42"/>
      <c r="RW127" s="42"/>
      <c r="RX127" s="42"/>
      <c r="RY127" s="42"/>
      <c r="RZ127" s="42"/>
      <c r="SA127" s="42"/>
      <c r="SB127" s="42"/>
      <c r="SC127" s="42"/>
      <c r="SD127" s="42"/>
      <c r="SE127" s="42"/>
      <c r="SF127" s="42"/>
      <c r="SG127" s="42"/>
      <c r="SH127" s="42"/>
      <c r="SI127" s="42"/>
      <c r="SJ127" s="42"/>
      <c r="SK127" s="42"/>
      <c r="SL127" s="42"/>
      <c r="SM127" s="42"/>
      <c r="SN127" s="42"/>
      <c r="SO127" s="42"/>
      <c r="SP127" s="42"/>
      <c r="SQ127" s="42"/>
      <c r="SR127" s="42"/>
      <c r="SS127" s="42"/>
      <c r="ST127" s="42"/>
      <c r="SU127" s="42"/>
      <c r="SV127" s="42"/>
      <c r="SW127" s="42"/>
      <c r="SX127" s="42"/>
      <c r="SY127" s="42"/>
      <c r="SZ127" s="42"/>
      <c r="TA127" s="42"/>
      <c r="TB127" s="42"/>
      <c r="TC127" s="42"/>
      <c r="TD127" s="42"/>
      <c r="TE127" s="42"/>
      <c r="TF127" s="42"/>
      <c r="TG127" s="42"/>
      <c r="TH127" s="42"/>
      <c r="TI127" s="42"/>
      <c r="TJ127" s="42"/>
      <c r="TK127" s="42"/>
      <c r="TL127" s="42"/>
      <c r="TM127" s="42"/>
      <c r="TN127" s="42"/>
      <c r="TO127" s="42"/>
      <c r="TP127" s="42"/>
      <c r="TQ127" s="42"/>
      <c r="TR127" s="42"/>
      <c r="TS127" s="42"/>
      <c r="TT127" s="42"/>
      <c r="TU127" s="42"/>
      <c r="TV127" s="42"/>
      <c r="TW127" s="42"/>
      <c r="TX127" s="42"/>
      <c r="TY127" s="42"/>
      <c r="TZ127" s="42"/>
      <c r="UA127" s="42"/>
      <c r="UB127" s="42"/>
      <c r="UC127" s="42"/>
      <c r="UD127" s="42"/>
      <c r="UE127" s="42"/>
      <c r="UF127" s="42"/>
      <c r="UG127" s="42"/>
      <c r="UH127" s="42"/>
      <c r="UI127" s="42"/>
      <c r="UJ127" s="42"/>
      <c r="UK127" s="42"/>
      <c r="UL127" s="42"/>
      <c r="UM127" s="42"/>
      <c r="UN127" s="42"/>
      <c r="UO127" s="42"/>
      <c r="UP127" s="42"/>
      <c r="UQ127" s="42"/>
      <c r="UR127" s="42"/>
      <c r="US127" s="42"/>
      <c r="UT127" s="42"/>
      <c r="UU127" s="42"/>
      <c r="UV127" s="42"/>
      <c r="UW127" s="42"/>
      <c r="UX127" s="42"/>
      <c r="UY127" s="42"/>
      <c r="UZ127" s="42"/>
      <c r="VA127" s="42"/>
      <c r="VB127" s="42"/>
      <c r="VC127" s="42"/>
      <c r="VD127" s="42"/>
      <c r="VE127" s="42"/>
      <c r="VF127" s="42"/>
      <c r="VG127" s="42"/>
      <c r="VH127" s="42"/>
      <c r="VI127" s="42"/>
      <c r="VJ127" s="42"/>
      <c r="VK127" s="42"/>
      <c r="VL127" s="42"/>
      <c r="VM127" s="42"/>
      <c r="VN127" s="42"/>
      <c r="VO127" s="42"/>
      <c r="VP127" s="42"/>
      <c r="VQ127" s="42"/>
      <c r="VR127" s="42"/>
      <c r="VS127" s="42"/>
      <c r="VT127" s="42"/>
      <c r="VU127" s="42"/>
      <c r="VV127" s="42"/>
      <c r="VW127" s="42"/>
      <c r="VX127" s="42"/>
      <c r="VY127" s="42"/>
      <c r="VZ127" s="42"/>
      <c r="WA127" s="42"/>
      <c r="WB127" s="42"/>
      <c r="WC127" s="42"/>
      <c r="WD127" s="42"/>
      <c r="WE127" s="42"/>
      <c r="WF127" s="42"/>
      <c r="WG127" s="42"/>
      <c r="WH127" s="42"/>
      <c r="WI127" s="42"/>
      <c r="WJ127" s="42"/>
      <c r="WK127" s="42"/>
      <c r="WL127" s="42"/>
      <c r="WM127" s="42"/>
      <c r="WN127" s="42"/>
      <c r="WO127" s="42"/>
      <c r="WP127" s="42"/>
      <c r="WQ127" s="42"/>
      <c r="WR127" s="42"/>
      <c r="WS127" s="42"/>
      <c r="WT127" s="42"/>
      <c r="WU127" s="42"/>
      <c r="WV127" s="42"/>
      <c r="WW127" s="42"/>
      <c r="WX127" s="42"/>
      <c r="WY127" s="42"/>
      <c r="WZ127" s="42"/>
      <c r="XA127" s="42"/>
      <c r="XB127" s="42"/>
      <c r="XC127" s="42"/>
      <c r="XD127" s="42"/>
      <c r="XE127" s="42"/>
      <c r="XF127" s="42"/>
      <c r="XG127" s="42"/>
      <c r="XH127" s="42"/>
      <c r="XI127" s="42"/>
      <c r="XJ127" s="42"/>
      <c r="XK127" s="42"/>
      <c r="XL127" s="42"/>
      <c r="XM127" s="42"/>
      <c r="XN127" s="42"/>
      <c r="XO127" s="42"/>
      <c r="XP127" s="42"/>
      <c r="XQ127" s="42"/>
      <c r="XR127" s="42"/>
      <c r="XS127" s="42"/>
      <c r="XT127" s="42"/>
      <c r="XU127" s="42"/>
      <c r="XV127" s="42"/>
      <c r="XW127" s="42"/>
      <c r="XX127" s="42"/>
      <c r="XY127" s="42"/>
      <c r="XZ127" s="42"/>
      <c r="YA127" s="42"/>
      <c r="YB127" s="42"/>
      <c r="YC127" s="42"/>
      <c r="YD127" s="42"/>
      <c r="YE127" s="42"/>
      <c r="YF127" s="42"/>
      <c r="YG127" s="42"/>
      <c r="YH127" s="42"/>
      <c r="YI127" s="42"/>
      <c r="YJ127" s="42"/>
      <c r="YK127" s="42"/>
      <c r="YL127" s="42"/>
      <c r="YM127" s="42"/>
      <c r="YN127" s="42"/>
      <c r="YO127" s="42"/>
      <c r="YP127" s="42"/>
      <c r="YQ127" s="42"/>
      <c r="YR127" s="42"/>
      <c r="YS127" s="42"/>
      <c r="YT127" s="42"/>
      <c r="YU127" s="42"/>
      <c r="YV127" s="42"/>
      <c r="YW127" s="42"/>
      <c r="YX127" s="42"/>
      <c r="YY127" s="42"/>
      <c r="YZ127" s="42"/>
      <c r="ZA127" s="42"/>
      <c r="ZB127" s="42"/>
      <c r="ZC127" s="42"/>
      <c r="ZD127" s="42"/>
      <c r="ZE127" s="42"/>
      <c r="ZF127" s="42"/>
      <c r="ZG127" s="42"/>
      <c r="ZH127" s="42"/>
      <c r="ZI127" s="42"/>
      <c r="ZJ127" s="42"/>
      <c r="ZK127" s="42"/>
      <c r="ZL127" s="42"/>
      <c r="ZM127" s="42"/>
      <c r="ZN127" s="42"/>
      <c r="ZO127" s="42"/>
      <c r="ZP127" s="42"/>
      <c r="ZQ127" s="42"/>
      <c r="ZR127" s="42"/>
      <c r="ZS127" s="42"/>
      <c r="ZT127" s="42"/>
      <c r="ZU127" s="42"/>
      <c r="ZV127" s="42"/>
      <c r="ZW127" s="42"/>
      <c r="ZX127" s="42"/>
      <c r="ZY127" s="42"/>
      <c r="ZZ127" s="42"/>
      <c r="AAA127" s="42"/>
      <c r="AAB127" s="42"/>
      <c r="AAC127" s="42"/>
    </row>
    <row r="128" spans="1:705" s="42" customFormat="1" ht="44.1" hidden="1" customHeight="1" x14ac:dyDescent="0.3">
      <c r="A128" s="26">
        <v>124</v>
      </c>
      <c r="B128" s="137">
        <v>240246</v>
      </c>
      <c r="C128" s="138">
        <v>124</v>
      </c>
      <c r="D128" s="139">
        <v>45931</v>
      </c>
      <c r="E128" s="139">
        <f t="shared" si="18"/>
        <v>45930</v>
      </c>
      <c r="F128" s="139">
        <f t="shared" si="15"/>
        <v>45941</v>
      </c>
      <c r="G128" s="139">
        <v>45941</v>
      </c>
      <c r="H128" s="139">
        <v>45956</v>
      </c>
      <c r="I128" s="139" t="s">
        <v>75</v>
      </c>
      <c r="J128" s="140" t="s">
        <v>343</v>
      </c>
      <c r="K128" s="141">
        <f t="shared" si="19"/>
        <v>15</v>
      </c>
      <c r="L128" s="141">
        <v>1149878</v>
      </c>
      <c r="M128" s="140" t="s">
        <v>15</v>
      </c>
      <c r="N128" s="140">
        <v>805336</v>
      </c>
      <c r="O128" s="137" t="s">
        <v>246</v>
      </c>
      <c r="P128" s="143">
        <v>45942</v>
      </c>
      <c r="Q128" s="143">
        <v>45957</v>
      </c>
      <c r="R128" s="157" t="s">
        <v>211</v>
      </c>
      <c r="S128" s="144" t="s">
        <v>344</v>
      </c>
      <c r="T128" s="145">
        <v>2</v>
      </c>
      <c r="U128" s="137" t="s">
        <v>102</v>
      </c>
      <c r="V128" s="146">
        <v>15</v>
      </c>
      <c r="W128" s="146">
        <v>15</v>
      </c>
      <c r="X128" s="147">
        <v>0</v>
      </c>
      <c r="Y128" s="146">
        <v>0</v>
      </c>
      <c r="Z128" s="146">
        <v>0</v>
      </c>
      <c r="AA128" s="146">
        <v>0</v>
      </c>
      <c r="AB128" s="146">
        <v>3</v>
      </c>
      <c r="AC128" s="146">
        <v>3</v>
      </c>
      <c r="AD128" s="146">
        <v>0</v>
      </c>
      <c r="AE128" s="146">
        <v>0</v>
      </c>
      <c r="AF128" s="146">
        <v>0</v>
      </c>
      <c r="AG128" s="146">
        <v>0</v>
      </c>
      <c r="AH128" s="146">
        <v>2</v>
      </c>
      <c r="AI128" s="146">
        <v>2</v>
      </c>
      <c r="AJ128" s="146">
        <v>0</v>
      </c>
      <c r="AK128" s="146">
        <v>0</v>
      </c>
      <c r="AL128" s="146">
        <v>0</v>
      </c>
      <c r="AM128" s="146">
        <v>0</v>
      </c>
      <c r="AN128" s="146">
        <v>2</v>
      </c>
      <c r="AO128" s="146">
        <v>2</v>
      </c>
      <c r="AP128" s="146">
        <v>2</v>
      </c>
      <c r="AQ128" s="146">
        <v>2</v>
      </c>
      <c r="AR128" s="146">
        <v>0</v>
      </c>
      <c r="AS128" s="146">
        <v>0</v>
      </c>
      <c r="AT128" s="146">
        <v>2</v>
      </c>
      <c r="AU128" s="146">
        <v>2</v>
      </c>
      <c r="AV128" s="146">
        <v>0</v>
      </c>
      <c r="AW128" s="146">
        <v>0</v>
      </c>
      <c r="AX128" s="146">
        <f t="shared" si="21"/>
        <v>3491</v>
      </c>
      <c r="AY128" s="146">
        <f t="shared" si="20"/>
        <v>3491</v>
      </c>
      <c r="AZ128" s="140" t="s">
        <v>562</v>
      </c>
      <c r="BA128" s="140" t="s">
        <v>562</v>
      </c>
      <c r="BB128" s="137">
        <v>6</v>
      </c>
      <c r="BC128" s="148">
        <v>124</v>
      </c>
      <c r="BD128" s="149"/>
      <c r="BE128" s="145"/>
      <c r="BF128" s="150"/>
      <c r="BG128" s="151">
        <v>45931</v>
      </c>
      <c r="BH128" s="153" t="s">
        <v>15</v>
      </c>
      <c r="BI128" s="153" t="s">
        <v>562</v>
      </c>
      <c r="CC128" s="41"/>
      <c r="CD128" s="41"/>
      <c r="CE128" s="41"/>
      <c r="CF128" s="41"/>
      <c r="CG128" s="41"/>
      <c r="CH128" s="41"/>
      <c r="CI128" s="41"/>
      <c r="CJ128" s="41"/>
      <c r="CK128" s="41"/>
      <c r="CL128" s="41"/>
      <c r="CM128" s="41"/>
      <c r="CN128" s="41"/>
      <c r="CO128" s="41"/>
      <c r="CP128" s="41"/>
      <c r="CQ128" s="41"/>
      <c r="CR128" s="41"/>
      <c r="CS128" s="41"/>
      <c r="CT128" s="41"/>
      <c r="CU128" s="41"/>
      <c r="CV128" s="41"/>
      <c r="CW128" s="41"/>
      <c r="CX128" s="41"/>
      <c r="CY128" s="41"/>
      <c r="CZ128" s="41"/>
      <c r="DA128" s="41"/>
      <c r="DB128" s="41"/>
      <c r="DC128" s="41"/>
      <c r="DD128" s="41"/>
      <c r="DE128" s="41"/>
      <c r="DF128" s="41"/>
      <c r="DG128" s="41"/>
      <c r="DH128" s="41"/>
      <c r="DI128" s="41"/>
      <c r="DJ128" s="41"/>
      <c r="DK128" s="41"/>
      <c r="DL128" s="41"/>
      <c r="DM128" s="41"/>
      <c r="DN128" s="41"/>
      <c r="DO128" s="41"/>
      <c r="DP128" s="41"/>
      <c r="DQ128" s="41"/>
      <c r="DR128" s="41"/>
      <c r="DS128" s="41"/>
      <c r="DT128" s="41"/>
      <c r="DU128" s="41"/>
      <c r="DV128" s="41"/>
      <c r="DW128" s="41"/>
      <c r="DX128" s="41"/>
      <c r="DY128" s="41"/>
      <c r="DZ128" s="41"/>
      <c r="EA128" s="41"/>
      <c r="EB128" s="41"/>
      <c r="EC128" s="41"/>
      <c r="ED128" s="41"/>
      <c r="EE128" s="41"/>
      <c r="EF128" s="41"/>
      <c r="EG128" s="41"/>
      <c r="EH128" s="41"/>
      <c r="EI128" s="41"/>
      <c r="EJ128" s="41"/>
      <c r="EK128" s="41"/>
      <c r="EL128" s="41"/>
      <c r="EM128" s="41"/>
      <c r="EN128" s="41"/>
      <c r="EO128" s="41"/>
      <c r="EP128" s="41"/>
      <c r="EQ128" s="41"/>
      <c r="ER128" s="41"/>
      <c r="ES128" s="41"/>
      <c r="ET128" s="41"/>
      <c r="EU128" s="41"/>
      <c r="EV128" s="41"/>
      <c r="EW128" s="41"/>
      <c r="EX128" s="41"/>
      <c r="EY128" s="41"/>
      <c r="EZ128" s="41"/>
      <c r="FA128" s="41"/>
      <c r="FB128" s="41"/>
      <c r="FC128" s="41"/>
      <c r="FD128" s="41"/>
      <c r="FE128" s="41"/>
      <c r="FF128" s="41"/>
      <c r="FG128" s="41"/>
      <c r="FH128" s="41"/>
      <c r="FI128" s="41"/>
      <c r="FJ128" s="41"/>
      <c r="FK128" s="41"/>
      <c r="FL128" s="41"/>
      <c r="FM128" s="41"/>
      <c r="FN128" s="41"/>
      <c r="FO128" s="41"/>
      <c r="FP128" s="41"/>
      <c r="FQ128" s="41"/>
      <c r="FR128" s="41"/>
      <c r="FS128" s="41"/>
      <c r="FT128" s="41"/>
      <c r="FU128" s="41"/>
      <c r="FV128" s="41"/>
      <c r="FW128" s="41"/>
      <c r="FX128" s="41"/>
      <c r="FY128" s="41"/>
      <c r="FZ128" s="41"/>
      <c r="GA128" s="41"/>
      <c r="GB128" s="41"/>
      <c r="GC128" s="41"/>
      <c r="GD128" s="41"/>
      <c r="GE128" s="41"/>
      <c r="GF128" s="41"/>
      <c r="GG128" s="41"/>
      <c r="GH128" s="41"/>
      <c r="GI128" s="41"/>
      <c r="GJ128" s="41"/>
      <c r="GK128" s="41"/>
      <c r="GL128" s="41"/>
      <c r="GM128" s="41"/>
      <c r="GN128" s="41"/>
      <c r="GO128" s="41"/>
      <c r="GP128" s="41"/>
      <c r="GQ128" s="41"/>
      <c r="GR128" s="41"/>
      <c r="GS128" s="41"/>
      <c r="GT128" s="41"/>
      <c r="GU128" s="41"/>
      <c r="GV128" s="41"/>
      <c r="GW128" s="41"/>
      <c r="GX128" s="41"/>
      <c r="GY128" s="41"/>
      <c r="GZ128" s="41"/>
      <c r="HA128" s="41"/>
      <c r="HB128" s="41"/>
      <c r="HC128" s="41"/>
      <c r="HD128" s="41"/>
      <c r="HE128" s="41"/>
      <c r="HF128" s="41"/>
      <c r="HG128" s="41"/>
      <c r="HH128" s="41"/>
      <c r="HI128" s="41"/>
      <c r="HJ128" s="41"/>
      <c r="HK128" s="41"/>
      <c r="HL128" s="41"/>
      <c r="HM128" s="41"/>
      <c r="HN128" s="41"/>
      <c r="HO128" s="41"/>
      <c r="HP128" s="41"/>
      <c r="HQ128" s="41"/>
      <c r="HR128" s="41"/>
      <c r="HS128" s="41"/>
      <c r="HT128" s="41"/>
      <c r="HU128" s="41"/>
      <c r="HV128" s="41"/>
      <c r="HW128" s="41"/>
      <c r="HX128" s="41"/>
      <c r="HY128" s="41"/>
      <c r="HZ128" s="41"/>
      <c r="IA128" s="41"/>
      <c r="IB128" s="41"/>
      <c r="IC128" s="41"/>
      <c r="ID128" s="41"/>
      <c r="IE128" s="41"/>
      <c r="IF128" s="41"/>
      <c r="IG128" s="41"/>
      <c r="IH128" s="41"/>
      <c r="II128" s="41"/>
      <c r="IJ128" s="41"/>
      <c r="IK128" s="41"/>
      <c r="IL128" s="41"/>
      <c r="IM128" s="41"/>
      <c r="IN128" s="41"/>
      <c r="IO128" s="41"/>
      <c r="IP128" s="41"/>
      <c r="IQ128" s="41"/>
      <c r="IR128" s="41"/>
      <c r="IS128" s="41"/>
      <c r="IT128" s="41"/>
      <c r="IU128" s="41"/>
      <c r="IV128" s="41"/>
      <c r="IW128" s="41"/>
      <c r="IX128" s="41"/>
      <c r="IY128" s="41"/>
      <c r="IZ128" s="41"/>
      <c r="JA128" s="41"/>
      <c r="JB128" s="41"/>
      <c r="JC128" s="41"/>
      <c r="JD128" s="41"/>
      <c r="JE128" s="41"/>
      <c r="JF128" s="41"/>
      <c r="JG128" s="41"/>
      <c r="JH128" s="41"/>
      <c r="JI128" s="41"/>
      <c r="JJ128" s="41"/>
      <c r="JK128" s="41"/>
      <c r="JL128" s="41"/>
      <c r="JM128" s="41"/>
      <c r="JN128" s="41"/>
      <c r="JO128" s="41"/>
      <c r="JP128" s="41"/>
      <c r="JQ128" s="41"/>
      <c r="JR128" s="41"/>
      <c r="JS128" s="41"/>
      <c r="JT128" s="41"/>
      <c r="JU128" s="41"/>
      <c r="JV128" s="41"/>
      <c r="JW128" s="41"/>
      <c r="JX128" s="41"/>
      <c r="JY128" s="41"/>
      <c r="JZ128" s="41"/>
      <c r="KA128" s="41"/>
      <c r="KB128" s="41"/>
      <c r="KC128" s="41"/>
      <c r="KD128" s="41"/>
      <c r="KE128" s="41"/>
      <c r="KF128" s="41"/>
      <c r="KG128" s="41"/>
      <c r="KH128" s="41"/>
      <c r="KI128" s="41"/>
      <c r="KJ128" s="41"/>
      <c r="KK128" s="41"/>
      <c r="KL128" s="41"/>
      <c r="KM128" s="41"/>
      <c r="KN128" s="41"/>
      <c r="KO128" s="41"/>
      <c r="KP128" s="41"/>
      <c r="KQ128" s="41"/>
      <c r="KR128" s="41"/>
      <c r="KS128" s="41"/>
      <c r="KT128" s="41"/>
      <c r="KU128" s="41"/>
      <c r="KV128" s="41"/>
      <c r="KW128" s="41"/>
      <c r="KX128" s="41"/>
      <c r="KY128" s="41"/>
      <c r="KZ128" s="41"/>
      <c r="LA128" s="41"/>
      <c r="LB128" s="41"/>
      <c r="LC128" s="41"/>
      <c r="LD128" s="41"/>
      <c r="LE128" s="41"/>
      <c r="LF128" s="41"/>
      <c r="LG128" s="41"/>
      <c r="LH128" s="41"/>
      <c r="LI128" s="41"/>
      <c r="LJ128" s="41"/>
      <c r="LK128" s="41"/>
      <c r="LL128" s="41"/>
      <c r="LM128" s="41"/>
      <c r="LN128" s="41"/>
      <c r="LO128" s="41"/>
      <c r="LP128" s="41"/>
      <c r="LQ128" s="41"/>
      <c r="LR128" s="41"/>
      <c r="LS128" s="41"/>
      <c r="LT128" s="41"/>
      <c r="LU128" s="41"/>
      <c r="LV128" s="41"/>
      <c r="LW128" s="41"/>
      <c r="LX128" s="41"/>
      <c r="LY128" s="41"/>
      <c r="LZ128" s="41"/>
      <c r="MA128" s="41"/>
      <c r="MB128" s="41"/>
      <c r="MC128" s="41"/>
      <c r="MD128" s="41"/>
      <c r="ME128" s="41"/>
      <c r="MF128" s="41"/>
      <c r="MG128" s="41"/>
      <c r="MH128" s="41"/>
      <c r="MI128" s="41"/>
      <c r="MJ128" s="41"/>
      <c r="MK128" s="41"/>
      <c r="ML128" s="41"/>
      <c r="MM128" s="41"/>
      <c r="MN128" s="41"/>
      <c r="MO128" s="41"/>
      <c r="MP128" s="41"/>
      <c r="MQ128" s="41"/>
      <c r="MR128" s="41"/>
      <c r="MS128" s="41"/>
      <c r="MT128" s="41"/>
      <c r="MU128" s="41"/>
      <c r="MV128" s="41"/>
      <c r="MW128" s="41"/>
      <c r="MX128" s="41"/>
      <c r="MY128" s="41"/>
      <c r="MZ128" s="41"/>
      <c r="NA128" s="41"/>
      <c r="NB128" s="41"/>
      <c r="NC128" s="41"/>
      <c r="ND128" s="41"/>
      <c r="NE128" s="41"/>
      <c r="NF128" s="41"/>
      <c r="NG128" s="41"/>
      <c r="NH128" s="41"/>
      <c r="NI128" s="41"/>
      <c r="NJ128" s="41"/>
      <c r="NK128" s="41"/>
      <c r="NL128" s="41"/>
      <c r="NM128" s="41"/>
      <c r="NN128" s="41"/>
      <c r="NO128" s="41"/>
      <c r="NP128" s="41"/>
      <c r="NQ128" s="41"/>
      <c r="NR128" s="41"/>
      <c r="NS128" s="41"/>
      <c r="NT128" s="41"/>
      <c r="NU128" s="41"/>
      <c r="NV128" s="41"/>
      <c r="NW128" s="41"/>
      <c r="NX128" s="41"/>
      <c r="NY128" s="41"/>
      <c r="NZ128" s="41"/>
      <c r="OA128" s="41"/>
      <c r="OB128" s="41"/>
      <c r="OC128" s="41"/>
      <c r="OD128" s="41"/>
      <c r="OE128" s="41"/>
      <c r="OF128" s="41"/>
      <c r="OG128" s="41"/>
      <c r="OH128" s="41"/>
      <c r="OI128" s="41"/>
      <c r="OJ128" s="41"/>
      <c r="OK128" s="41"/>
      <c r="OL128" s="41"/>
      <c r="OM128" s="41"/>
      <c r="ON128" s="41"/>
      <c r="OO128" s="41"/>
      <c r="OP128" s="41"/>
      <c r="OQ128" s="41"/>
      <c r="OR128" s="41"/>
      <c r="OS128" s="41"/>
      <c r="OT128" s="41"/>
      <c r="OU128" s="41"/>
      <c r="OV128" s="41"/>
      <c r="OW128" s="41"/>
      <c r="OX128" s="41"/>
      <c r="OY128" s="41"/>
      <c r="OZ128" s="41"/>
      <c r="PA128" s="41"/>
      <c r="PB128" s="41"/>
      <c r="PC128" s="41"/>
      <c r="PD128" s="41"/>
      <c r="PE128" s="41"/>
      <c r="PF128" s="41"/>
      <c r="PG128" s="41"/>
      <c r="PH128" s="41"/>
      <c r="PI128" s="41"/>
      <c r="PJ128" s="41"/>
      <c r="PK128" s="41"/>
      <c r="PL128" s="41"/>
      <c r="PM128" s="41"/>
      <c r="PN128" s="41"/>
      <c r="PO128" s="41"/>
      <c r="PP128" s="41"/>
      <c r="PQ128" s="41"/>
      <c r="PR128" s="41"/>
      <c r="PS128" s="41"/>
      <c r="PT128" s="41"/>
      <c r="PU128" s="41"/>
      <c r="PV128" s="41"/>
      <c r="PW128" s="41"/>
      <c r="PX128" s="41"/>
      <c r="PY128" s="41"/>
      <c r="PZ128" s="41"/>
      <c r="QA128" s="41"/>
      <c r="QB128" s="41"/>
      <c r="QC128" s="41"/>
      <c r="QD128" s="41"/>
      <c r="QE128" s="41"/>
      <c r="QF128" s="41"/>
      <c r="QG128" s="41"/>
      <c r="QH128" s="41"/>
      <c r="QI128" s="41"/>
      <c r="QJ128" s="41"/>
      <c r="QK128" s="41"/>
      <c r="QL128" s="41"/>
      <c r="QM128" s="41"/>
      <c r="QN128" s="41"/>
      <c r="QO128" s="41"/>
      <c r="QP128" s="41"/>
      <c r="QQ128" s="41"/>
      <c r="QR128" s="41"/>
      <c r="QS128" s="41"/>
      <c r="QT128" s="41"/>
      <c r="QU128" s="41"/>
      <c r="QV128" s="41"/>
      <c r="QW128" s="41"/>
      <c r="QX128" s="41"/>
      <c r="QY128" s="41"/>
      <c r="QZ128" s="41"/>
      <c r="RA128" s="41"/>
      <c r="RB128" s="41"/>
      <c r="RC128" s="41"/>
      <c r="RD128" s="41"/>
      <c r="RE128" s="41"/>
      <c r="RF128" s="41"/>
      <c r="RG128" s="41"/>
      <c r="RH128" s="41"/>
      <c r="RI128" s="41"/>
      <c r="RJ128" s="41"/>
      <c r="RK128" s="41"/>
      <c r="RL128" s="41"/>
      <c r="RM128" s="41"/>
      <c r="RN128" s="41"/>
      <c r="RO128" s="41"/>
      <c r="RP128" s="41"/>
      <c r="RQ128" s="41"/>
      <c r="RR128" s="41"/>
      <c r="RS128" s="41"/>
      <c r="RT128" s="41"/>
      <c r="RU128" s="41"/>
      <c r="RV128" s="41"/>
      <c r="RW128" s="41"/>
      <c r="RX128" s="41"/>
      <c r="RY128" s="41"/>
      <c r="RZ128" s="41"/>
      <c r="SA128" s="41"/>
      <c r="SB128" s="41"/>
      <c r="SC128" s="41"/>
      <c r="SD128" s="41"/>
      <c r="SE128" s="41"/>
      <c r="SF128" s="41"/>
      <c r="SG128" s="41"/>
      <c r="SH128" s="41"/>
      <c r="SI128" s="41"/>
      <c r="SJ128" s="41"/>
      <c r="SK128" s="41"/>
      <c r="SL128" s="41"/>
      <c r="SM128" s="41"/>
      <c r="SN128" s="41"/>
      <c r="SO128" s="41"/>
      <c r="SP128" s="41"/>
      <c r="SQ128" s="41"/>
      <c r="SR128" s="41"/>
      <c r="SS128" s="41"/>
      <c r="ST128" s="41"/>
      <c r="SU128" s="41"/>
      <c r="SV128" s="41"/>
      <c r="SW128" s="41"/>
      <c r="SX128" s="41"/>
      <c r="SY128" s="41"/>
      <c r="SZ128" s="41"/>
      <c r="TA128" s="41"/>
      <c r="TB128" s="41"/>
      <c r="TC128" s="41"/>
      <c r="TD128" s="41"/>
      <c r="TE128" s="41"/>
      <c r="TF128" s="41"/>
      <c r="TG128" s="41"/>
      <c r="TH128" s="41"/>
      <c r="TI128" s="41"/>
      <c r="TJ128" s="41"/>
      <c r="TK128" s="41"/>
      <c r="TL128" s="41"/>
      <c r="TM128" s="41"/>
      <c r="TN128" s="41"/>
      <c r="TO128" s="41"/>
      <c r="TP128" s="41"/>
      <c r="TQ128" s="41"/>
      <c r="TR128" s="41"/>
      <c r="TS128" s="41"/>
      <c r="TT128" s="41"/>
      <c r="TU128" s="41"/>
      <c r="TV128" s="41"/>
      <c r="TW128" s="41"/>
      <c r="TX128" s="41"/>
      <c r="TY128" s="41"/>
      <c r="TZ128" s="41"/>
      <c r="UA128" s="41"/>
      <c r="UB128" s="41"/>
      <c r="UC128" s="41"/>
      <c r="UD128" s="41"/>
      <c r="UE128" s="41"/>
      <c r="UF128" s="41"/>
      <c r="UG128" s="41"/>
      <c r="UH128" s="41"/>
      <c r="UI128" s="41"/>
      <c r="UJ128" s="41"/>
      <c r="UK128" s="41"/>
      <c r="UL128" s="41"/>
      <c r="UM128" s="41"/>
      <c r="UN128" s="41"/>
      <c r="UO128" s="41"/>
      <c r="UP128" s="41"/>
      <c r="UQ128" s="41"/>
      <c r="UR128" s="41"/>
      <c r="US128" s="41"/>
      <c r="UT128" s="41"/>
      <c r="UU128" s="41"/>
      <c r="UV128" s="41"/>
      <c r="UW128" s="41"/>
      <c r="UX128" s="41"/>
      <c r="UY128" s="41"/>
      <c r="UZ128" s="41"/>
      <c r="VA128" s="41"/>
      <c r="VB128" s="41"/>
      <c r="VC128" s="41"/>
      <c r="VD128" s="41"/>
      <c r="VE128" s="41"/>
      <c r="VF128" s="41"/>
      <c r="VG128" s="41"/>
      <c r="VH128" s="41"/>
      <c r="VI128" s="41"/>
      <c r="VJ128" s="41"/>
      <c r="VK128" s="41"/>
      <c r="VL128" s="41"/>
      <c r="VM128" s="41"/>
      <c r="VN128" s="41"/>
      <c r="VO128" s="41"/>
      <c r="VP128" s="41"/>
      <c r="VQ128" s="41"/>
      <c r="VR128" s="41"/>
      <c r="VS128" s="41"/>
      <c r="VT128" s="41"/>
      <c r="VU128" s="41"/>
      <c r="VV128" s="41"/>
      <c r="VW128" s="41"/>
      <c r="VX128" s="41"/>
      <c r="VY128" s="41"/>
      <c r="VZ128" s="41"/>
      <c r="WA128" s="41"/>
      <c r="WB128" s="41"/>
      <c r="WC128" s="41"/>
      <c r="WD128" s="41"/>
      <c r="WE128" s="41"/>
      <c r="WF128" s="41"/>
      <c r="WG128" s="41"/>
      <c r="WH128" s="41"/>
      <c r="WI128" s="41"/>
      <c r="WJ128" s="41"/>
      <c r="WK128" s="41"/>
      <c r="WL128" s="41"/>
      <c r="WM128" s="41"/>
      <c r="WN128" s="41"/>
      <c r="WO128" s="41"/>
      <c r="WP128" s="41"/>
      <c r="WQ128" s="41"/>
      <c r="WR128" s="41"/>
      <c r="WS128" s="41"/>
      <c r="WT128" s="41"/>
      <c r="WU128" s="41"/>
      <c r="WV128" s="41"/>
      <c r="WW128" s="41"/>
      <c r="WX128" s="41"/>
      <c r="WY128" s="41"/>
      <c r="WZ128" s="41"/>
      <c r="XA128" s="41"/>
      <c r="XB128" s="41"/>
      <c r="XC128" s="41"/>
      <c r="XD128" s="41"/>
      <c r="XE128" s="41"/>
      <c r="XF128" s="41"/>
      <c r="XG128" s="41"/>
      <c r="XH128" s="41"/>
      <c r="XI128" s="41"/>
      <c r="XJ128" s="41"/>
      <c r="XK128" s="41"/>
      <c r="XL128" s="41"/>
      <c r="XM128" s="41"/>
      <c r="XN128" s="41"/>
      <c r="XO128" s="41"/>
      <c r="XP128" s="41"/>
      <c r="XQ128" s="41"/>
      <c r="XR128" s="41"/>
      <c r="XS128" s="41"/>
      <c r="XT128" s="41"/>
      <c r="XU128" s="41"/>
      <c r="XV128" s="41"/>
      <c r="XW128" s="41"/>
      <c r="XX128" s="41"/>
      <c r="XY128" s="41"/>
      <c r="XZ128" s="41"/>
      <c r="YA128" s="41"/>
      <c r="YB128" s="41"/>
      <c r="YC128" s="41"/>
      <c r="YD128" s="41"/>
      <c r="YE128" s="41"/>
      <c r="YF128" s="41"/>
      <c r="YG128" s="41"/>
      <c r="YH128" s="41"/>
      <c r="YI128" s="41"/>
      <c r="YJ128" s="41"/>
      <c r="YK128" s="41"/>
      <c r="YL128" s="41"/>
      <c r="YM128" s="41"/>
      <c r="YN128" s="41"/>
      <c r="YO128" s="41"/>
      <c r="YP128" s="41"/>
      <c r="YQ128" s="41"/>
      <c r="YR128" s="41"/>
      <c r="YS128" s="41"/>
      <c r="YT128" s="41"/>
      <c r="YU128" s="41"/>
      <c r="YV128" s="41"/>
      <c r="YW128" s="41"/>
      <c r="YX128" s="41"/>
      <c r="YY128" s="41"/>
      <c r="YZ128" s="41"/>
      <c r="ZA128" s="41"/>
      <c r="ZB128" s="41"/>
      <c r="ZC128" s="41"/>
      <c r="ZD128" s="41"/>
      <c r="ZE128" s="41"/>
      <c r="ZF128" s="41"/>
      <c r="ZG128" s="41"/>
      <c r="ZH128" s="41"/>
      <c r="ZI128" s="41"/>
      <c r="ZJ128" s="41"/>
      <c r="ZK128" s="41"/>
      <c r="ZL128" s="41"/>
      <c r="ZM128" s="41"/>
      <c r="ZN128" s="41"/>
      <c r="ZO128" s="41"/>
      <c r="ZP128" s="41"/>
      <c r="ZQ128" s="41"/>
      <c r="ZR128" s="41"/>
      <c r="ZS128" s="41"/>
      <c r="ZT128" s="41"/>
      <c r="ZU128" s="41"/>
      <c r="ZV128" s="41"/>
      <c r="ZW128" s="41"/>
      <c r="ZX128" s="41"/>
      <c r="ZY128" s="41"/>
      <c r="ZZ128" s="41"/>
      <c r="AAA128" s="41"/>
      <c r="AAB128" s="41"/>
      <c r="AAC128" s="41"/>
    </row>
    <row r="129" spans="1:705" s="42" customFormat="1" ht="44.1" hidden="1" customHeight="1" x14ac:dyDescent="0.3">
      <c r="A129" s="26">
        <v>125</v>
      </c>
      <c r="B129" s="137">
        <v>240247</v>
      </c>
      <c r="C129" s="138">
        <v>125</v>
      </c>
      <c r="D129" s="139">
        <v>45931</v>
      </c>
      <c r="E129" s="139">
        <f t="shared" si="18"/>
        <v>45930</v>
      </c>
      <c r="F129" s="139">
        <f t="shared" si="15"/>
        <v>45941</v>
      </c>
      <c r="G129" s="139">
        <v>45941</v>
      </c>
      <c r="H129" s="139">
        <v>45943</v>
      </c>
      <c r="I129" s="139" t="s">
        <v>75</v>
      </c>
      <c r="J129" s="140" t="s">
        <v>345</v>
      </c>
      <c r="K129" s="141">
        <f t="shared" si="19"/>
        <v>2</v>
      </c>
      <c r="L129" s="141">
        <v>1149879</v>
      </c>
      <c r="M129" s="140" t="s">
        <v>15</v>
      </c>
      <c r="N129" s="140">
        <v>805130</v>
      </c>
      <c r="O129" s="137" t="s">
        <v>246</v>
      </c>
      <c r="P129" s="143">
        <v>45938</v>
      </c>
      <c r="Q129" s="143">
        <v>45953</v>
      </c>
      <c r="R129" s="157" t="s">
        <v>211</v>
      </c>
      <c r="S129" s="144" t="s">
        <v>346</v>
      </c>
      <c r="T129" s="145">
        <v>1</v>
      </c>
      <c r="U129" s="137" t="s">
        <v>181</v>
      </c>
      <c r="V129" s="146">
        <v>4</v>
      </c>
      <c r="W129" s="146">
        <v>4</v>
      </c>
      <c r="X129" s="147">
        <v>0</v>
      </c>
      <c r="Y129" s="146">
        <v>0</v>
      </c>
      <c r="Z129" s="146">
        <v>0</v>
      </c>
      <c r="AA129" s="146">
        <v>0</v>
      </c>
      <c r="AB129" s="146">
        <v>4</v>
      </c>
      <c r="AC129" s="146">
        <v>4</v>
      </c>
      <c r="AD129" s="146">
        <v>0</v>
      </c>
      <c r="AE129" s="146">
        <v>0</v>
      </c>
      <c r="AF129" s="146">
        <v>0</v>
      </c>
      <c r="AG129" s="146">
        <v>0</v>
      </c>
      <c r="AH129" s="146">
        <v>1</v>
      </c>
      <c r="AI129" s="146">
        <v>1</v>
      </c>
      <c r="AJ129" s="146">
        <v>0</v>
      </c>
      <c r="AK129" s="146">
        <v>0</v>
      </c>
      <c r="AL129" s="146">
        <v>0</v>
      </c>
      <c r="AM129" s="146">
        <v>0</v>
      </c>
      <c r="AN129" s="146">
        <v>1</v>
      </c>
      <c r="AO129" s="146">
        <v>1</v>
      </c>
      <c r="AP129" s="146">
        <v>1</v>
      </c>
      <c r="AQ129" s="146">
        <v>1</v>
      </c>
      <c r="AR129" s="146">
        <v>0</v>
      </c>
      <c r="AS129" s="146">
        <v>0</v>
      </c>
      <c r="AT129" s="146">
        <v>1</v>
      </c>
      <c r="AU129" s="146">
        <v>1</v>
      </c>
      <c r="AV129" s="146">
        <v>0</v>
      </c>
      <c r="AW129" s="146">
        <v>0</v>
      </c>
      <c r="AX129" s="146">
        <f t="shared" si="21"/>
        <v>1678</v>
      </c>
      <c r="AY129" s="146">
        <f t="shared" si="20"/>
        <v>1678</v>
      </c>
      <c r="AZ129" s="140" t="s">
        <v>562</v>
      </c>
      <c r="BA129" s="140" t="s">
        <v>562</v>
      </c>
      <c r="BB129" s="137">
        <v>2</v>
      </c>
      <c r="BC129" s="148">
        <v>125</v>
      </c>
      <c r="BD129" s="149"/>
      <c r="BE129" s="145"/>
      <c r="BF129" s="150"/>
      <c r="BG129" s="151">
        <v>45931</v>
      </c>
      <c r="BH129" s="153" t="s">
        <v>535</v>
      </c>
      <c r="BI129" s="153" t="s">
        <v>562</v>
      </c>
      <c r="CC129" s="41"/>
      <c r="CD129" s="41"/>
      <c r="CE129" s="41"/>
      <c r="CF129" s="41"/>
      <c r="CG129" s="41"/>
      <c r="CH129" s="41"/>
      <c r="CI129" s="41"/>
      <c r="CJ129" s="41"/>
      <c r="CK129" s="41"/>
      <c r="CL129" s="41"/>
      <c r="CM129" s="41"/>
      <c r="CN129" s="41"/>
      <c r="CO129" s="41"/>
      <c r="CP129" s="41"/>
      <c r="CQ129" s="41"/>
      <c r="CR129" s="41"/>
      <c r="CS129" s="41"/>
      <c r="CT129" s="41"/>
      <c r="CU129" s="41"/>
      <c r="CV129" s="41"/>
      <c r="CW129" s="41"/>
      <c r="CX129" s="41"/>
      <c r="CY129" s="41"/>
      <c r="CZ129" s="41"/>
      <c r="DA129" s="41"/>
      <c r="DB129" s="41"/>
      <c r="DC129" s="41"/>
      <c r="DD129" s="41"/>
      <c r="DE129" s="41"/>
      <c r="DF129" s="41"/>
      <c r="DG129" s="41"/>
      <c r="DH129" s="41"/>
      <c r="DI129" s="41"/>
      <c r="DJ129" s="41"/>
      <c r="DK129" s="41"/>
      <c r="DL129" s="41"/>
      <c r="DM129" s="41"/>
      <c r="DN129" s="41"/>
      <c r="DO129" s="41"/>
      <c r="DP129" s="41"/>
      <c r="DQ129" s="41"/>
      <c r="DR129" s="41"/>
      <c r="DS129" s="41"/>
      <c r="DT129" s="41"/>
      <c r="DU129" s="41"/>
      <c r="DV129" s="41"/>
      <c r="DW129" s="41"/>
      <c r="DX129" s="41"/>
      <c r="DY129" s="41"/>
      <c r="DZ129" s="41"/>
      <c r="EA129" s="41"/>
      <c r="EB129" s="41"/>
      <c r="EC129" s="41"/>
      <c r="ED129" s="41"/>
      <c r="EE129" s="41"/>
      <c r="EF129" s="41"/>
      <c r="EG129" s="41"/>
      <c r="EH129" s="41"/>
      <c r="EI129" s="41"/>
      <c r="EJ129" s="41"/>
      <c r="EK129" s="41"/>
      <c r="EL129" s="41"/>
      <c r="EM129" s="41"/>
      <c r="EN129" s="41"/>
      <c r="EO129" s="41"/>
      <c r="EP129" s="41"/>
      <c r="EQ129" s="41"/>
      <c r="ER129" s="41"/>
      <c r="ES129" s="41"/>
      <c r="ET129" s="41"/>
      <c r="EU129" s="41"/>
      <c r="EV129" s="41"/>
      <c r="EW129" s="41"/>
      <c r="EX129" s="41"/>
      <c r="EY129" s="41"/>
      <c r="EZ129" s="41"/>
      <c r="FA129" s="41"/>
      <c r="FB129" s="41"/>
      <c r="FC129" s="41"/>
      <c r="FD129" s="41"/>
      <c r="FE129" s="41"/>
      <c r="FF129" s="41"/>
      <c r="FG129" s="41"/>
      <c r="FH129" s="41"/>
      <c r="FI129" s="41"/>
      <c r="FJ129" s="41"/>
      <c r="FK129" s="41"/>
      <c r="FL129" s="41"/>
      <c r="FM129" s="41"/>
      <c r="FN129" s="41"/>
      <c r="FO129" s="41"/>
      <c r="FP129" s="41"/>
      <c r="FQ129" s="41"/>
      <c r="FR129" s="41"/>
      <c r="FS129" s="41"/>
      <c r="FT129" s="41"/>
      <c r="FU129" s="41"/>
      <c r="FV129" s="41"/>
      <c r="FW129" s="41"/>
      <c r="FX129" s="41"/>
      <c r="FY129" s="41"/>
      <c r="FZ129" s="41"/>
      <c r="GA129" s="41"/>
      <c r="GB129" s="41"/>
      <c r="GC129" s="41"/>
      <c r="GD129" s="41"/>
      <c r="GE129" s="41"/>
      <c r="GF129" s="41"/>
      <c r="GG129" s="41"/>
      <c r="GH129" s="41"/>
      <c r="GI129" s="41"/>
      <c r="GJ129" s="41"/>
      <c r="GK129" s="41"/>
      <c r="GL129" s="41"/>
      <c r="GM129" s="41"/>
      <c r="GN129" s="41"/>
      <c r="GO129" s="41"/>
      <c r="GP129" s="41"/>
      <c r="GQ129" s="41"/>
      <c r="GR129" s="41"/>
      <c r="GS129" s="41"/>
      <c r="GT129" s="41"/>
      <c r="GU129" s="41"/>
      <c r="GV129" s="41"/>
      <c r="GW129" s="41"/>
      <c r="GX129" s="41"/>
      <c r="GY129" s="41"/>
      <c r="GZ129" s="41"/>
      <c r="HA129" s="41"/>
      <c r="HB129" s="41"/>
      <c r="HC129" s="41"/>
      <c r="HD129" s="41"/>
      <c r="HE129" s="41"/>
      <c r="HF129" s="41"/>
      <c r="HG129" s="41"/>
      <c r="HH129" s="41"/>
      <c r="HI129" s="41"/>
      <c r="HJ129" s="41"/>
      <c r="HK129" s="41"/>
      <c r="HL129" s="41"/>
      <c r="HM129" s="41"/>
      <c r="HN129" s="41"/>
      <c r="HO129" s="41"/>
      <c r="HP129" s="41"/>
      <c r="HQ129" s="41"/>
      <c r="HR129" s="41"/>
      <c r="HS129" s="41"/>
      <c r="HT129" s="41"/>
      <c r="HU129" s="41"/>
      <c r="HV129" s="41"/>
      <c r="HW129" s="41"/>
      <c r="HX129" s="41"/>
      <c r="HY129" s="41"/>
      <c r="HZ129" s="41"/>
      <c r="IA129" s="41"/>
      <c r="IB129" s="41"/>
      <c r="IC129" s="41"/>
      <c r="ID129" s="41"/>
      <c r="IE129" s="41"/>
      <c r="IF129" s="41"/>
      <c r="IG129" s="41"/>
      <c r="IH129" s="41"/>
      <c r="II129" s="41"/>
      <c r="IJ129" s="41"/>
      <c r="IK129" s="41"/>
      <c r="IL129" s="41"/>
      <c r="IM129" s="41"/>
      <c r="IN129" s="41"/>
      <c r="IO129" s="41"/>
      <c r="IP129" s="41"/>
      <c r="IQ129" s="41"/>
      <c r="IR129" s="41"/>
      <c r="IS129" s="41"/>
      <c r="IT129" s="41"/>
      <c r="IU129" s="41"/>
      <c r="IV129" s="41"/>
      <c r="IW129" s="41"/>
      <c r="IX129" s="41"/>
      <c r="IY129" s="41"/>
      <c r="IZ129" s="41"/>
      <c r="JA129" s="41"/>
      <c r="JB129" s="41"/>
      <c r="JC129" s="41"/>
      <c r="JD129" s="41"/>
      <c r="JE129" s="41"/>
      <c r="JF129" s="41"/>
      <c r="JG129" s="41"/>
      <c r="JH129" s="41"/>
      <c r="JI129" s="41"/>
      <c r="JJ129" s="41"/>
      <c r="JK129" s="41"/>
      <c r="JL129" s="41"/>
      <c r="JM129" s="41"/>
      <c r="JN129" s="41"/>
      <c r="JO129" s="41"/>
      <c r="JP129" s="41"/>
      <c r="JQ129" s="41"/>
      <c r="JR129" s="41"/>
      <c r="JS129" s="41"/>
      <c r="JT129" s="41"/>
      <c r="JU129" s="41"/>
      <c r="JV129" s="41"/>
      <c r="JW129" s="41"/>
      <c r="JX129" s="41"/>
      <c r="JY129" s="41"/>
      <c r="JZ129" s="41"/>
      <c r="KA129" s="41"/>
      <c r="KB129" s="41"/>
      <c r="KC129" s="41"/>
      <c r="KD129" s="41"/>
      <c r="KE129" s="41"/>
      <c r="KF129" s="41"/>
      <c r="KG129" s="41"/>
      <c r="KH129" s="41"/>
      <c r="KI129" s="41"/>
      <c r="KJ129" s="41"/>
      <c r="KK129" s="41"/>
      <c r="KL129" s="41"/>
      <c r="KM129" s="41"/>
      <c r="KN129" s="41"/>
      <c r="KO129" s="41"/>
      <c r="KP129" s="41"/>
      <c r="KQ129" s="41"/>
      <c r="KR129" s="41"/>
      <c r="KS129" s="41"/>
      <c r="KT129" s="41"/>
      <c r="KU129" s="41"/>
      <c r="KV129" s="41"/>
      <c r="KW129" s="41"/>
      <c r="KX129" s="41"/>
      <c r="KY129" s="41"/>
      <c r="KZ129" s="41"/>
      <c r="LA129" s="41"/>
      <c r="LB129" s="41"/>
      <c r="LC129" s="41"/>
      <c r="LD129" s="41"/>
      <c r="LE129" s="41"/>
      <c r="LF129" s="41"/>
      <c r="LG129" s="41"/>
      <c r="LH129" s="41"/>
      <c r="LI129" s="41"/>
      <c r="LJ129" s="41"/>
      <c r="LK129" s="41"/>
      <c r="LL129" s="41"/>
      <c r="LM129" s="41"/>
      <c r="LN129" s="41"/>
      <c r="LO129" s="41"/>
      <c r="LP129" s="41"/>
      <c r="LQ129" s="41"/>
      <c r="LR129" s="41"/>
      <c r="LS129" s="41"/>
      <c r="LT129" s="41"/>
      <c r="LU129" s="41"/>
      <c r="LV129" s="41"/>
      <c r="LW129" s="41"/>
      <c r="LX129" s="41"/>
      <c r="LY129" s="41"/>
      <c r="LZ129" s="41"/>
      <c r="MA129" s="41"/>
      <c r="MB129" s="41"/>
      <c r="MC129" s="41"/>
      <c r="MD129" s="41"/>
      <c r="ME129" s="41"/>
      <c r="MF129" s="41"/>
      <c r="MG129" s="41"/>
      <c r="MH129" s="41"/>
      <c r="MI129" s="41"/>
      <c r="MJ129" s="41"/>
      <c r="MK129" s="41"/>
      <c r="ML129" s="41"/>
      <c r="MM129" s="41"/>
      <c r="MN129" s="41"/>
      <c r="MO129" s="41"/>
      <c r="MP129" s="41"/>
      <c r="MQ129" s="41"/>
      <c r="MR129" s="41"/>
      <c r="MS129" s="41"/>
      <c r="MT129" s="41"/>
      <c r="MU129" s="41"/>
      <c r="MV129" s="41"/>
      <c r="MW129" s="41"/>
      <c r="MX129" s="41"/>
      <c r="MY129" s="41"/>
      <c r="MZ129" s="41"/>
      <c r="NA129" s="41"/>
      <c r="NB129" s="41"/>
      <c r="NC129" s="41"/>
      <c r="ND129" s="41"/>
      <c r="NE129" s="41"/>
      <c r="NF129" s="41"/>
      <c r="NG129" s="41"/>
      <c r="NH129" s="41"/>
      <c r="NI129" s="41"/>
      <c r="NJ129" s="41"/>
      <c r="NK129" s="41"/>
      <c r="NL129" s="41"/>
      <c r="NM129" s="41"/>
      <c r="NN129" s="41"/>
      <c r="NO129" s="41"/>
      <c r="NP129" s="41"/>
      <c r="NQ129" s="41"/>
      <c r="NR129" s="41"/>
      <c r="NS129" s="41"/>
      <c r="NT129" s="41"/>
      <c r="NU129" s="41"/>
      <c r="NV129" s="41"/>
      <c r="NW129" s="41"/>
      <c r="NX129" s="41"/>
      <c r="NY129" s="41"/>
      <c r="NZ129" s="41"/>
      <c r="OA129" s="41"/>
      <c r="OB129" s="41"/>
      <c r="OC129" s="41"/>
      <c r="OD129" s="41"/>
      <c r="OE129" s="41"/>
      <c r="OF129" s="41"/>
      <c r="OG129" s="41"/>
      <c r="OH129" s="41"/>
      <c r="OI129" s="41"/>
      <c r="OJ129" s="41"/>
      <c r="OK129" s="41"/>
      <c r="OL129" s="41"/>
      <c r="OM129" s="41"/>
      <c r="ON129" s="41"/>
      <c r="OO129" s="41"/>
      <c r="OP129" s="41"/>
      <c r="OQ129" s="41"/>
      <c r="OR129" s="41"/>
      <c r="OS129" s="41"/>
      <c r="OT129" s="41"/>
      <c r="OU129" s="41"/>
      <c r="OV129" s="41"/>
      <c r="OW129" s="41"/>
      <c r="OX129" s="41"/>
      <c r="OY129" s="41"/>
      <c r="OZ129" s="41"/>
      <c r="PA129" s="41"/>
      <c r="PB129" s="41"/>
      <c r="PC129" s="41"/>
      <c r="PD129" s="41"/>
      <c r="PE129" s="41"/>
      <c r="PF129" s="41"/>
      <c r="PG129" s="41"/>
      <c r="PH129" s="41"/>
      <c r="PI129" s="41"/>
      <c r="PJ129" s="41"/>
      <c r="PK129" s="41"/>
      <c r="PL129" s="41"/>
      <c r="PM129" s="41"/>
      <c r="PN129" s="41"/>
      <c r="PO129" s="41"/>
      <c r="PP129" s="41"/>
      <c r="PQ129" s="41"/>
      <c r="PR129" s="41"/>
      <c r="PS129" s="41"/>
      <c r="PT129" s="41"/>
      <c r="PU129" s="41"/>
      <c r="PV129" s="41"/>
      <c r="PW129" s="41"/>
      <c r="PX129" s="41"/>
      <c r="PY129" s="41"/>
      <c r="PZ129" s="41"/>
      <c r="QA129" s="41"/>
      <c r="QB129" s="41"/>
      <c r="QC129" s="41"/>
      <c r="QD129" s="41"/>
      <c r="QE129" s="41"/>
      <c r="QF129" s="41"/>
      <c r="QG129" s="41"/>
      <c r="QH129" s="41"/>
      <c r="QI129" s="41"/>
      <c r="QJ129" s="41"/>
      <c r="QK129" s="41"/>
      <c r="QL129" s="41"/>
      <c r="QM129" s="41"/>
      <c r="QN129" s="41"/>
      <c r="QO129" s="41"/>
      <c r="QP129" s="41"/>
      <c r="QQ129" s="41"/>
      <c r="QR129" s="41"/>
      <c r="QS129" s="41"/>
      <c r="QT129" s="41"/>
      <c r="QU129" s="41"/>
      <c r="QV129" s="41"/>
      <c r="QW129" s="41"/>
      <c r="QX129" s="41"/>
      <c r="QY129" s="41"/>
      <c r="QZ129" s="41"/>
      <c r="RA129" s="41"/>
      <c r="RB129" s="41"/>
      <c r="RC129" s="41"/>
      <c r="RD129" s="41"/>
      <c r="RE129" s="41"/>
      <c r="RF129" s="41"/>
      <c r="RG129" s="41"/>
      <c r="RH129" s="41"/>
      <c r="RI129" s="41"/>
      <c r="RJ129" s="41"/>
      <c r="RK129" s="41"/>
      <c r="RL129" s="41"/>
      <c r="RM129" s="41"/>
      <c r="RN129" s="41"/>
      <c r="RO129" s="41"/>
      <c r="RP129" s="41"/>
      <c r="RQ129" s="41"/>
      <c r="RR129" s="41"/>
      <c r="RS129" s="41"/>
      <c r="RT129" s="41"/>
      <c r="RU129" s="41"/>
      <c r="RV129" s="41"/>
      <c r="RW129" s="41"/>
      <c r="RX129" s="41"/>
      <c r="RY129" s="41"/>
      <c r="RZ129" s="41"/>
      <c r="SA129" s="41"/>
      <c r="SB129" s="41"/>
      <c r="SC129" s="41"/>
      <c r="SD129" s="41"/>
      <c r="SE129" s="41"/>
      <c r="SF129" s="41"/>
      <c r="SG129" s="41"/>
      <c r="SH129" s="41"/>
      <c r="SI129" s="41"/>
      <c r="SJ129" s="41"/>
      <c r="SK129" s="41"/>
      <c r="SL129" s="41"/>
      <c r="SM129" s="41"/>
      <c r="SN129" s="41"/>
      <c r="SO129" s="41"/>
      <c r="SP129" s="41"/>
      <c r="SQ129" s="41"/>
      <c r="SR129" s="41"/>
      <c r="SS129" s="41"/>
      <c r="ST129" s="41"/>
      <c r="SU129" s="41"/>
      <c r="SV129" s="41"/>
      <c r="SW129" s="41"/>
      <c r="SX129" s="41"/>
      <c r="SY129" s="41"/>
      <c r="SZ129" s="41"/>
      <c r="TA129" s="41"/>
      <c r="TB129" s="41"/>
      <c r="TC129" s="41"/>
      <c r="TD129" s="41"/>
      <c r="TE129" s="41"/>
      <c r="TF129" s="41"/>
      <c r="TG129" s="41"/>
      <c r="TH129" s="41"/>
      <c r="TI129" s="41"/>
      <c r="TJ129" s="41"/>
      <c r="TK129" s="41"/>
      <c r="TL129" s="41"/>
      <c r="TM129" s="41"/>
      <c r="TN129" s="41"/>
      <c r="TO129" s="41"/>
      <c r="TP129" s="41"/>
      <c r="TQ129" s="41"/>
      <c r="TR129" s="41"/>
      <c r="TS129" s="41"/>
      <c r="TT129" s="41"/>
      <c r="TU129" s="41"/>
      <c r="TV129" s="41"/>
      <c r="TW129" s="41"/>
      <c r="TX129" s="41"/>
      <c r="TY129" s="41"/>
      <c r="TZ129" s="41"/>
      <c r="UA129" s="41"/>
      <c r="UB129" s="41"/>
      <c r="UC129" s="41"/>
      <c r="UD129" s="41"/>
      <c r="UE129" s="41"/>
      <c r="UF129" s="41"/>
      <c r="UG129" s="41"/>
      <c r="UH129" s="41"/>
      <c r="UI129" s="41"/>
      <c r="UJ129" s="41"/>
      <c r="UK129" s="41"/>
      <c r="UL129" s="41"/>
      <c r="UM129" s="41"/>
      <c r="UN129" s="41"/>
      <c r="UO129" s="41"/>
      <c r="UP129" s="41"/>
      <c r="UQ129" s="41"/>
      <c r="UR129" s="41"/>
      <c r="US129" s="41"/>
      <c r="UT129" s="41"/>
      <c r="UU129" s="41"/>
      <c r="UV129" s="41"/>
      <c r="UW129" s="41"/>
      <c r="UX129" s="41"/>
      <c r="UY129" s="41"/>
      <c r="UZ129" s="41"/>
      <c r="VA129" s="41"/>
      <c r="VB129" s="41"/>
      <c r="VC129" s="41"/>
      <c r="VD129" s="41"/>
      <c r="VE129" s="41"/>
      <c r="VF129" s="41"/>
      <c r="VG129" s="41"/>
      <c r="VH129" s="41"/>
      <c r="VI129" s="41"/>
      <c r="VJ129" s="41"/>
      <c r="VK129" s="41"/>
      <c r="VL129" s="41"/>
      <c r="VM129" s="41"/>
      <c r="VN129" s="41"/>
      <c r="VO129" s="41"/>
      <c r="VP129" s="41"/>
      <c r="VQ129" s="41"/>
      <c r="VR129" s="41"/>
      <c r="VS129" s="41"/>
      <c r="VT129" s="41"/>
      <c r="VU129" s="41"/>
      <c r="VV129" s="41"/>
      <c r="VW129" s="41"/>
      <c r="VX129" s="41"/>
      <c r="VY129" s="41"/>
      <c r="VZ129" s="41"/>
      <c r="WA129" s="41"/>
      <c r="WB129" s="41"/>
      <c r="WC129" s="41"/>
      <c r="WD129" s="41"/>
      <c r="WE129" s="41"/>
      <c r="WF129" s="41"/>
      <c r="WG129" s="41"/>
      <c r="WH129" s="41"/>
      <c r="WI129" s="41"/>
      <c r="WJ129" s="41"/>
      <c r="WK129" s="41"/>
      <c r="WL129" s="41"/>
      <c r="WM129" s="41"/>
      <c r="WN129" s="41"/>
      <c r="WO129" s="41"/>
      <c r="WP129" s="41"/>
      <c r="WQ129" s="41"/>
      <c r="WR129" s="41"/>
      <c r="WS129" s="41"/>
      <c r="WT129" s="41"/>
      <c r="WU129" s="41"/>
      <c r="WV129" s="41"/>
      <c r="WW129" s="41"/>
      <c r="WX129" s="41"/>
      <c r="WY129" s="41"/>
      <c r="WZ129" s="41"/>
      <c r="XA129" s="41"/>
      <c r="XB129" s="41"/>
      <c r="XC129" s="41"/>
      <c r="XD129" s="41"/>
      <c r="XE129" s="41"/>
      <c r="XF129" s="41"/>
      <c r="XG129" s="41"/>
      <c r="XH129" s="41"/>
      <c r="XI129" s="41"/>
      <c r="XJ129" s="41"/>
      <c r="XK129" s="41"/>
      <c r="XL129" s="41"/>
      <c r="XM129" s="41"/>
      <c r="XN129" s="41"/>
      <c r="XO129" s="41"/>
      <c r="XP129" s="41"/>
      <c r="XQ129" s="41"/>
      <c r="XR129" s="41"/>
      <c r="XS129" s="41"/>
      <c r="XT129" s="41"/>
      <c r="XU129" s="41"/>
      <c r="XV129" s="41"/>
      <c r="XW129" s="41"/>
      <c r="XX129" s="41"/>
      <c r="XY129" s="41"/>
      <c r="XZ129" s="41"/>
      <c r="YA129" s="41"/>
      <c r="YB129" s="41"/>
      <c r="YC129" s="41"/>
      <c r="YD129" s="41"/>
      <c r="YE129" s="41"/>
      <c r="YF129" s="41"/>
      <c r="YG129" s="41"/>
      <c r="YH129" s="41"/>
      <c r="YI129" s="41"/>
      <c r="YJ129" s="41"/>
      <c r="YK129" s="41"/>
      <c r="YL129" s="41"/>
      <c r="YM129" s="41"/>
      <c r="YN129" s="41"/>
      <c r="YO129" s="41"/>
      <c r="YP129" s="41"/>
      <c r="YQ129" s="41"/>
      <c r="YR129" s="41"/>
      <c r="YS129" s="41"/>
      <c r="YT129" s="41"/>
      <c r="YU129" s="41"/>
      <c r="YV129" s="41"/>
      <c r="YW129" s="41"/>
      <c r="YX129" s="41"/>
      <c r="YY129" s="41"/>
      <c r="YZ129" s="41"/>
      <c r="ZA129" s="41"/>
      <c r="ZB129" s="41"/>
      <c r="ZC129" s="41"/>
      <c r="ZD129" s="41"/>
      <c r="ZE129" s="41"/>
      <c r="ZF129" s="41"/>
      <c r="ZG129" s="41"/>
      <c r="ZH129" s="41"/>
      <c r="ZI129" s="41"/>
      <c r="ZJ129" s="41"/>
      <c r="ZK129" s="41"/>
      <c r="ZL129" s="41"/>
      <c r="ZM129" s="41"/>
      <c r="ZN129" s="41"/>
      <c r="ZO129" s="41"/>
      <c r="ZP129" s="41"/>
      <c r="ZQ129" s="41"/>
      <c r="ZR129" s="41"/>
      <c r="ZS129" s="41"/>
      <c r="ZT129" s="41"/>
      <c r="ZU129" s="41"/>
      <c r="ZV129" s="41"/>
      <c r="ZW129" s="41"/>
      <c r="ZX129" s="41"/>
      <c r="ZY129" s="41"/>
      <c r="ZZ129" s="41"/>
      <c r="AAA129" s="41"/>
      <c r="AAB129" s="41"/>
      <c r="AAC129" s="41"/>
    </row>
    <row r="130" spans="1:705" s="42" customFormat="1" ht="44.1" hidden="1" customHeight="1" x14ac:dyDescent="0.3">
      <c r="A130" s="26">
        <v>126</v>
      </c>
      <c r="B130" s="137">
        <v>240250</v>
      </c>
      <c r="C130" s="138">
        <v>126</v>
      </c>
      <c r="D130" s="139">
        <v>45931</v>
      </c>
      <c r="E130" s="139">
        <f t="shared" si="18"/>
        <v>45930</v>
      </c>
      <c r="F130" s="139">
        <f t="shared" si="15"/>
        <v>45941</v>
      </c>
      <c r="G130" s="139">
        <v>45941</v>
      </c>
      <c r="H130" s="139">
        <v>45951</v>
      </c>
      <c r="I130" s="139" t="s">
        <v>75</v>
      </c>
      <c r="J130" s="140" t="s">
        <v>348</v>
      </c>
      <c r="K130" s="141">
        <f t="shared" si="19"/>
        <v>10</v>
      </c>
      <c r="L130" s="141">
        <v>1149880</v>
      </c>
      <c r="M130" s="140" t="s">
        <v>15</v>
      </c>
      <c r="N130" s="140">
        <v>805130</v>
      </c>
      <c r="O130" s="137" t="s">
        <v>246</v>
      </c>
      <c r="P130" s="143">
        <v>45938</v>
      </c>
      <c r="Q130" s="143">
        <v>45953</v>
      </c>
      <c r="R130" s="157" t="s">
        <v>211</v>
      </c>
      <c r="S130" s="144" t="s">
        <v>347</v>
      </c>
      <c r="T130" s="145">
        <v>3</v>
      </c>
      <c r="U130" s="137" t="s">
        <v>181</v>
      </c>
      <c r="V130" s="146">
        <v>18</v>
      </c>
      <c r="W130" s="146">
        <v>18</v>
      </c>
      <c r="X130" s="147">
        <v>0</v>
      </c>
      <c r="Y130" s="146">
        <v>0</v>
      </c>
      <c r="Z130" s="146">
        <v>0</v>
      </c>
      <c r="AA130" s="146">
        <v>0</v>
      </c>
      <c r="AB130" s="146">
        <v>0</v>
      </c>
      <c r="AC130" s="146"/>
      <c r="AD130" s="146">
        <v>0</v>
      </c>
      <c r="AE130" s="146">
        <v>0</v>
      </c>
      <c r="AF130" s="146">
        <v>0</v>
      </c>
      <c r="AG130" s="146">
        <v>0</v>
      </c>
      <c r="AH130" s="146">
        <v>3</v>
      </c>
      <c r="AI130" s="146">
        <v>3</v>
      </c>
      <c r="AJ130" s="146">
        <v>0</v>
      </c>
      <c r="AK130" s="146">
        <v>0</v>
      </c>
      <c r="AL130" s="146">
        <v>0</v>
      </c>
      <c r="AM130" s="146">
        <v>0</v>
      </c>
      <c r="AN130" s="146">
        <v>0</v>
      </c>
      <c r="AO130" s="146">
        <v>0</v>
      </c>
      <c r="AP130" s="146">
        <v>3</v>
      </c>
      <c r="AQ130" s="146">
        <v>3</v>
      </c>
      <c r="AR130" s="146">
        <v>0</v>
      </c>
      <c r="AS130" s="146">
        <v>0</v>
      </c>
      <c r="AT130" s="146">
        <v>3</v>
      </c>
      <c r="AU130" s="146">
        <v>3</v>
      </c>
      <c r="AV130" s="146">
        <v>0</v>
      </c>
      <c r="AW130" s="146">
        <v>0</v>
      </c>
      <c r="AX130" s="146">
        <f t="shared" si="21"/>
        <v>4530</v>
      </c>
      <c r="AY130" s="146">
        <f t="shared" si="20"/>
        <v>4530</v>
      </c>
      <c r="AZ130" s="140" t="s">
        <v>562</v>
      </c>
      <c r="BA130" s="140" t="s">
        <v>562</v>
      </c>
      <c r="BB130" s="137">
        <v>2</v>
      </c>
      <c r="BC130" s="148">
        <v>126</v>
      </c>
      <c r="BD130" s="149"/>
      <c r="BE130" s="145"/>
      <c r="BF130" s="150"/>
      <c r="BG130" s="151">
        <v>45931</v>
      </c>
      <c r="BH130" s="153" t="s">
        <v>535</v>
      </c>
      <c r="BI130" s="153" t="s">
        <v>562</v>
      </c>
      <c r="CC130" s="41"/>
      <c r="CD130" s="41"/>
      <c r="CE130" s="41"/>
      <c r="CF130" s="41"/>
      <c r="CG130" s="41"/>
      <c r="CH130" s="41"/>
      <c r="CI130" s="41"/>
      <c r="CJ130" s="41"/>
      <c r="CK130" s="41"/>
      <c r="CL130" s="41"/>
      <c r="CM130" s="41"/>
      <c r="CN130" s="41"/>
      <c r="CO130" s="41"/>
      <c r="CP130" s="41"/>
      <c r="CQ130" s="41"/>
      <c r="CR130" s="41"/>
      <c r="CS130" s="41"/>
      <c r="CT130" s="41"/>
      <c r="CU130" s="41"/>
      <c r="CV130" s="41"/>
      <c r="CW130" s="41"/>
      <c r="CX130" s="41"/>
      <c r="CY130" s="41"/>
      <c r="CZ130" s="41"/>
      <c r="DA130" s="41"/>
      <c r="DB130" s="41"/>
      <c r="DC130" s="41"/>
      <c r="DD130" s="41"/>
      <c r="DE130" s="41"/>
      <c r="DF130" s="41"/>
      <c r="DG130" s="41"/>
      <c r="DH130" s="41"/>
      <c r="DI130" s="41"/>
      <c r="DJ130" s="41"/>
      <c r="DK130" s="41"/>
      <c r="DL130" s="41"/>
      <c r="DM130" s="41"/>
      <c r="DN130" s="41"/>
      <c r="DO130" s="41"/>
      <c r="DP130" s="41"/>
      <c r="DQ130" s="41"/>
      <c r="DR130" s="41"/>
      <c r="DS130" s="41"/>
      <c r="DT130" s="41"/>
      <c r="DU130" s="41"/>
      <c r="DV130" s="41"/>
      <c r="DW130" s="41"/>
      <c r="DX130" s="41"/>
      <c r="DY130" s="41"/>
      <c r="DZ130" s="41"/>
      <c r="EA130" s="41"/>
      <c r="EB130" s="41"/>
      <c r="EC130" s="41"/>
      <c r="ED130" s="41"/>
      <c r="EE130" s="41"/>
      <c r="EF130" s="41"/>
      <c r="EG130" s="41"/>
      <c r="EH130" s="41"/>
      <c r="EI130" s="41"/>
      <c r="EJ130" s="41"/>
      <c r="EK130" s="41"/>
      <c r="EL130" s="41"/>
      <c r="EM130" s="41"/>
      <c r="EN130" s="41"/>
      <c r="EO130" s="41"/>
      <c r="EP130" s="41"/>
      <c r="EQ130" s="41"/>
      <c r="ER130" s="41"/>
      <c r="ES130" s="41"/>
      <c r="ET130" s="41"/>
      <c r="EU130" s="41"/>
      <c r="EV130" s="41"/>
      <c r="EW130" s="41"/>
      <c r="EX130" s="41"/>
      <c r="EY130" s="41"/>
      <c r="EZ130" s="41"/>
      <c r="FA130" s="41"/>
      <c r="FB130" s="41"/>
      <c r="FC130" s="41"/>
      <c r="FD130" s="41"/>
      <c r="FE130" s="41"/>
      <c r="FF130" s="41"/>
      <c r="FG130" s="41"/>
      <c r="FH130" s="41"/>
      <c r="FI130" s="41"/>
      <c r="FJ130" s="41"/>
      <c r="FK130" s="41"/>
      <c r="FL130" s="41"/>
      <c r="FM130" s="41"/>
      <c r="FN130" s="41"/>
      <c r="FO130" s="41"/>
      <c r="FP130" s="41"/>
      <c r="FQ130" s="41"/>
      <c r="FR130" s="41"/>
      <c r="FS130" s="41"/>
      <c r="FT130" s="41"/>
      <c r="FU130" s="41"/>
      <c r="FV130" s="41"/>
      <c r="FW130" s="41"/>
      <c r="FX130" s="41"/>
      <c r="FY130" s="41"/>
      <c r="FZ130" s="41"/>
      <c r="GA130" s="41"/>
      <c r="GB130" s="41"/>
      <c r="GC130" s="41"/>
      <c r="GD130" s="41"/>
      <c r="GE130" s="41"/>
      <c r="GF130" s="41"/>
      <c r="GG130" s="41"/>
      <c r="GH130" s="41"/>
      <c r="GI130" s="41"/>
      <c r="GJ130" s="41"/>
      <c r="GK130" s="41"/>
      <c r="GL130" s="41"/>
      <c r="GM130" s="41"/>
      <c r="GN130" s="41"/>
      <c r="GO130" s="41"/>
      <c r="GP130" s="41"/>
      <c r="GQ130" s="41"/>
      <c r="GR130" s="41"/>
      <c r="GS130" s="41"/>
      <c r="GT130" s="41"/>
      <c r="GU130" s="41"/>
      <c r="GV130" s="41"/>
      <c r="GW130" s="41"/>
      <c r="GX130" s="41"/>
      <c r="GY130" s="41"/>
      <c r="GZ130" s="41"/>
      <c r="HA130" s="41"/>
      <c r="HB130" s="41"/>
      <c r="HC130" s="41"/>
      <c r="HD130" s="41"/>
      <c r="HE130" s="41"/>
      <c r="HF130" s="41"/>
      <c r="HG130" s="41"/>
      <c r="HH130" s="41"/>
      <c r="HI130" s="41"/>
      <c r="HJ130" s="41"/>
      <c r="HK130" s="41"/>
      <c r="HL130" s="41"/>
      <c r="HM130" s="41"/>
      <c r="HN130" s="41"/>
      <c r="HO130" s="41"/>
      <c r="HP130" s="41"/>
      <c r="HQ130" s="41"/>
      <c r="HR130" s="41"/>
      <c r="HS130" s="41"/>
      <c r="HT130" s="41"/>
      <c r="HU130" s="41"/>
      <c r="HV130" s="41"/>
      <c r="HW130" s="41"/>
      <c r="HX130" s="41"/>
      <c r="HY130" s="41"/>
      <c r="HZ130" s="41"/>
      <c r="IA130" s="41"/>
      <c r="IB130" s="41"/>
      <c r="IC130" s="41"/>
      <c r="ID130" s="41"/>
      <c r="IE130" s="41"/>
      <c r="IF130" s="41"/>
      <c r="IG130" s="41"/>
      <c r="IH130" s="41"/>
      <c r="II130" s="41"/>
      <c r="IJ130" s="41"/>
      <c r="IK130" s="41"/>
      <c r="IL130" s="41"/>
      <c r="IM130" s="41"/>
      <c r="IN130" s="41"/>
      <c r="IO130" s="41"/>
      <c r="IP130" s="41"/>
      <c r="IQ130" s="41"/>
      <c r="IR130" s="41"/>
      <c r="IS130" s="41"/>
      <c r="IT130" s="41"/>
      <c r="IU130" s="41"/>
      <c r="IV130" s="41"/>
      <c r="IW130" s="41"/>
      <c r="IX130" s="41"/>
      <c r="IY130" s="41"/>
      <c r="IZ130" s="41"/>
      <c r="JA130" s="41"/>
      <c r="JB130" s="41"/>
      <c r="JC130" s="41"/>
      <c r="JD130" s="41"/>
      <c r="JE130" s="41"/>
      <c r="JF130" s="41"/>
      <c r="JG130" s="41"/>
      <c r="JH130" s="41"/>
      <c r="JI130" s="41"/>
      <c r="JJ130" s="41"/>
      <c r="JK130" s="41"/>
      <c r="JL130" s="41"/>
      <c r="JM130" s="41"/>
      <c r="JN130" s="41"/>
      <c r="JO130" s="41"/>
      <c r="JP130" s="41"/>
      <c r="JQ130" s="41"/>
      <c r="JR130" s="41"/>
      <c r="JS130" s="41"/>
      <c r="JT130" s="41"/>
      <c r="JU130" s="41"/>
      <c r="JV130" s="41"/>
      <c r="JW130" s="41"/>
      <c r="JX130" s="41"/>
      <c r="JY130" s="41"/>
      <c r="JZ130" s="41"/>
      <c r="KA130" s="41"/>
      <c r="KB130" s="41"/>
      <c r="KC130" s="41"/>
      <c r="KD130" s="41"/>
      <c r="KE130" s="41"/>
      <c r="KF130" s="41"/>
      <c r="KG130" s="41"/>
      <c r="KH130" s="41"/>
      <c r="KI130" s="41"/>
      <c r="KJ130" s="41"/>
      <c r="KK130" s="41"/>
      <c r="KL130" s="41"/>
      <c r="KM130" s="41"/>
      <c r="KN130" s="41"/>
      <c r="KO130" s="41"/>
      <c r="KP130" s="41"/>
      <c r="KQ130" s="41"/>
      <c r="KR130" s="41"/>
      <c r="KS130" s="41"/>
      <c r="KT130" s="41"/>
      <c r="KU130" s="41"/>
      <c r="KV130" s="41"/>
      <c r="KW130" s="41"/>
      <c r="KX130" s="41"/>
      <c r="KY130" s="41"/>
      <c r="KZ130" s="41"/>
      <c r="LA130" s="41"/>
      <c r="LB130" s="41"/>
      <c r="LC130" s="41"/>
      <c r="LD130" s="41"/>
      <c r="LE130" s="41"/>
      <c r="LF130" s="41"/>
      <c r="LG130" s="41"/>
      <c r="LH130" s="41"/>
      <c r="LI130" s="41"/>
      <c r="LJ130" s="41"/>
      <c r="LK130" s="41"/>
      <c r="LL130" s="41"/>
      <c r="LM130" s="41"/>
      <c r="LN130" s="41"/>
      <c r="LO130" s="41"/>
      <c r="LP130" s="41"/>
      <c r="LQ130" s="41"/>
      <c r="LR130" s="41"/>
      <c r="LS130" s="41"/>
      <c r="LT130" s="41"/>
      <c r="LU130" s="41"/>
      <c r="LV130" s="41"/>
      <c r="LW130" s="41"/>
      <c r="LX130" s="41"/>
      <c r="LY130" s="41"/>
      <c r="LZ130" s="41"/>
      <c r="MA130" s="41"/>
      <c r="MB130" s="41"/>
      <c r="MC130" s="41"/>
      <c r="MD130" s="41"/>
      <c r="ME130" s="41"/>
      <c r="MF130" s="41"/>
      <c r="MG130" s="41"/>
      <c r="MH130" s="41"/>
      <c r="MI130" s="41"/>
      <c r="MJ130" s="41"/>
      <c r="MK130" s="41"/>
      <c r="ML130" s="41"/>
      <c r="MM130" s="41"/>
      <c r="MN130" s="41"/>
      <c r="MO130" s="41"/>
      <c r="MP130" s="41"/>
      <c r="MQ130" s="41"/>
      <c r="MR130" s="41"/>
      <c r="MS130" s="41"/>
      <c r="MT130" s="41"/>
      <c r="MU130" s="41"/>
      <c r="MV130" s="41"/>
      <c r="MW130" s="41"/>
      <c r="MX130" s="41"/>
      <c r="MY130" s="41"/>
      <c r="MZ130" s="41"/>
      <c r="NA130" s="41"/>
      <c r="NB130" s="41"/>
      <c r="NC130" s="41"/>
      <c r="ND130" s="41"/>
      <c r="NE130" s="41"/>
      <c r="NF130" s="41"/>
      <c r="NG130" s="41"/>
      <c r="NH130" s="41"/>
      <c r="NI130" s="41"/>
      <c r="NJ130" s="41"/>
      <c r="NK130" s="41"/>
      <c r="NL130" s="41"/>
      <c r="NM130" s="41"/>
      <c r="NN130" s="41"/>
      <c r="NO130" s="41"/>
      <c r="NP130" s="41"/>
      <c r="NQ130" s="41"/>
      <c r="NR130" s="41"/>
      <c r="NS130" s="41"/>
      <c r="NT130" s="41"/>
      <c r="NU130" s="41"/>
      <c r="NV130" s="41"/>
      <c r="NW130" s="41"/>
      <c r="NX130" s="41"/>
      <c r="NY130" s="41"/>
      <c r="NZ130" s="41"/>
      <c r="OA130" s="41"/>
      <c r="OB130" s="41"/>
      <c r="OC130" s="41"/>
      <c r="OD130" s="41"/>
      <c r="OE130" s="41"/>
      <c r="OF130" s="41"/>
      <c r="OG130" s="41"/>
      <c r="OH130" s="41"/>
      <c r="OI130" s="41"/>
      <c r="OJ130" s="41"/>
      <c r="OK130" s="41"/>
      <c r="OL130" s="41"/>
      <c r="OM130" s="41"/>
      <c r="ON130" s="41"/>
      <c r="OO130" s="41"/>
      <c r="OP130" s="41"/>
      <c r="OQ130" s="41"/>
      <c r="OR130" s="41"/>
      <c r="OS130" s="41"/>
      <c r="OT130" s="41"/>
      <c r="OU130" s="41"/>
      <c r="OV130" s="41"/>
      <c r="OW130" s="41"/>
      <c r="OX130" s="41"/>
      <c r="OY130" s="41"/>
      <c r="OZ130" s="41"/>
      <c r="PA130" s="41"/>
      <c r="PB130" s="41"/>
      <c r="PC130" s="41"/>
      <c r="PD130" s="41"/>
      <c r="PE130" s="41"/>
      <c r="PF130" s="41"/>
      <c r="PG130" s="41"/>
      <c r="PH130" s="41"/>
      <c r="PI130" s="41"/>
      <c r="PJ130" s="41"/>
      <c r="PK130" s="41"/>
      <c r="PL130" s="41"/>
      <c r="PM130" s="41"/>
      <c r="PN130" s="41"/>
      <c r="PO130" s="41"/>
      <c r="PP130" s="41"/>
      <c r="PQ130" s="41"/>
      <c r="PR130" s="41"/>
      <c r="PS130" s="41"/>
      <c r="PT130" s="41"/>
      <c r="PU130" s="41"/>
      <c r="PV130" s="41"/>
      <c r="PW130" s="41"/>
      <c r="PX130" s="41"/>
      <c r="PY130" s="41"/>
      <c r="PZ130" s="41"/>
      <c r="QA130" s="41"/>
      <c r="QB130" s="41"/>
      <c r="QC130" s="41"/>
      <c r="QD130" s="41"/>
      <c r="QE130" s="41"/>
      <c r="QF130" s="41"/>
      <c r="QG130" s="41"/>
      <c r="QH130" s="41"/>
      <c r="QI130" s="41"/>
      <c r="QJ130" s="41"/>
      <c r="QK130" s="41"/>
      <c r="QL130" s="41"/>
      <c r="QM130" s="41"/>
      <c r="QN130" s="41"/>
      <c r="QO130" s="41"/>
      <c r="QP130" s="41"/>
      <c r="QQ130" s="41"/>
      <c r="QR130" s="41"/>
      <c r="QS130" s="41"/>
      <c r="QT130" s="41"/>
      <c r="QU130" s="41"/>
      <c r="QV130" s="41"/>
      <c r="QW130" s="41"/>
      <c r="QX130" s="41"/>
      <c r="QY130" s="41"/>
      <c r="QZ130" s="41"/>
      <c r="RA130" s="41"/>
      <c r="RB130" s="41"/>
      <c r="RC130" s="41"/>
      <c r="RD130" s="41"/>
      <c r="RE130" s="41"/>
      <c r="RF130" s="41"/>
      <c r="RG130" s="41"/>
      <c r="RH130" s="41"/>
      <c r="RI130" s="41"/>
      <c r="RJ130" s="41"/>
      <c r="RK130" s="41"/>
      <c r="RL130" s="41"/>
      <c r="RM130" s="41"/>
      <c r="RN130" s="41"/>
      <c r="RO130" s="41"/>
      <c r="RP130" s="41"/>
      <c r="RQ130" s="41"/>
      <c r="RR130" s="41"/>
      <c r="RS130" s="41"/>
      <c r="RT130" s="41"/>
      <c r="RU130" s="41"/>
      <c r="RV130" s="41"/>
      <c r="RW130" s="41"/>
      <c r="RX130" s="41"/>
      <c r="RY130" s="41"/>
      <c r="RZ130" s="41"/>
      <c r="SA130" s="41"/>
      <c r="SB130" s="41"/>
      <c r="SC130" s="41"/>
      <c r="SD130" s="41"/>
      <c r="SE130" s="41"/>
      <c r="SF130" s="41"/>
      <c r="SG130" s="41"/>
      <c r="SH130" s="41"/>
      <c r="SI130" s="41"/>
      <c r="SJ130" s="41"/>
      <c r="SK130" s="41"/>
      <c r="SL130" s="41"/>
      <c r="SM130" s="41"/>
      <c r="SN130" s="41"/>
      <c r="SO130" s="41"/>
      <c r="SP130" s="41"/>
      <c r="SQ130" s="41"/>
      <c r="SR130" s="41"/>
      <c r="SS130" s="41"/>
      <c r="ST130" s="41"/>
      <c r="SU130" s="41"/>
      <c r="SV130" s="41"/>
      <c r="SW130" s="41"/>
      <c r="SX130" s="41"/>
      <c r="SY130" s="41"/>
      <c r="SZ130" s="41"/>
      <c r="TA130" s="41"/>
      <c r="TB130" s="41"/>
      <c r="TC130" s="41"/>
      <c r="TD130" s="41"/>
      <c r="TE130" s="41"/>
      <c r="TF130" s="41"/>
      <c r="TG130" s="41"/>
      <c r="TH130" s="41"/>
      <c r="TI130" s="41"/>
      <c r="TJ130" s="41"/>
      <c r="TK130" s="41"/>
      <c r="TL130" s="41"/>
      <c r="TM130" s="41"/>
      <c r="TN130" s="41"/>
      <c r="TO130" s="41"/>
      <c r="TP130" s="41"/>
      <c r="TQ130" s="41"/>
      <c r="TR130" s="41"/>
      <c r="TS130" s="41"/>
      <c r="TT130" s="41"/>
      <c r="TU130" s="41"/>
      <c r="TV130" s="41"/>
      <c r="TW130" s="41"/>
      <c r="TX130" s="41"/>
      <c r="TY130" s="41"/>
      <c r="TZ130" s="41"/>
      <c r="UA130" s="41"/>
      <c r="UB130" s="41"/>
      <c r="UC130" s="41"/>
      <c r="UD130" s="41"/>
      <c r="UE130" s="41"/>
      <c r="UF130" s="41"/>
      <c r="UG130" s="41"/>
      <c r="UH130" s="41"/>
      <c r="UI130" s="41"/>
      <c r="UJ130" s="41"/>
      <c r="UK130" s="41"/>
      <c r="UL130" s="41"/>
      <c r="UM130" s="41"/>
      <c r="UN130" s="41"/>
      <c r="UO130" s="41"/>
      <c r="UP130" s="41"/>
      <c r="UQ130" s="41"/>
      <c r="UR130" s="41"/>
      <c r="US130" s="41"/>
      <c r="UT130" s="41"/>
      <c r="UU130" s="41"/>
      <c r="UV130" s="41"/>
      <c r="UW130" s="41"/>
      <c r="UX130" s="41"/>
      <c r="UY130" s="41"/>
      <c r="UZ130" s="41"/>
      <c r="VA130" s="41"/>
      <c r="VB130" s="41"/>
      <c r="VC130" s="41"/>
      <c r="VD130" s="41"/>
      <c r="VE130" s="41"/>
      <c r="VF130" s="41"/>
      <c r="VG130" s="41"/>
      <c r="VH130" s="41"/>
      <c r="VI130" s="41"/>
      <c r="VJ130" s="41"/>
      <c r="VK130" s="41"/>
      <c r="VL130" s="41"/>
      <c r="VM130" s="41"/>
      <c r="VN130" s="41"/>
      <c r="VO130" s="41"/>
      <c r="VP130" s="41"/>
      <c r="VQ130" s="41"/>
      <c r="VR130" s="41"/>
      <c r="VS130" s="41"/>
      <c r="VT130" s="41"/>
      <c r="VU130" s="41"/>
      <c r="VV130" s="41"/>
      <c r="VW130" s="41"/>
      <c r="VX130" s="41"/>
      <c r="VY130" s="41"/>
      <c r="VZ130" s="41"/>
      <c r="WA130" s="41"/>
      <c r="WB130" s="41"/>
      <c r="WC130" s="41"/>
      <c r="WD130" s="41"/>
      <c r="WE130" s="41"/>
      <c r="WF130" s="41"/>
      <c r="WG130" s="41"/>
      <c r="WH130" s="41"/>
      <c r="WI130" s="41"/>
      <c r="WJ130" s="41"/>
      <c r="WK130" s="41"/>
      <c r="WL130" s="41"/>
      <c r="WM130" s="41"/>
      <c r="WN130" s="41"/>
      <c r="WO130" s="41"/>
      <c r="WP130" s="41"/>
      <c r="WQ130" s="41"/>
      <c r="WR130" s="41"/>
      <c r="WS130" s="41"/>
      <c r="WT130" s="41"/>
      <c r="WU130" s="41"/>
      <c r="WV130" s="41"/>
      <c r="WW130" s="41"/>
      <c r="WX130" s="41"/>
      <c r="WY130" s="41"/>
      <c r="WZ130" s="41"/>
      <c r="XA130" s="41"/>
      <c r="XB130" s="41"/>
      <c r="XC130" s="41"/>
      <c r="XD130" s="41"/>
      <c r="XE130" s="41"/>
      <c r="XF130" s="41"/>
      <c r="XG130" s="41"/>
      <c r="XH130" s="41"/>
      <c r="XI130" s="41"/>
      <c r="XJ130" s="41"/>
      <c r="XK130" s="41"/>
      <c r="XL130" s="41"/>
      <c r="XM130" s="41"/>
      <c r="XN130" s="41"/>
      <c r="XO130" s="41"/>
      <c r="XP130" s="41"/>
      <c r="XQ130" s="41"/>
      <c r="XR130" s="41"/>
      <c r="XS130" s="41"/>
      <c r="XT130" s="41"/>
      <c r="XU130" s="41"/>
      <c r="XV130" s="41"/>
      <c r="XW130" s="41"/>
      <c r="XX130" s="41"/>
      <c r="XY130" s="41"/>
      <c r="XZ130" s="41"/>
      <c r="YA130" s="41"/>
      <c r="YB130" s="41"/>
      <c r="YC130" s="41"/>
      <c r="YD130" s="41"/>
      <c r="YE130" s="41"/>
      <c r="YF130" s="41"/>
      <c r="YG130" s="41"/>
      <c r="YH130" s="41"/>
      <c r="YI130" s="41"/>
      <c r="YJ130" s="41"/>
      <c r="YK130" s="41"/>
      <c r="YL130" s="41"/>
      <c r="YM130" s="41"/>
      <c r="YN130" s="41"/>
      <c r="YO130" s="41"/>
      <c r="YP130" s="41"/>
      <c r="YQ130" s="41"/>
      <c r="YR130" s="41"/>
      <c r="YS130" s="41"/>
      <c r="YT130" s="41"/>
      <c r="YU130" s="41"/>
      <c r="YV130" s="41"/>
      <c r="YW130" s="41"/>
      <c r="YX130" s="41"/>
      <c r="YY130" s="41"/>
      <c r="YZ130" s="41"/>
      <c r="ZA130" s="41"/>
      <c r="ZB130" s="41"/>
      <c r="ZC130" s="41"/>
      <c r="ZD130" s="41"/>
      <c r="ZE130" s="41"/>
      <c r="ZF130" s="41"/>
      <c r="ZG130" s="41"/>
      <c r="ZH130" s="41"/>
      <c r="ZI130" s="41"/>
      <c r="ZJ130" s="41"/>
      <c r="ZK130" s="41"/>
      <c r="ZL130" s="41"/>
      <c r="ZM130" s="41"/>
      <c r="ZN130" s="41"/>
      <c r="ZO130" s="41"/>
      <c r="ZP130" s="41"/>
      <c r="ZQ130" s="41"/>
      <c r="ZR130" s="41"/>
      <c r="ZS130" s="41"/>
      <c r="ZT130" s="41"/>
      <c r="ZU130" s="41"/>
      <c r="ZV130" s="41"/>
      <c r="ZW130" s="41"/>
      <c r="ZX130" s="41"/>
      <c r="ZY130" s="41"/>
      <c r="ZZ130" s="41"/>
      <c r="AAA130" s="41"/>
      <c r="AAB130" s="41"/>
      <c r="AAC130" s="41"/>
    </row>
    <row r="131" spans="1:705" s="42" customFormat="1" ht="44.1" hidden="1" customHeight="1" x14ac:dyDescent="0.3">
      <c r="A131" s="26">
        <v>127</v>
      </c>
      <c r="B131" s="137">
        <v>240269</v>
      </c>
      <c r="C131" s="138">
        <v>127</v>
      </c>
      <c r="D131" s="139">
        <v>45931</v>
      </c>
      <c r="E131" s="139">
        <f t="shared" si="18"/>
        <v>45930</v>
      </c>
      <c r="F131" s="139">
        <f t="shared" si="15"/>
        <v>45941</v>
      </c>
      <c r="G131" s="139">
        <v>46022</v>
      </c>
      <c r="H131" s="139">
        <v>45949</v>
      </c>
      <c r="I131" s="139" t="s">
        <v>349</v>
      </c>
      <c r="J131" s="140" t="s">
        <v>350</v>
      </c>
      <c r="K131" s="141">
        <f t="shared" si="19"/>
        <v>8</v>
      </c>
      <c r="L131" s="141">
        <v>1149963</v>
      </c>
      <c r="M131" s="140" t="s">
        <v>15</v>
      </c>
      <c r="N131" s="140">
        <v>805377</v>
      </c>
      <c r="O131" s="137" t="s">
        <v>246</v>
      </c>
      <c r="P131" s="143">
        <v>45941</v>
      </c>
      <c r="Q131" s="143">
        <v>45956</v>
      </c>
      <c r="R131" s="157" t="s">
        <v>211</v>
      </c>
      <c r="S131" s="144" t="s">
        <v>351</v>
      </c>
      <c r="T131" s="145">
        <v>1</v>
      </c>
      <c r="U131" s="137" t="s">
        <v>81</v>
      </c>
      <c r="V131" s="146">
        <v>8</v>
      </c>
      <c r="W131" s="146">
        <v>8</v>
      </c>
      <c r="X131" s="147">
        <v>0</v>
      </c>
      <c r="Y131" s="146"/>
      <c r="Z131" s="146">
        <v>0</v>
      </c>
      <c r="AA131" s="146">
        <v>0</v>
      </c>
      <c r="AB131" s="146">
        <v>8</v>
      </c>
      <c r="AC131" s="146">
        <v>8</v>
      </c>
      <c r="AD131" s="146">
        <v>0</v>
      </c>
      <c r="AE131" s="146">
        <v>0</v>
      </c>
      <c r="AF131" s="146">
        <v>0</v>
      </c>
      <c r="AG131" s="146">
        <v>0</v>
      </c>
      <c r="AH131" s="146">
        <v>0</v>
      </c>
      <c r="AI131" s="146">
        <v>0</v>
      </c>
      <c r="AJ131" s="146">
        <v>1</v>
      </c>
      <c r="AK131" s="146">
        <v>1</v>
      </c>
      <c r="AL131" s="146">
        <v>1</v>
      </c>
      <c r="AM131" s="146">
        <v>1</v>
      </c>
      <c r="AN131" s="146">
        <v>1</v>
      </c>
      <c r="AO131" s="146">
        <v>1</v>
      </c>
      <c r="AP131" s="146">
        <v>1</v>
      </c>
      <c r="AQ131" s="146">
        <v>1</v>
      </c>
      <c r="AR131" s="146">
        <v>0</v>
      </c>
      <c r="AS131" s="146">
        <v>0</v>
      </c>
      <c r="AT131" s="146">
        <v>0</v>
      </c>
      <c r="AU131" s="146">
        <v>0</v>
      </c>
      <c r="AV131" s="146">
        <v>0</v>
      </c>
      <c r="AW131" s="146">
        <v>0</v>
      </c>
      <c r="AX131" s="146">
        <f t="shared" si="21"/>
        <v>2591</v>
      </c>
      <c r="AY131" s="146">
        <f t="shared" si="20"/>
        <v>2591</v>
      </c>
      <c r="AZ131" s="140" t="s">
        <v>562</v>
      </c>
      <c r="BA131" s="140" t="s">
        <v>562</v>
      </c>
      <c r="BB131" s="137">
        <v>2</v>
      </c>
      <c r="BC131" s="148">
        <v>127</v>
      </c>
      <c r="BD131" s="149"/>
      <c r="BE131" s="145"/>
      <c r="BF131" s="150"/>
      <c r="BG131" s="151">
        <v>45931</v>
      </c>
      <c r="BH131" s="153" t="s">
        <v>535</v>
      </c>
      <c r="BI131" s="153" t="s">
        <v>562</v>
      </c>
      <c r="CC131" s="41"/>
      <c r="CD131" s="41"/>
      <c r="CE131" s="41"/>
      <c r="CF131" s="41"/>
      <c r="CG131" s="41"/>
      <c r="CH131" s="41"/>
      <c r="CI131" s="41"/>
      <c r="CJ131" s="41"/>
      <c r="CK131" s="41"/>
      <c r="CL131" s="41"/>
      <c r="CM131" s="41"/>
      <c r="CN131" s="41"/>
      <c r="CO131" s="41"/>
      <c r="CP131" s="41"/>
      <c r="CQ131" s="41"/>
      <c r="CR131" s="41"/>
      <c r="CS131" s="41"/>
      <c r="CT131" s="41"/>
      <c r="CU131" s="41"/>
      <c r="CV131" s="41"/>
      <c r="CW131" s="41"/>
      <c r="CX131" s="41"/>
      <c r="CY131" s="41"/>
      <c r="CZ131" s="41"/>
      <c r="DA131" s="41"/>
      <c r="DB131" s="41"/>
      <c r="DC131" s="41"/>
      <c r="DD131" s="41"/>
      <c r="DE131" s="41"/>
      <c r="DF131" s="41"/>
      <c r="DG131" s="41"/>
      <c r="DH131" s="41"/>
      <c r="DI131" s="41"/>
      <c r="DJ131" s="41"/>
      <c r="DK131" s="41"/>
      <c r="DL131" s="41"/>
      <c r="DM131" s="41"/>
      <c r="DN131" s="41"/>
      <c r="DO131" s="41"/>
      <c r="DP131" s="41"/>
      <c r="DQ131" s="41"/>
      <c r="DR131" s="41"/>
      <c r="DS131" s="41"/>
      <c r="DT131" s="41"/>
      <c r="DU131" s="41"/>
      <c r="DV131" s="41"/>
      <c r="DW131" s="41"/>
      <c r="DX131" s="41"/>
      <c r="DY131" s="41"/>
      <c r="DZ131" s="41"/>
      <c r="EA131" s="41"/>
      <c r="EB131" s="41"/>
      <c r="EC131" s="41"/>
      <c r="ED131" s="41"/>
      <c r="EE131" s="41"/>
      <c r="EF131" s="41"/>
      <c r="EG131" s="41"/>
      <c r="EH131" s="41"/>
      <c r="EI131" s="41"/>
      <c r="EJ131" s="41"/>
      <c r="EK131" s="41"/>
      <c r="EL131" s="41"/>
      <c r="EM131" s="41"/>
      <c r="EN131" s="41"/>
      <c r="EO131" s="41"/>
      <c r="EP131" s="41"/>
      <c r="EQ131" s="41"/>
      <c r="ER131" s="41"/>
      <c r="ES131" s="41"/>
      <c r="ET131" s="41"/>
      <c r="EU131" s="41"/>
      <c r="EV131" s="41"/>
      <c r="EW131" s="41"/>
      <c r="EX131" s="41"/>
      <c r="EY131" s="41"/>
      <c r="EZ131" s="41"/>
      <c r="FA131" s="41"/>
      <c r="FB131" s="41"/>
      <c r="FC131" s="41"/>
      <c r="FD131" s="41"/>
      <c r="FE131" s="41"/>
      <c r="FF131" s="41"/>
      <c r="FG131" s="41"/>
      <c r="FH131" s="41"/>
      <c r="FI131" s="41"/>
      <c r="FJ131" s="41"/>
      <c r="FK131" s="41"/>
      <c r="FL131" s="41"/>
      <c r="FM131" s="41"/>
      <c r="FN131" s="41"/>
      <c r="FO131" s="41"/>
      <c r="FP131" s="41"/>
      <c r="FQ131" s="41"/>
      <c r="FR131" s="41"/>
      <c r="FS131" s="41"/>
      <c r="FT131" s="41"/>
      <c r="FU131" s="41"/>
      <c r="FV131" s="41"/>
      <c r="FW131" s="41"/>
      <c r="FX131" s="41"/>
      <c r="FY131" s="41"/>
      <c r="FZ131" s="41"/>
      <c r="GA131" s="41"/>
      <c r="GB131" s="41"/>
      <c r="GC131" s="41"/>
      <c r="GD131" s="41"/>
      <c r="GE131" s="41"/>
      <c r="GF131" s="41"/>
      <c r="GG131" s="41"/>
      <c r="GH131" s="41"/>
      <c r="GI131" s="41"/>
      <c r="GJ131" s="41"/>
      <c r="GK131" s="41"/>
      <c r="GL131" s="41"/>
      <c r="GM131" s="41"/>
      <c r="GN131" s="41"/>
      <c r="GO131" s="41"/>
      <c r="GP131" s="41"/>
      <c r="GQ131" s="41"/>
      <c r="GR131" s="41"/>
      <c r="GS131" s="41"/>
      <c r="GT131" s="41"/>
      <c r="GU131" s="41"/>
      <c r="GV131" s="41"/>
      <c r="GW131" s="41"/>
      <c r="GX131" s="41"/>
      <c r="GY131" s="41"/>
      <c r="GZ131" s="41"/>
      <c r="HA131" s="41"/>
      <c r="HB131" s="41"/>
      <c r="HC131" s="41"/>
      <c r="HD131" s="41"/>
      <c r="HE131" s="41"/>
      <c r="HF131" s="41"/>
      <c r="HG131" s="41"/>
      <c r="HH131" s="41"/>
      <c r="HI131" s="41"/>
      <c r="HJ131" s="41"/>
      <c r="HK131" s="41"/>
      <c r="HL131" s="41"/>
      <c r="HM131" s="41"/>
      <c r="HN131" s="41"/>
      <c r="HO131" s="41"/>
      <c r="HP131" s="41"/>
      <c r="HQ131" s="41"/>
      <c r="HR131" s="41"/>
      <c r="HS131" s="41"/>
      <c r="HT131" s="41"/>
      <c r="HU131" s="41"/>
      <c r="HV131" s="41"/>
      <c r="HW131" s="41"/>
      <c r="HX131" s="41"/>
      <c r="HY131" s="41"/>
      <c r="HZ131" s="41"/>
      <c r="IA131" s="41"/>
      <c r="IB131" s="41"/>
      <c r="IC131" s="41"/>
      <c r="ID131" s="41"/>
      <c r="IE131" s="41"/>
      <c r="IF131" s="41"/>
      <c r="IG131" s="41"/>
      <c r="IH131" s="41"/>
      <c r="II131" s="41"/>
      <c r="IJ131" s="41"/>
      <c r="IK131" s="41"/>
      <c r="IL131" s="41"/>
      <c r="IM131" s="41"/>
      <c r="IN131" s="41"/>
      <c r="IO131" s="41"/>
      <c r="IP131" s="41"/>
      <c r="IQ131" s="41"/>
      <c r="IR131" s="41"/>
      <c r="IS131" s="41"/>
      <c r="IT131" s="41"/>
      <c r="IU131" s="41"/>
      <c r="IV131" s="41"/>
      <c r="IW131" s="41"/>
      <c r="IX131" s="41"/>
      <c r="IY131" s="41"/>
      <c r="IZ131" s="41"/>
      <c r="JA131" s="41"/>
      <c r="JB131" s="41"/>
      <c r="JC131" s="41"/>
      <c r="JD131" s="41"/>
      <c r="JE131" s="41"/>
      <c r="JF131" s="41"/>
      <c r="JG131" s="41"/>
      <c r="JH131" s="41"/>
      <c r="JI131" s="41"/>
      <c r="JJ131" s="41"/>
      <c r="JK131" s="41"/>
      <c r="JL131" s="41"/>
      <c r="JM131" s="41"/>
      <c r="JN131" s="41"/>
      <c r="JO131" s="41"/>
      <c r="JP131" s="41"/>
      <c r="JQ131" s="41"/>
      <c r="JR131" s="41"/>
      <c r="JS131" s="41"/>
      <c r="JT131" s="41"/>
      <c r="JU131" s="41"/>
      <c r="JV131" s="41"/>
      <c r="JW131" s="41"/>
      <c r="JX131" s="41"/>
      <c r="JY131" s="41"/>
      <c r="JZ131" s="41"/>
      <c r="KA131" s="41"/>
      <c r="KB131" s="41"/>
      <c r="KC131" s="41"/>
      <c r="KD131" s="41"/>
      <c r="KE131" s="41"/>
      <c r="KF131" s="41"/>
      <c r="KG131" s="41"/>
      <c r="KH131" s="41"/>
      <c r="KI131" s="41"/>
      <c r="KJ131" s="41"/>
      <c r="KK131" s="41"/>
      <c r="KL131" s="41"/>
      <c r="KM131" s="41"/>
      <c r="KN131" s="41"/>
      <c r="KO131" s="41"/>
      <c r="KP131" s="41"/>
      <c r="KQ131" s="41"/>
      <c r="KR131" s="41"/>
      <c r="KS131" s="41"/>
      <c r="KT131" s="41"/>
      <c r="KU131" s="41"/>
      <c r="KV131" s="41"/>
      <c r="KW131" s="41"/>
      <c r="KX131" s="41"/>
      <c r="KY131" s="41"/>
      <c r="KZ131" s="41"/>
      <c r="LA131" s="41"/>
      <c r="LB131" s="41"/>
      <c r="LC131" s="41"/>
      <c r="LD131" s="41"/>
      <c r="LE131" s="41"/>
      <c r="LF131" s="41"/>
      <c r="LG131" s="41"/>
      <c r="LH131" s="41"/>
      <c r="LI131" s="41"/>
      <c r="LJ131" s="41"/>
      <c r="LK131" s="41"/>
      <c r="LL131" s="41"/>
      <c r="LM131" s="41"/>
      <c r="LN131" s="41"/>
      <c r="LO131" s="41"/>
      <c r="LP131" s="41"/>
      <c r="LQ131" s="41"/>
      <c r="LR131" s="41"/>
      <c r="LS131" s="41"/>
      <c r="LT131" s="41"/>
      <c r="LU131" s="41"/>
      <c r="LV131" s="41"/>
      <c r="LW131" s="41"/>
      <c r="LX131" s="41"/>
      <c r="LY131" s="41"/>
      <c r="LZ131" s="41"/>
      <c r="MA131" s="41"/>
      <c r="MB131" s="41"/>
      <c r="MC131" s="41"/>
      <c r="MD131" s="41"/>
      <c r="ME131" s="41"/>
      <c r="MF131" s="41"/>
      <c r="MG131" s="41"/>
      <c r="MH131" s="41"/>
      <c r="MI131" s="41"/>
      <c r="MJ131" s="41"/>
      <c r="MK131" s="41"/>
      <c r="ML131" s="41"/>
      <c r="MM131" s="41"/>
      <c r="MN131" s="41"/>
      <c r="MO131" s="41"/>
      <c r="MP131" s="41"/>
      <c r="MQ131" s="41"/>
      <c r="MR131" s="41"/>
      <c r="MS131" s="41"/>
      <c r="MT131" s="41"/>
      <c r="MU131" s="41"/>
      <c r="MV131" s="41"/>
      <c r="MW131" s="41"/>
      <c r="MX131" s="41"/>
      <c r="MY131" s="41"/>
      <c r="MZ131" s="41"/>
      <c r="NA131" s="41"/>
      <c r="NB131" s="41"/>
      <c r="NC131" s="41"/>
      <c r="ND131" s="41"/>
      <c r="NE131" s="41"/>
      <c r="NF131" s="41"/>
      <c r="NG131" s="41"/>
      <c r="NH131" s="41"/>
      <c r="NI131" s="41"/>
      <c r="NJ131" s="41"/>
      <c r="NK131" s="41"/>
      <c r="NL131" s="41"/>
      <c r="NM131" s="41"/>
      <c r="NN131" s="41"/>
      <c r="NO131" s="41"/>
      <c r="NP131" s="41"/>
      <c r="NQ131" s="41"/>
      <c r="NR131" s="41"/>
      <c r="NS131" s="41"/>
      <c r="NT131" s="41"/>
      <c r="NU131" s="41"/>
      <c r="NV131" s="41"/>
      <c r="NW131" s="41"/>
      <c r="NX131" s="41"/>
      <c r="NY131" s="41"/>
      <c r="NZ131" s="41"/>
      <c r="OA131" s="41"/>
      <c r="OB131" s="41"/>
      <c r="OC131" s="41"/>
      <c r="OD131" s="41"/>
      <c r="OE131" s="41"/>
      <c r="OF131" s="41"/>
      <c r="OG131" s="41"/>
      <c r="OH131" s="41"/>
      <c r="OI131" s="41"/>
      <c r="OJ131" s="41"/>
      <c r="OK131" s="41"/>
      <c r="OL131" s="41"/>
      <c r="OM131" s="41"/>
      <c r="ON131" s="41"/>
      <c r="OO131" s="41"/>
      <c r="OP131" s="41"/>
      <c r="OQ131" s="41"/>
      <c r="OR131" s="41"/>
      <c r="OS131" s="41"/>
      <c r="OT131" s="41"/>
      <c r="OU131" s="41"/>
      <c r="OV131" s="41"/>
      <c r="OW131" s="41"/>
      <c r="OX131" s="41"/>
      <c r="OY131" s="41"/>
      <c r="OZ131" s="41"/>
      <c r="PA131" s="41"/>
      <c r="PB131" s="41"/>
      <c r="PC131" s="41"/>
      <c r="PD131" s="41"/>
      <c r="PE131" s="41"/>
      <c r="PF131" s="41"/>
      <c r="PG131" s="41"/>
      <c r="PH131" s="41"/>
      <c r="PI131" s="41"/>
      <c r="PJ131" s="41"/>
      <c r="PK131" s="41"/>
      <c r="PL131" s="41"/>
      <c r="PM131" s="41"/>
      <c r="PN131" s="41"/>
      <c r="PO131" s="41"/>
      <c r="PP131" s="41"/>
      <c r="PQ131" s="41"/>
      <c r="PR131" s="41"/>
      <c r="PS131" s="41"/>
      <c r="PT131" s="41"/>
      <c r="PU131" s="41"/>
      <c r="PV131" s="41"/>
      <c r="PW131" s="41"/>
      <c r="PX131" s="41"/>
      <c r="PY131" s="41"/>
      <c r="PZ131" s="41"/>
      <c r="QA131" s="41"/>
      <c r="QB131" s="41"/>
      <c r="QC131" s="41"/>
      <c r="QD131" s="41"/>
      <c r="QE131" s="41"/>
      <c r="QF131" s="41"/>
      <c r="QG131" s="41"/>
      <c r="QH131" s="41"/>
      <c r="QI131" s="41"/>
      <c r="QJ131" s="41"/>
      <c r="QK131" s="41"/>
      <c r="QL131" s="41"/>
      <c r="QM131" s="41"/>
      <c r="QN131" s="41"/>
      <c r="QO131" s="41"/>
      <c r="QP131" s="41"/>
      <c r="QQ131" s="41"/>
      <c r="QR131" s="41"/>
      <c r="QS131" s="41"/>
      <c r="QT131" s="41"/>
      <c r="QU131" s="41"/>
      <c r="QV131" s="41"/>
      <c r="QW131" s="41"/>
      <c r="QX131" s="41"/>
      <c r="QY131" s="41"/>
      <c r="QZ131" s="41"/>
      <c r="RA131" s="41"/>
      <c r="RB131" s="41"/>
      <c r="RC131" s="41"/>
      <c r="RD131" s="41"/>
      <c r="RE131" s="41"/>
      <c r="RF131" s="41"/>
      <c r="RG131" s="41"/>
      <c r="RH131" s="41"/>
      <c r="RI131" s="41"/>
      <c r="RJ131" s="41"/>
      <c r="RK131" s="41"/>
      <c r="RL131" s="41"/>
      <c r="RM131" s="41"/>
      <c r="RN131" s="41"/>
      <c r="RO131" s="41"/>
      <c r="RP131" s="41"/>
      <c r="RQ131" s="41"/>
      <c r="RR131" s="41"/>
      <c r="RS131" s="41"/>
      <c r="RT131" s="41"/>
      <c r="RU131" s="41"/>
      <c r="RV131" s="41"/>
      <c r="RW131" s="41"/>
      <c r="RX131" s="41"/>
      <c r="RY131" s="41"/>
      <c r="RZ131" s="41"/>
      <c r="SA131" s="41"/>
      <c r="SB131" s="41"/>
      <c r="SC131" s="41"/>
      <c r="SD131" s="41"/>
      <c r="SE131" s="41"/>
      <c r="SF131" s="41"/>
      <c r="SG131" s="41"/>
      <c r="SH131" s="41"/>
      <c r="SI131" s="41"/>
      <c r="SJ131" s="41"/>
      <c r="SK131" s="41"/>
      <c r="SL131" s="41"/>
      <c r="SM131" s="41"/>
      <c r="SN131" s="41"/>
      <c r="SO131" s="41"/>
      <c r="SP131" s="41"/>
      <c r="SQ131" s="41"/>
      <c r="SR131" s="41"/>
      <c r="SS131" s="41"/>
      <c r="ST131" s="41"/>
      <c r="SU131" s="41"/>
      <c r="SV131" s="41"/>
      <c r="SW131" s="41"/>
      <c r="SX131" s="41"/>
      <c r="SY131" s="41"/>
      <c r="SZ131" s="41"/>
      <c r="TA131" s="41"/>
      <c r="TB131" s="41"/>
      <c r="TC131" s="41"/>
      <c r="TD131" s="41"/>
      <c r="TE131" s="41"/>
      <c r="TF131" s="41"/>
      <c r="TG131" s="41"/>
      <c r="TH131" s="41"/>
      <c r="TI131" s="41"/>
      <c r="TJ131" s="41"/>
      <c r="TK131" s="41"/>
      <c r="TL131" s="41"/>
      <c r="TM131" s="41"/>
      <c r="TN131" s="41"/>
      <c r="TO131" s="41"/>
      <c r="TP131" s="41"/>
      <c r="TQ131" s="41"/>
      <c r="TR131" s="41"/>
      <c r="TS131" s="41"/>
      <c r="TT131" s="41"/>
      <c r="TU131" s="41"/>
      <c r="TV131" s="41"/>
      <c r="TW131" s="41"/>
      <c r="TX131" s="41"/>
      <c r="TY131" s="41"/>
      <c r="TZ131" s="41"/>
      <c r="UA131" s="41"/>
      <c r="UB131" s="41"/>
      <c r="UC131" s="41"/>
      <c r="UD131" s="41"/>
      <c r="UE131" s="41"/>
      <c r="UF131" s="41"/>
      <c r="UG131" s="41"/>
      <c r="UH131" s="41"/>
      <c r="UI131" s="41"/>
      <c r="UJ131" s="41"/>
      <c r="UK131" s="41"/>
      <c r="UL131" s="41"/>
      <c r="UM131" s="41"/>
      <c r="UN131" s="41"/>
      <c r="UO131" s="41"/>
      <c r="UP131" s="41"/>
      <c r="UQ131" s="41"/>
      <c r="UR131" s="41"/>
      <c r="US131" s="41"/>
      <c r="UT131" s="41"/>
      <c r="UU131" s="41"/>
      <c r="UV131" s="41"/>
      <c r="UW131" s="41"/>
      <c r="UX131" s="41"/>
      <c r="UY131" s="41"/>
      <c r="UZ131" s="41"/>
      <c r="VA131" s="41"/>
      <c r="VB131" s="41"/>
      <c r="VC131" s="41"/>
      <c r="VD131" s="41"/>
      <c r="VE131" s="41"/>
      <c r="VF131" s="41"/>
      <c r="VG131" s="41"/>
      <c r="VH131" s="41"/>
      <c r="VI131" s="41"/>
      <c r="VJ131" s="41"/>
      <c r="VK131" s="41"/>
      <c r="VL131" s="41"/>
      <c r="VM131" s="41"/>
      <c r="VN131" s="41"/>
      <c r="VO131" s="41"/>
      <c r="VP131" s="41"/>
      <c r="VQ131" s="41"/>
      <c r="VR131" s="41"/>
      <c r="VS131" s="41"/>
      <c r="VT131" s="41"/>
      <c r="VU131" s="41"/>
      <c r="VV131" s="41"/>
      <c r="VW131" s="41"/>
      <c r="VX131" s="41"/>
      <c r="VY131" s="41"/>
      <c r="VZ131" s="41"/>
      <c r="WA131" s="41"/>
      <c r="WB131" s="41"/>
      <c r="WC131" s="41"/>
      <c r="WD131" s="41"/>
      <c r="WE131" s="41"/>
      <c r="WF131" s="41"/>
      <c r="WG131" s="41"/>
      <c r="WH131" s="41"/>
      <c r="WI131" s="41"/>
      <c r="WJ131" s="41"/>
      <c r="WK131" s="41"/>
      <c r="WL131" s="41"/>
      <c r="WM131" s="41"/>
      <c r="WN131" s="41"/>
      <c r="WO131" s="41"/>
      <c r="WP131" s="41"/>
      <c r="WQ131" s="41"/>
      <c r="WR131" s="41"/>
      <c r="WS131" s="41"/>
      <c r="WT131" s="41"/>
      <c r="WU131" s="41"/>
      <c r="WV131" s="41"/>
      <c r="WW131" s="41"/>
      <c r="WX131" s="41"/>
      <c r="WY131" s="41"/>
      <c r="WZ131" s="41"/>
      <c r="XA131" s="41"/>
      <c r="XB131" s="41"/>
      <c r="XC131" s="41"/>
      <c r="XD131" s="41"/>
      <c r="XE131" s="41"/>
      <c r="XF131" s="41"/>
      <c r="XG131" s="41"/>
      <c r="XH131" s="41"/>
      <c r="XI131" s="41"/>
      <c r="XJ131" s="41"/>
      <c r="XK131" s="41"/>
      <c r="XL131" s="41"/>
      <c r="XM131" s="41"/>
      <c r="XN131" s="41"/>
      <c r="XO131" s="41"/>
      <c r="XP131" s="41"/>
      <c r="XQ131" s="41"/>
      <c r="XR131" s="41"/>
      <c r="XS131" s="41"/>
      <c r="XT131" s="41"/>
      <c r="XU131" s="41"/>
      <c r="XV131" s="41"/>
      <c r="XW131" s="41"/>
      <c r="XX131" s="41"/>
      <c r="XY131" s="41"/>
      <c r="XZ131" s="41"/>
      <c r="YA131" s="41"/>
      <c r="YB131" s="41"/>
      <c r="YC131" s="41"/>
      <c r="YD131" s="41"/>
      <c r="YE131" s="41"/>
      <c r="YF131" s="41"/>
      <c r="YG131" s="41"/>
      <c r="YH131" s="41"/>
      <c r="YI131" s="41"/>
      <c r="YJ131" s="41"/>
      <c r="YK131" s="41"/>
      <c r="YL131" s="41"/>
      <c r="YM131" s="41"/>
      <c r="YN131" s="41"/>
      <c r="YO131" s="41"/>
      <c r="YP131" s="41"/>
      <c r="YQ131" s="41"/>
      <c r="YR131" s="41"/>
      <c r="YS131" s="41"/>
      <c r="YT131" s="41"/>
      <c r="YU131" s="41"/>
      <c r="YV131" s="41"/>
      <c r="YW131" s="41"/>
      <c r="YX131" s="41"/>
      <c r="YY131" s="41"/>
      <c r="YZ131" s="41"/>
      <c r="ZA131" s="41"/>
      <c r="ZB131" s="41"/>
      <c r="ZC131" s="41"/>
      <c r="ZD131" s="41"/>
      <c r="ZE131" s="41"/>
      <c r="ZF131" s="41"/>
      <c r="ZG131" s="41"/>
      <c r="ZH131" s="41"/>
      <c r="ZI131" s="41"/>
      <c r="ZJ131" s="41"/>
      <c r="ZK131" s="41"/>
      <c r="ZL131" s="41"/>
      <c r="ZM131" s="41"/>
      <c r="ZN131" s="41"/>
      <c r="ZO131" s="41"/>
      <c r="ZP131" s="41"/>
      <c r="ZQ131" s="41"/>
      <c r="ZR131" s="41"/>
      <c r="ZS131" s="41"/>
      <c r="ZT131" s="41"/>
      <c r="ZU131" s="41"/>
      <c r="ZV131" s="41"/>
      <c r="ZW131" s="41"/>
      <c r="ZX131" s="41"/>
      <c r="ZY131" s="41"/>
      <c r="ZZ131" s="41"/>
      <c r="AAA131" s="41"/>
      <c r="AAB131" s="41"/>
      <c r="AAC131" s="41"/>
    </row>
    <row r="132" spans="1:705" s="135" customFormat="1" ht="44.1" hidden="1" customHeight="1" x14ac:dyDescent="0.3">
      <c r="A132" s="26">
        <v>128</v>
      </c>
      <c r="B132" s="138">
        <v>240271</v>
      </c>
      <c r="C132" s="138">
        <v>128</v>
      </c>
      <c r="D132" s="139">
        <v>46058</v>
      </c>
      <c r="E132" s="139">
        <f t="shared" si="18"/>
        <v>46057</v>
      </c>
      <c r="F132" s="139">
        <f t="shared" si="15"/>
        <v>46068</v>
      </c>
      <c r="G132" s="139">
        <v>46147</v>
      </c>
      <c r="H132" s="139">
        <v>46126</v>
      </c>
      <c r="I132" s="139" t="s">
        <v>349</v>
      </c>
      <c r="J132" s="140" t="s">
        <v>352</v>
      </c>
      <c r="K132" s="141">
        <f t="shared" si="19"/>
        <v>58</v>
      </c>
      <c r="L132" s="141">
        <v>1149980</v>
      </c>
      <c r="M132" s="140" t="s">
        <v>535</v>
      </c>
      <c r="N132" s="140">
        <v>805338</v>
      </c>
      <c r="O132" s="137" t="s">
        <v>246</v>
      </c>
      <c r="P132" s="143">
        <v>45964</v>
      </c>
      <c r="Q132" s="143">
        <v>46128</v>
      </c>
      <c r="R132" s="185" t="s">
        <v>211</v>
      </c>
      <c r="S132" s="144" t="s">
        <v>353</v>
      </c>
      <c r="T132" s="145">
        <v>1</v>
      </c>
      <c r="U132" s="186" t="s">
        <v>82</v>
      </c>
      <c r="V132" s="146">
        <v>10</v>
      </c>
      <c r="W132" s="146">
        <v>10</v>
      </c>
      <c r="X132" s="147">
        <v>0</v>
      </c>
      <c r="Y132" s="146">
        <v>0</v>
      </c>
      <c r="Z132" s="146">
        <v>0</v>
      </c>
      <c r="AA132" s="146">
        <v>0</v>
      </c>
      <c r="AB132" s="146">
        <v>5</v>
      </c>
      <c r="AC132" s="146">
        <v>5</v>
      </c>
      <c r="AD132" s="146">
        <v>0</v>
      </c>
      <c r="AE132" s="146">
        <v>0</v>
      </c>
      <c r="AF132" s="146">
        <v>0</v>
      </c>
      <c r="AG132" s="146">
        <v>0</v>
      </c>
      <c r="AH132" s="146">
        <v>0</v>
      </c>
      <c r="AI132" s="146">
        <v>0</v>
      </c>
      <c r="AJ132" s="146">
        <v>0</v>
      </c>
      <c r="AK132" s="146">
        <v>0</v>
      </c>
      <c r="AL132" s="146">
        <v>0</v>
      </c>
      <c r="AM132" s="146">
        <v>0</v>
      </c>
      <c r="AN132" s="146">
        <v>2</v>
      </c>
      <c r="AO132" s="146">
        <v>2</v>
      </c>
      <c r="AP132" s="146">
        <v>2</v>
      </c>
      <c r="AQ132" s="146">
        <v>2</v>
      </c>
      <c r="AR132" s="146">
        <v>0</v>
      </c>
      <c r="AS132" s="146">
        <v>0</v>
      </c>
      <c r="AT132" s="146">
        <v>0</v>
      </c>
      <c r="AU132" s="146">
        <v>0</v>
      </c>
      <c r="AV132" s="146">
        <v>0</v>
      </c>
      <c r="AW132" s="146">
        <v>0</v>
      </c>
      <c r="AX132" s="146">
        <f t="shared" si="21"/>
        <v>2265</v>
      </c>
      <c r="AY132" s="146">
        <f t="shared" si="20"/>
        <v>2265</v>
      </c>
      <c r="AZ132" s="137" t="s">
        <v>562</v>
      </c>
      <c r="BA132" s="137" t="s">
        <v>562</v>
      </c>
      <c r="BB132" s="137">
        <v>10</v>
      </c>
      <c r="BC132" s="187">
        <v>128</v>
      </c>
      <c r="BD132" s="149"/>
      <c r="BE132" s="145"/>
      <c r="BF132" s="150"/>
      <c r="BG132" s="151">
        <v>45984</v>
      </c>
      <c r="BH132" s="153" t="s">
        <v>535</v>
      </c>
      <c r="BI132" s="153" t="s">
        <v>562</v>
      </c>
      <c r="BJ132" s="16"/>
      <c r="BK132" s="16"/>
      <c r="BL132" s="16"/>
      <c r="BM132" s="16"/>
      <c r="BN132" s="16"/>
      <c r="BO132" s="16"/>
      <c r="BP132" s="16"/>
      <c r="BQ132" s="16"/>
      <c r="BR132" s="16"/>
      <c r="BS132" s="16"/>
      <c r="BT132" s="16"/>
      <c r="BU132" s="16"/>
      <c r="BV132" s="16"/>
      <c r="BW132" s="16"/>
      <c r="BX132" s="16"/>
      <c r="BY132" s="16"/>
      <c r="BZ132" s="16"/>
      <c r="CA132" s="16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  <c r="CW132" s="16"/>
      <c r="CX132" s="16"/>
      <c r="CY132" s="16"/>
      <c r="CZ132" s="16"/>
      <c r="DA132" s="16"/>
      <c r="DB132" s="16"/>
      <c r="DC132" s="16"/>
      <c r="DD132" s="16"/>
      <c r="DE132" s="16"/>
      <c r="DF132" s="16"/>
      <c r="DG132" s="16"/>
      <c r="DH132" s="16"/>
      <c r="DI132" s="16"/>
      <c r="DJ132" s="16"/>
      <c r="DK132" s="16"/>
      <c r="DL132" s="16"/>
      <c r="DM132" s="16"/>
      <c r="DN132" s="16"/>
      <c r="DO132" s="16"/>
      <c r="DP132" s="16"/>
      <c r="DQ132" s="16"/>
      <c r="DR132" s="16"/>
      <c r="DS132" s="16"/>
      <c r="DT132" s="16"/>
      <c r="DU132" s="16"/>
      <c r="DV132" s="16"/>
      <c r="DW132" s="16"/>
      <c r="DX132" s="16"/>
      <c r="DY132" s="16"/>
      <c r="DZ132" s="16"/>
      <c r="EA132" s="16"/>
      <c r="EB132" s="16"/>
      <c r="EC132" s="16"/>
      <c r="ED132" s="16"/>
      <c r="EE132" s="16"/>
      <c r="EF132" s="16"/>
      <c r="EG132" s="16"/>
      <c r="EH132" s="16"/>
      <c r="EI132" s="16"/>
      <c r="EJ132" s="16"/>
      <c r="EK132" s="16"/>
      <c r="EL132" s="16"/>
      <c r="EM132" s="16"/>
      <c r="EN132" s="16"/>
      <c r="EO132" s="16"/>
      <c r="EP132" s="16"/>
      <c r="EQ132" s="16"/>
      <c r="ER132" s="16"/>
      <c r="ES132" s="16"/>
      <c r="ET132" s="16"/>
      <c r="EU132" s="16"/>
      <c r="EV132" s="16"/>
      <c r="EW132" s="16"/>
      <c r="EX132" s="16"/>
      <c r="EY132" s="16"/>
      <c r="EZ132" s="16"/>
      <c r="FA132" s="16"/>
      <c r="FB132" s="16"/>
      <c r="FC132" s="16"/>
      <c r="FD132" s="16"/>
      <c r="FE132" s="16"/>
      <c r="FF132" s="16"/>
      <c r="FG132" s="16"/>
      <c r="FH132" s="16"/>
      <c r="FI132" s="16"/>
      <c r="FJ132" s="16"/>
      <c r="FK132" s="16"/>
      <c r="FL132" s="16"/>
      <c r="FM132" s="16"/>
      <c r="FN132" s="16"/>
      <c r="FO132" s="16"/>
      <c r="FP132" s="16"/>
      <c r="FQ132" s="16"/>
      <c r="FR132" s="16"/>
      <c r="FS132" s="16"/>
      <c r="FT132" s="16"/>
      <c r="FU132" s="16"/>
      <c r="FV132" s="16"/>
      <c r="FW132" s="16"/>
      <c r="FX132" s="16"/>
      <c r="FY132" s="16"/>
      <c r="FZ132" s="16"/>
      <c r="GA132" s="16"/>
      <c r="GB132" s="16"/>
      <c r="GC132" s="16"/>
      <c r="GD132" s="16"/>
      <c r="GE132" s="16"/>
      <c r="GF132" s="16"/>
      <c r="GG132" s="16"/>
      <c r="GH132" s="16"/>
      <c r="GI132" s="16"/>
      <c r="GJ132" s="16"/>
      <c r="GK132" s="16"/>
      <c r="GL132" s="16"/>
      <c r="GM132" s="16"/>
      <c r="GN132" s="16"/>
      <c r="GO132" s="16"/>
      <c r="GP132" s="16"/>
      <c r="GQ132" s="16"/>
      <c r="GR132" s="16"/>
      <c r="GS132" s="16"/>
      <c r="GT132" s="16"/>
      <c r="GU132" s="16"/>
      <c r="GV132" s="16"/>
      <c r="GW132" s="16"/>
      <c r="GX132" s="16"/>
      <c r="GY132" s="16"/>
      <c r="GZ132" s="16"/>
      <c r="HA132" s="16"/>
      <c r="HB132" s="16"/>
      <c r="HC132" s="16"/>
      <c r="HD132" s="16"/>
      <c r="HE132" s="16"/>
      <c r="HF132" s="16"/>
      <c r="HG132" s="16"/>
      <c r="HH132" s="16"/>
      <c r="HI132" s="16"/>
      <c r="HJ132" s="16"/>
      <c r="HK132" s="16"/>
      <c r="HL132" s="16"/>
      <c r="HM132" s="16"/>
      <c r="HN132" s="16"/>
      <c r="HO132" s="16"/>
      <c r="HP132" s="16"/>
      <c r="HQ132" s="16"/>
      <c r="HR132" s="16"/>
      <c r="HS132" s="16"/>
      <c r="HT132" s="16"/>
      <c r="HU132" s="16"/>
      <c r="HV132" s="16"/>
      <c r="HW132" s="16"/>
      <c r="HX132" s="16"/>
      <c r="HY132" s="16"/>
      <c r="HZ132" s="16"/>
      <c r="IA132" s="16"/>
      <c r="IB132" s="16"/>
      <c r="IC132" s="16"/>
      <c r="ID132" s="16"/>
      <c r="IE132" s="16"/>
      <c r="IF132" s="16"/>
      <c r="IG132" s="16"/>
      <c r="IH132" s="16"/>
      <c r="II132" s="16"/>
      <c r="IJ132" s="16"/>
      <c r="IK132" s="16"/>
      <c r="IL132" s="16"/>
      <c r="IM132" s="16"/>
      <c r="IN132" s="16"/>
      <c r="IO132" s="16"/>
      <c r="IP132" s="16"/>
      <c r="IQ132" s="16"/>
      <c r="IR132" s="16"/>
      <c r="IS132" s="16"/>
      <c r="IT132" s="16"/>
      <c r="IU132" s="16"/>
      <c r="IV132" s="16"/>
      <c r="IW132" s="16"/>
      <c r="IX132" s="16"/>
      <c r="IY132" s="16"/>
      <c r="IZ132" s="16"/>
      <c r="JA132" s="16"/>
      <c r="JB132" s="16"/>
      <c r="JC132" s="16"/>
      <c r="JD132" s="16"/>
      <c r="JE132" s="16"/>
      <c r="JF132" s="16"/>
      <c r="JG132" s="16"/>
      <c r="JH132" s="16"/>
      <c r="JI132" s="16"/>
      <c r="JJ132" s="16"/>
      <c r="JK132" s="16"/>
      <c r="JL132" s="16"/>
      <c r="JM132" s="16"/>
      <c r="JN132" s="16"/>
      <c r="JO132" s="16"/>
      <c r="JP132" s="16"/>
      <c r="JQ132" s="16"/>
      <c r="JR132" s="16"/>
      <c r="JS132" s="16"/>
      <c r="JT132" s="16"/>
      <c r="JU132" s="16"/>
      <c r="JV132" s="16"/>
      <c r="JW132" s="16"/>
      <c r="JX132" s="16"/>
      <c r="JY132" s="16"/>
      <c r="JZ132" s="16"/>
      <c r="KA132" s="16"/>
      <c r="KB132" s="16"/>
      <c r="KC132" s="16"/>
      <c r="KD132" s="16"/>
      <c r="KE132" s="16"/>
      <c r="KF132" s="16"/>
      <c r="KG132" s="16"/>
      <c r="KH132" s="16"/>
      <c r="KI132" s="16"/>
      <c r="KJ132" s="16"/>
      <c r="KK132" s="16"/>
      <c r="KL132" s="16"/>
      <c r="KM132" s="16"/>
      <c r="KN132" s="16"/>
      <c r="KO132" s="16"/>
      <c r="KP132" s="16"/>
      <c r="KQ132" s="16"/>
      <c r="KR132" s="16"/>
      <c r="KS132" s="16"/>
      <c r="KT132" s="16"/>
      <c r="KU132" s="16"/>
      <c r="KV132" s="16"/>
      <c r="KW132" s="16"/>
      <c r="KX132" s="16"/>
      <c r="KY132" s="16"/>
      <c r="KZ132" s="16"/>
      <c r="LA132" s="16"/>
      <c r="LB132" s="16"/>
      <c r="LC132" s="16"/>
      <c r="LD132" s="16"/>
      <c r="LE132" s="16"/>
      <c r="LF132" s="16"/>
      <c r="LG132" s="16"/>
      <c r="LH132" s="16"/>
      <c r="LI132" s="16"/>
      <c r="LJ132" s="16"/>
      <c r="LK132" s="16"/>
      <c r="LL132" s="16"/>
      <c r="LM132" s="16"/>
      <c r="LN132" s="16"/>
      <c r="LO132" s="16"/>
      <c r="LP132" s="16"/>
      <c r="LQ132" s="16"/>
      <c r="LR132" s="16"/>
      <c r="LS132" s="16"/>
      <c r="LT132" s="16"/>
      <c r="LU132" s="16"/>
      <c r="LV132" s="16"/>
      <c r="LW132" s="16"/>
      <c r="LX132" s="16"/>
      <c r="LY132" s="16"/>
      <c r="LZ132" s="16"/>
      <c r="MA132" s="16"/>
      <c r="MB132" s="16"/>
      <c r="MC132" s="16"/>
      <c r="MD132" s="16"/>
      <c r="ME132" s="16"/>
      <c r="MF132" s="16"/>
      <c r="MG132" s="16"/>
      <c r="MH132" s="16"/>
      <c r="MI132" s="16"/>
      <c r="MJ132" s="16"/>
      <c r="MK132" s="16"/>
      <c r="ML132" s="16"/>
      <c r="MM132" s="16"/>
      <c r="MN132" s="16"/>
      <c r="MO132" s="16"/>
      <c r="MP132" s="16"/>
      <c r="MQ132" s="16"/>
      <c r="MR132" s="16"/>
      <c r="MS132" s="16"/>
      <c r="MT132" s="16"/>
      <c r="MU132" s="16"/>
      <c r="MV132" s="16"/>
      <c r="MW132" s="16"/>
      <c r="MX132" s="16"/>
      <c r="MY132" s="16"/>
      <c r="MZ132" s="16"/>
      <c r="NA132" s="16"/>
      <c r="NB132" s="16"/>
      <c r="NC132" s="16"/>
      <c r="ND132" s="16"/>
      <c r="NE132" s="16"/>
      <c r="NF132" s="16"/>
      <c r="NG132" s="16"/>
      <c r="NH132" s="16"/>
      <c r="NI132" s="16"/>
      <c r="NJ132" s="16"/>
      <c r="NK132" s="16"/>
      <c r="NL132" s="16"/>
      <c r="NM132" s="16"/>
      <c r="NN132" s="16"/>
      <c r="NO132" s="16"/>
      <c r="NP132" s="16"/>
      <c r="NQ132" s="16"/>
      <c r="NR132" s="16"/>
      <c r="NS132" s="16"/>
      <c r="NT132" s="16"/>
      <c r="NU132" s="16"/>
      <c r="NV132" s="16"/>
      <c r="NW132" s="16"/>
      <c r="NX132" s="16"/>
      <c r="NY132" s="16"/>
      <c r="NZ132" s="16"/>
      <c r="OA132" s="16"/>
      <c r="OB132" s="16"/>
      <c r="OC132" s="16"/>
      <c r="OD132" s="16"/>
      <c r="OE132" s="16"/>
      <c r="OF132" s="16"/>
      <c r="OG132" s="16"/>
      <c r="OH132" s="16"/>
      <c r="OI132" s="16"/>
      <c r="OJ132" s="16"/>
      <c r="OK132" s="16"/>
      <c r="OL132" s="16"/>
      <c r="OM132" s="16"/>
      <c r="ON132" s="16"/>
      <c r="OO132" s="16"/>
      <c r="OP132" s="16"/>
      <c r="OQ132" s="16"/>
      <c r="OR132" s="16"/>
      <c r="OS132" s="16"/>
      <c r="OT132" s="16"/>
      <c r="OU132" s="16"/>
      <c r="OV132" s="16"/>
      <c r="OW132" s="16"/>
      <c r="OX132" s="16"/>
      <c r="OY132" s="16"/>
      <c r="OZ132" s="16"/>
      <c r="PA132" s="16"/>
      <c r="PB132" s="16"/>
      <c r="PC132" s="16"/>
      <c r="PD132" s="16"/>
      <c r="PE132" s="16"/>
      <c r="PF132" s="16"/>
      <c r="PG132" s="16"/>
      <c r="PH132" s="16"/>
      <c r="PI132" s="16"/>
      <c r="PJ132" s="16"/>
      <c r="PK132" s="16"/>
      <c r="PL132" s="16"/>
      <c r="PM132" s="16"/>
      <c r="PN132" s="16"/>
      <c r="PO132" s="16"/>
      <c r="PP132" s="16"/>
      <c r="PQ132" s="16"/>
      <c r="PR132" s="16"/>
      <c r="PS132" s="16"/>
      <c r="PT132" s="16"/>
      <c r="PU132" s="16"/>
      <c r="PV132" s="16"/>
      <c r="PW132" s="16"/>
      <c r="PX132" s="16"/>
      <c r="PY132" s="16"/>
      <c r="PZ132" s="16"/>
      <c r="QA132" s="16"/>
      <c r="QB132" s="16"/>
      <c r="QC132" s="16"/>
      <c r="QD132" s="16"/>
      <c r="QE132" s="16"/>
      <c r="QF132" s="16"/>
      <c r="QG132" s="16"/>
      <c r="QH132" s="16"/>
      <c r="QI132" s="16"/>
      <c r="QJ132" s="16"/>
      <c r="QK132" s="16"/>
      <c r="QL132" s="16"/>
      <c r="QM132" s="16"/>
      <c r="QN132" s="16"/>
      <c r="QO132" s="16"/>
      <c r="QP132" s="16"/>
      <c r="QQ132" s="16"/>
      <c r="QR132" s="16"/>
      <c r="QS132" s="16"/>
      <c r="QT132" s="16"/>
      <c r="QU132" s="16"/>
      <c r="QV132" s="16"/>
      <c r="QW132" s="16"/>
      <c r="QX132" s="16"/>
      <c r="QY132" s="16"/>
      <c r="QZ132" s="16"/>
      <c r="RA132" s="16"/>
      <c r="RB132" s="16"/>
      <c r="RC132" s="16"/>
      <c r="RD132" s="16"/>
      <c r="RE132" s="16"/>
      <c r="RF132" s="16"/>
      <c r="RG132" s="16"/>
      <c r="RH132" s="16"/>
      <c r="RI132" s="16"/>
      <c r="RJ132" s="16"/>
      <c r="RK132" s="16"/>
      <c r="RL132" s="16"/>
      <c r="RM132" s="16"/>
      <c r="RN132" s="16"/>
      <c r="RO132" s="16"/>
      <c r="RP132" s="16"/>
      <c r="RQ132" s="16"/>
      <c r="RR132" s="16"/>
      <c r="RS132" s="16"/>
      <c r="RT132" s="16"/>
      <c r="RU132" s="16"/>
      <c r="RV132" s="16"/>
      <c r="RW132" s="16"/>
      <c r="RX132" s="16"/>
      <c r="RY132" s="16"/>
      <c r="RZ132" s="16"/>
      <c r="SA132" s="16"/>
      <c r="SB132" s="16"/>
      <c r="SC132" s="16"/>
      <c r="SD132" s="16"/>
      <c r="SE132" s="16"/>
      <c r="SF132" s="16"/>
      <c r="SG132" s="16"/>
      <c r="SH132" s="16"/>
      <c r="SI132" s="16"/>
      <c r="SJ132" s="16"/>
      <c r="SK132" s="16"/>
      <c r="SL132" s="16"/>
      <c r="SM132" s="16"/>
      <c r="SN132" s="16"/>
      <c r="SO132" s="16"/>
      <c r="SP132" s="16"/>
      <c r="SQ132" s="16"/>
      <c r="SR132" s="16"/>
      <c r="SS132" s="16"/>
      <c r="ST132" s="16"/>
      <c r="SU132" s="16"/>
      <c r="SV132" s="16"/>
      <c r="SW132" s="16"/>
      <c r="SX132" s="16"/>
      <c r="SY132" s="16"/>
      <c r="SZ132" s="16"/>
      <c r="TA132" s="16"/>
      <c r="TB132" s="16"/>
      <c r="TC132" s="16"/>
      <c r="TD132" s="16"/>
      <c r="TE132" s="16"/>
      <c r="TF132" s="16"/>
      <c r="TG132" s="16"/>
      <c r="TH132" s="16"/>
      <c r="TI132" s="16"/>
      <c r="TJ132" s="16"/>
      <c r="TK132" s="16"/>
      <c r="TL132" s="16"/>
      <c r="TM132" s="16"/>
      <c r="TN132" s="16"/>
      <c r="TO132" s="16"/>
      <c r="TP132" s="16"/>
      <c r="TQ132" s="16"/>
      <c r="TR132" s="16"/>
      <c r="TS132" s="16"/>
      <c r="TT132" s="16"/>
      <c r="TU132" s="16"/>
      <c r="TV132" s="16"/>
      <c r="TW132" s="16"/>
      <c r="TX132" s="16"/>
      <c r="TY132" s="16"/>
      <c r="TZ132" s="16"/>
      <c r="UA132" s="16"/>
      <c r="UB132" s="16"/>
      <c r="UC132" s="16"/>
      <c r="UD132" s="16"/>
      <c r="UE132" s="16"/>
      <c r="UF132" s="16"/>
      <c r="UG132" s="16"/>
      <c r="UH132" s="16"/>
      <c r="UI132" s="16"/>
      <c r="UJ132" s="16"/>
      <c r="UK132" s="16"/>
      <c r="UL132" s="16"/>
      <c r="UM132" s="16"/>
      <c r="UN132" s="16"/>
      <c r="UO132" s="16"/>
      <c r="UP132" s="16"/>
      <c r="UQ132" s="16"/>
      <c r="UR132" s="16"/>
      <c r="US132" s="16"/>
      <c r="UT132" s="16"/>
      <c r="UU132" s="16"/>
      <c r="UV132" s="16"/>
      <c r="UW132" s="16"/>
      <c r="UX132" s="16"/>
      <c r="UY132" s="16"/>
      <c r="UZ132" s="16"/>
      <c r="VA132" s="16"/>
      <c r="VB132" s="16"/>
      <c r="VC132" s="16"/>
      <c r="VD132" s="16"/>
      <c r="VE132" s="16"/>
      <c r="VF132" s="16"/>
      <c r="VG132" s="16"/>
      <c r="VH132" s="16"/>
      <c r="VI132" s="16"/>
      <c r="VJ132" s="16"/>
      <c r="VK132" s="16"/>
      <c r="VL132" s="16"/>
      <c r="VM132" s="16"/>
      <c r="VN132" s="16"/>
      <c r="VO132" s="16"/>
      <c r="VP132" s="16"/>
      <c r="VQ132" s="16"/>
      <c r="VR132" s="16"/>
      <c r="VS132" s="16"/>
      <c r="VT132" s="16"/>
      <c r="VU132" s="16"/>
      <c r="VV132" s="16"/>
      <c r="VW132" s="16"/>
      <c r="VX132" s="16"/>
      <c r="VY132" s="16"/>
      <c r="VZ132" s="16"/>
      <c r="WA132" s="16"/>
      <c r="WB132" s="16"/>
      <c r="WC132" s="16"/>
      <c r="WD132" s="16"/>
      <c r="WE132" s="16"/>
      <c r="WF132" s="16"/>
      <c r="WG132" s="16"/>
      <c r="WH132" s="16"/>
      <c r="WI132" s="16"/>
      <c r="WJ132" s="16"/>
      <c r="WK132" s="16"/>
      <c r="WL132" s="16"/>
      <c r="WM132" s="16"/>
      <c r="WN132" s="16"/>
      <c r="WO132" s="16"/>
      <c r="WP132" s="16"/>
      <c r="WQ132" s="16"/>
      <c r="WR132" s="16"/>
      <c r="WS132" s="16"/>
      <c r="WT132" s="16"/>
      <c r="WU132" s="16"/>
      <c r="WV132" s="16"/>
      <c r="WW132" s="16"/>
      <c r="WX132" s="16"/>
      <c r="WY132" s="16"/>
      <c r="WZ132" s="16"/>
      <c r="XA132" s="16"/>
      <c r="XB132" s="16"/>
      <c r="XC132" s="16"/>
      <c r="XD132" s="16"/>
      <c r="XE132" s="16"/>
      <c r="XF132" s="16"/>
      <c r="XG132" s="16"/>
      <c r="XH132" s="16"/>
      <c r="XI132" s="16"/>
      <c r="XJ132" s="16"/>
      <c r="XK132" s="16"/>
      <c r="XL132" s="16"/>
      <c r="XM132" s="16"/>
      <c r="XN132" s="16"/>
      <c r="XO132" s="16"/>
      <c r="XP132" s="16"/>
      <c r="XQ132" s="16"/>
      <c r="XR132" s="16"/>
      <c r="XS132" s="16"/>
      <c r="XT132" s="16"/>
      <c r="XU132" s="16"/>
      <c r="XV132" s="16"/>
      <c r="XW132" s="16"/>
      <c r="XX132" s="16"/>
      <c r="XY132" s="16"/>
      <c r="XZ132" s="16"/>
      <c r="YA132" s="16"/>
      <c r="YB132" s="16"/>
      <c r="YC132" s="16"/>
      <c r="YD132" s="16"/>
      <c r="YE132" s="16"/>
      <c r="YF132" s="16"/>
      <c r="YG132" s="16"/>
      <c r="YH132" s="16"/>
      <c r="YI132" s="16"/>
      <c r="YJ132" s="16"/>
      <c r="YK132" s="16"/>
      <c r="YL132" s="16"/>
      <c r="YM132" s="16"/>
      <c r="YN132" s="16"/>
      <c r="YO132" s="16"/>
      <c r="YP132" s="16"/>
      <c r="YQ132" s="16"/>
      <c r="YR132" s="16"/>
      <c r="YS132" s="16"/>
      <c r="YT132" s="16"/>
      <c r="YU132" s="16"/>
      <c r="YV132" s="16"/>
      <c r="YW132" s="16"/>
      <c r="YX132" s="16"/>
      <c r="YY132" s="16"/>
      <c r="YZ132" s="16"/>
      <c r="ZA132" s="16"/>
      <c r="ZB132" s="16"/>
      <c r="ZC132" s="16"/>
      <c r="ZD132" s="16"/>
      <c r="ZE132" s="16"/>
      <c r="ZF132" s="16"/>
      <c r="ZG132" s="16"/>
      <c r="ZH132" s="16"/>
      <c r="ZI132" s="16"/>
      <c r="ZJ132" s="16"/>
      <c r="ZK132" s="16"/>
      <c r="ZL132" s="16"/>
      <c r="ZM132" s="16"/>
      <c r="ZN132" s="16"/>
      <c r="ZO132" s="16"/>
      <c r="ZP132" s="16"/>
      <c r="ZQ132" s="16"/>
      <c r="ZR132" s="16"/>
      <c r="ZS132" s="16"/>
      <c r="ZT132" s="16"/>
      <c r="ZU132" s="16"/>
      <c r="ZV132" s="16"/>
      <c r="ZW132" s="16"/>
      <c r="ZX132" s="16"/>
      <c r="ZY132" s="16"/>
      <c r="ZZ132" s="16"/>
      <c r="AAA132" s="16"/>
      <c r="AAB132" s="16"/>
      <c r="AAC132" s="16"/>
    </row>
    <row r="133" spans="1:705" s="42" customFormat="1" ht="44.1" hidden="1" customHeight="1" x14ac:dyDescent="0.3">
      <c r="A133" s="26">
        <v>129</v>
      </c>
      <c r="B133" s="137">
        <v>240272</v>
      </c>
      <c r="C133" s="138">
        <v>129</v>
      </c>
      <c r="D133" s="139">
        <v>45931</v>
      </c>
      <c r="E133" s="139">
        <f t="shared" si="18"/>
        <v>45930</v>
      </c>
      <c r="F133" s="139">
        <f t="shared" ref="F133:F164" si="22">D133+10</f>
        <v>45941</v>
      </c>
      <c r="G133" s="139">
        <v>46022</v>
      </c>
      <c r="H133" s="139">
        <v>45950</v>
      </c>
      <c r="I133" s="139" t="s">
        <v>349</v>
      </c>
      <c r="J133" s="140" t="s">
        <v>354</v>
      </c>
      <c r="K133" s="141">
        <f t="shared" si="19"/>
        <v>9</v>
      </c>
      <c r="L133" s="141">
        <v>1149981</v>
      </c>
      <c r="M133" s="140" t="s">
        <v>15</v>
      </c>
      <c r="N133" s="140">
        <v>805377</v>
      </c>
      <c r="O133" s="137" t="s">
        <v>246</v>
      </c>
      <c r="P133" s="143">
        <v>45941</v>
      </c>
      <c r="Q133" s="143">
        <v>45956</v>
      </c>
      <c r="R133" s="157" t="s">
        <v>211</v>
      </c>
      <c r="S133" s="144" t="s">
        <v>355</v>
      </c>
      <c r="T133" s="145">
        <v>1</v>
      </c>
      <c r="U133" s="137" t="s">
        <v>81</v>
      </c>
      <c r="V133" s="146">
        <v>10</v>
      </c>
      <c r="W133" s="146">
        <v>10</v>
      </c>
      <c r="X133" s="147">
        <v>0</v>
      </c>
      <c r="Y133" s="146">
        <v>0</v>
      </c>
      <c r="Z133" s="146">
        <v>0</v>
      </c>
      <c r="AA133" s="146">
        <v>0</v>
      </c>
      <c r="AB133" s="146">
        <v>0</v>
      </c>
      <c r="AC133" s="146"/>
      <c r="AD133" s="146">
        <v>0</v>
      </c>
      <c r="AE133" s="146">
        <v>0</v>
      </c>
      <c r="AF133" s="146">
        <v>0</v>
      </c>
      <c r="AG133" s="146">
        <v>0</v>
      </c>
      <c r="AH133" s="146">
        <v>0</v>
      </c>
      <c r="AI133" s="146"/>
      <c r="AJ133" s="146">
        <v>0</v>
      </c>
      <c r="AK133" s="146"/>
      <c r="AL133" s="146">
        <v>1</v>
      </c>
      <c r="AM133" s="146">
        <v>1</v>
      </c>
      <c r="AN133" s="146">
        <v>2</v>
      </c>
      <c r="AO133" s="146">
        <v>2</v>
      </c>
      <c r="AP133" s="146">
        <v>2</v>
      </c>
      <c r="AQ133" s="146">
        <v>2</v>
      </c>
      <c r="AR133" s="146">
        <v>0</v>
      </c>
      <c r="AS133" s="146">
        <v>0</v>
      </c>
      <c r="AT133" s="146">
        <v>0</v>
      </c>
      <c r="AU133" s="146">
        <v>0</v>
      </c>
      <c r="AV133" s="146">
        <v>0</v>
      </c>
      <c r="AW133" s="146">
        <v>0</v>
      </c>
      <c r="AX133" s="146">
        <f t="shared" si="21"/>
        <v>2570</v>
      </c>
      <c r="AY133" s="146">
        <f t="shared" si="20"/>
        <v>2570</v>
      </c>
      <c r="AZ133" s="140" t="s">
        <v>562</v>
      </c>
      <c r="BA133" s="140" t="s">
        <v>562</v>
      </c>
      <c r="BB133" s="137">
        <v>2</v>
      </c>
      <c r="BC133" s="148">
        <v>129</v>
      </c>
      <c r="BD133" s="149"/>
      <c r="BE133" s="145"/>
      <c r="BF133" s="150"/>
      <c r="BG133" s="151">
        <v>45931</v>
      </c>
      <c r="BH133" s="153" t="s">
        <v>535</v>
      </c>
      <c r="BI133" s="153" t="s">
        <v>562</v>
      </c>
      <c r="CC133" s="41"/>
      <c r="CD133" s="41"/>
      <c r="CE133" s="41"/>
      <c r="CF133" s="41"/>
      <c r="CG133" s="41"/>
      <c r="CH133" s="41"/>
      <c r="CI133" s="41"/>
      <c r="CJ133" s="41"/>
      <c r="CK133" s="41"/>
      <c r="CL133" s="41"/>
      <c r="CM133" s="41"/>
      <c r="CN133" s="41"/>
      <c r="CO133" s="41"/>
      <c r="CP133" s="41"/>
      <c r="CQ133" s="41"/>
      <c r="CR133" s="41"/>
      <c r="CS133" s="41"/>
      <c r="CT133" s="41"/>
      <c r="CU133" s="41"/>
      <c r="CV133" s="41"/>
      <c r="CW133" s="41"/>
      <c r="CX133" s="41"/>
      <c r="CY133" s="41"/>
      <c r="CZ133" s="41"/>
      <c r="DA133" s="41"/>
      <c r="DB133" s="41"/>
      <c r="DC133" s="41"/>
      <c r="DD133" s="41"/>
      <c r="DE133" s="41"/>
      <c r="DF133" s="41"/>
      <c r="DG133" s="41"/>
      <c r="DH133" s="41"/>
      <c r="DI133" s="41"/>
      <c r="DJ133" s="41"/>
      <c r="DK133" s="41"/>
      <c r="DL133" s="41"/>
      <c r="DM133" s="41"/>
      <c r="DN133" s="41"/>
      <c r="DO133" s="41"/>
      <c r="DP133" s="41"/>
      <c r="DQ133" s="41"/>
      <c r="DR133" s="41"/>
      <c r="DS133" s="41"/>
      <c r="DT133" s="41"/>
      <c r="DU133" s="41"/>
      <c r="DV133" s="41"/>
      <c r="DW133" s="41"/>
      <c r="DX133" s="41"/>
      <c r="DY133" s="41"/>
      <c r="DZ133" s="41"/>
      <c r="EA133" s="41"/>
      <c r="EB133" s="41"/>
      <c r="EC133" s="41"/>
      <c r="ED133" s="41"/>
      <c r="EE133" s="41"/>
      <c r="EF133" s="41"/>
      <c r="EG133" s="41"/>
      <c r="EH133" s="41"/>
      <c r="EI133" s="41"/>
      <c r="EJ133" s="41"/>
      <c r="EK133" s="41"/>
      <c r="EL133" s="41"/>
      <c r="EM133" s="41"/>
      <c r="EN133" s="41"/>
      <c r="EO133" s="41"/>
      <c r="EP133" s="41"/>
      <c r="EQ133" s="41"/>
      <c r="ER133" s="41"/>
      <c r="ES133" s="41"/>
      <c r="ET133" s="41"/>
      <c r="EU133" s="41"/>
      <c r="EV133" s="41"/>
      <c r="EW133" s="41"/>
      <c r="EX133" s="41"/>
      <c r="EY133" s="41"/>
      <c r="EZ133" s="41"/>
      <c r="FA133" s="41"/>
      <c r="FB133" s="41"/>
      <c r="FC133" s="41"/>
      <c r="FD133" s="41"/>
      <c r="FE133" s="41"/>
      <c r="FF133" s="41"/>
      <c r="FG133" s="41"/>
      <c r="FH133" s="41"/>
      <c r="FI133" s="41"/>
      <c r="FJ133" s="41"/>
      <c r="FK133" s="41"/>
      <c r="FL133" s="41"/>
      <c r="FM133" s="41"/>
      <c r="FN133" s="41"/>
      <c r="FO133" s="41"/>
      <c r="FP133" s="41"/>
      <c r="FQ133" s="41"/>
      <c r="FR133" s="41"/>
      <c r="FS133" s="41"/>
      <c r="FT133" s="41"/>
      <c r="FU133" s="41"/>
      <c r="FV133" s="41"/>
      <c r="FW133" s="41"/>
      <c r="FX133" s="41"/>
      <c r="FY133" s="41"/>
      <c r="FZ133" s="41"/>
      <c r="GA133" s="41"/>
      <c r="GB133" s="41"/>
      <c r="GC133" s="41"/>
      <c r="GD133" s="41"/>
      <c r="GE133" s="41"/>
      <c r="GF133" s="41"/>
      <c r="GG133" s="41"/>
      <c r="GH133" s="41"/>
      <c r="GI133" s="41"/>
      <c r="GJ133" s="41"/>
      <c r="GK133" s="41"/>
      <c r="GL133" s="41"/>
      <c r="GM133" s="41"/>
      <c r="GN133" s="41"/>
      <c r="GO133" s="41"/>
      <c r="GP133" s="41"/>
      <c r="GQ133" s="41"/>
      <c r="GR133" s="41"/>
      <c r="GS133" s="41"/>
      <c r="GT133" s="41"/>
      <c r="GU133" s="41"/>
      <c r="GV133" s="41"/>
      <c r="GW133" s="41"/>
      <c r="GX133" s="41"/>
      <c r="GY133" s="41"/>
      <c r="GZ133" s="41"/>
      <c r="HA133" s="41"/>
      <c r="HB133" s="41"/>
      <c r="HC133" s="41"/>
      <c r="HD133" s="41"/>
      <c r="HE133" s="41"/>
      <c r="HF133" s="41"/>
      <c r="HG133" s="41"/>
      <c r="HH133" s="41"/>
      <c r="HI133" s="41"/>
      <c r="HJ133" s="41"/>
      <c r="HK133" s="41"/>
      <c r="HL133" s="41"/>
      <c r="HM133" s="41"/>
      <c r="HN133" s="41"/>
      <c r="HO133" s="41"/>
      <c r="HP133" s="41"/>
      <c r="HQ133" s="41"/>
      <c r="HR133" s="41"/>
      <c r="HS133" s="41"/>
      <c r="HT133" s="41"/>
      <c r="HU133" s="41"/>
      <c r="HV133" s="41"/>
      <c r="HW133" s="41"/>
      <c r="HX133" s="41"/>
      <c r="HY133" s="41"/>
      <c r="HZ133" s="41"/>
      <c r="IA133" s="41"/>
      <c r="IB133" s="41"/>
      <c r="IC133" s="41"/>
      <c r="ID133" s="41"/>
      <c r="IE133" s="41"/>
      <c r="IF133" s="41"/>
      <c r="IG133" s="41"/>
      <c r="IH133" s="41"/>
      <c r="II133" s="41"/>
      <c r="IJ133" s="41"/>
      <c r="IK133" s="41"/>
      <c r="IL133" s="41"/>
      <c r="IM133" s="41"/>
      <c r="IN133" s="41"/>
      <c r="IO133" s="41"/>
      <c r="IP133" s="41"/>
      <c r="IQ133" s="41"/>
      <c r="IR133" s="41"/>
      <c r="IS133" s="41"/>
      <c r="IT133" s="41"/>
      <c r="IU133" s="41"/>
      <c r="IV133" s="41"/>
      <c r="IW133" s="41"/>
      <c r="IX133" s="41"/>
      <c r="IY133" s="41"/>
      <c r="IZ133" s="41"/>
      <c r="JA133" s="41"/>
      <c r="JB133" s="41"/>
      <c r="JC133" s="41"/>
      <c r="JD133" s="41"/>
      <c r="JE133" s="41"/>
      <c r="JF133" s="41"/>
      <c r="JG133" s="41"/>
      <c r="JH133" s="41"/>
      <c r="JI133" s="41"/>
      <c r="JJ133" s="41"/>
      <c r="JK133" s="41"/>
      <c r="JL133" s="41"/>
      <c r="JM133" s="41"/>
      <c r="JN133" s="41"/>
      <c r="JO133" s="41"/>
      <c r="JP133" s="41"/>
      <c r="JQ133" s="41"/>
      <c r="JR133" s="41"/>
      <c r="JS133" s="41"/>
      <c r="JT133" s="41"/>
      <c r="JU133" s="41"/>
      <c r="JV133" s="41"/>
      <c r="JW133" s="41"/>
      <c r="JX133" s="41"/>
      <c r="JY133" s="41"/>
      <c r="JZ133" s="41"/>
      <c r="KA133" s="41"/>
      <c r="KB133" s="41"/>
      <c r="KC133" s="41"/>
      <c r="KD133" s="41"/>
      <c r="KE133" s="41"/>
      <c r="KF133" s="41"/>
      <c r="KG133" s="41"/>
      <c r="KH133" s="41"/>
      <c r="KI133" s="41"/>
      <c r="KJ133" s="41"/>
      <c r="KK133" s="41"/>
      <c r="KL133" s="41"/>
      <c r="KM133" s="41"/>
      <c r="KN133" s="41"/>
      <c r="KO133" s="41"/>
      <c r="KP133" s="41"/>
      <c r="KQ133" s="41"/>
      <c r="KR133" s="41"/>
      <c r="KS133" s="41"/>
      <c r="KT133" s="41"/>
      <c r="KU133" s="41"/>
      <c r="KV133" s="41"/>
      <c r="KW133" s="41"/>
      <c r="KX133" s="41"/>
      <c r="KY133" s="41"/>
      <c r="KZ133" s="41"/>
      <c r="LA133" s="41"/>
      <c r="LB133" s="41"/>
      <c r="LC133" s="41"/>
      <c r="LD133" s="41"/>
      <c r="LE133" s="41"/>
      <c r="LF133" s="41"/>
      <c r="LG133" s="41"/>
      <c r="LH133" s="41"/>
      <c r="LI133" s="41"/>
      <c r="LJ133" s="41"/>
      <c r="LK133" s="41"/>
      <c r="LL133" s="41"/>
      <c r="LM133" s="41"/>
      <c r="LN133" s="41"/>
      <c r="LO133" s="41"/>
      <c r="LP133" s="41"/>
      <c r="LQ133" s="41"/>
      <c r="LR133" s="41"/>
      <c r="LS133" s="41"/>
      <c r="LT133" s="41"/>
      <c r="LU133" s="41"/>
      <c r="LV133" s="41"/>
      <c r="LW133" s="41"/>
      <c r="LX133" s="41"/>
      <c r="LY133" s="41"/>
      <c r="LZ133" s="41"/>
      <c r="MA133" s="41"/>
      <c r="MB133" s="41"/>
      <c r="MC133" s="41"/>
      <c r="MD133" s="41"/>
      <c r="ME133" s="41"/>
      <c r="MF133" s="41"/>
      <c r="MG133" s="41"/>
      <c r="MH133" s="41"/>
      <c r="MI133" s="41"/>
      <c r="MJ133" s="41"/>
      <c r="MK133" s="41"/>
      <c r="ML133" s="41"/>
      <c r="MM133" s="41"/>
      <c r="MN133" s="41"/>
      <c r="MO133" s="41"/>
      <c r="MP133" s="41"/>
      <c r="MQ133" s="41"/>
      <c r="MR133" s="41"/>
      <c r="MS133" s="41"/>
      <c r="MT133" s="41"/>
      <c r="MU133" s="41"/>
      <c r="MV133" s="41"/>
      <c r="MW133" s="41"/>
      <c r="MX133" s="41"/>
      <c r="MY133" s="41"/>
      <c r="MZ133" s="41"/>
      <c r="NA133" s="41"/>
      <c r="NB133" s="41"/>
      <c r="NC133" s="41"/>
      <c r="ND133" s="41"/>
      <c r="NE133" s="41"/>
      <c r="NF133" s="41"/>
      <c r="NG133" s="41"/>
      <c r="NH133" s="41"/>
      <c r="NI133" s="41"/>
      <c r="NJ133" s="41"/>
      <c r="NK133" s="41"/>
      <c r="NL133" s="41"/>
      <c r="NM133" s="41"/>
      <c r="NN133" s="41"/>
      <c r="NO133" s="41"/>
      <c r="NP133" s="41"/>
      <c r="NQ133" s="41"/>
      <c r="NR133" s="41"/>
      <c r="NS133" s="41"/>
      <c r="NT133" s="41"/>
      <c r="NU133" s="41"/>
      <c r="NV133" s="41"/>
      <c r="NW133" s="41"/>
      <c r="NX133" s="41"/>
      <c r="NY133" s="41"/>
      <c r="NZ133" s="41"/>
      <c r="OA133" s="41"/>
      <c r="OB133" s="41"/>
      <c r="OC133" s="41"/>
      <c r="OD133" s="41"/>
      <c r="OE133" s="41"/>
      <c r="OF133" s="41"/>
      <c r="OG133" s="41"/>
      <c r="OH133" s="41"/>
      <c r="OI133" s="41"/>
      <c r="OJ133" s="41"/>
      <c r="OK133" s="41"/>
      <c r="OL133" s="41"/>
      <c r="OM133" s="41"/>
      <c r="ON133" s="41"/>
      <c r="OO133" s="41"/>
      <c r="OP133" s="41"/>
      <c r="OQ133" s="41"/>
      <c r="OR133" s="41"/>
      <c r="OS133" s="41"/>
      <c r="OT133" s="41"/>
      <c r="OU133" s="41"/>
      <c r="OV133" s="41"/>
      <c r="OW133" s="41"/>
      <c r="OX133" s="41"/>
      <c r="OY133" s="41"/>
      <c r="OZ133" s="41"/>
      <c r="PA133" s="41"/>
      <c r="PB133" s="41"/>
      <c r="PC133" s="41"/>
      <c r="PD133" s="41"/>
      <c r="PE133" s="41"/>
      <c r="PF133" s="41"/>
      <c r="PG133" s="41"/>
      <c r="PH133" s="41"/>
      <c r="PI133" s="41"/>
      <c r="PJ133" s="41"/>
      <c r="PK133" s="41"/>
      <c r="PL133" s="41"/>
      <c r="PM133" s="41"/>
      <c r="PN133" s="41"/>
      <c r="PO133" s="41"/>
      <c r="PP133" s="41"/>
      <c r="PQ133" s="41"/>
      <c r="PR133" s="41"/>
      <c r="PS133" s="41"/>
      <c r="PT133" s="41"/>
      <c r="PU133" s="41"/>
      <c r="PV133" s="41"/>
      <c r="PW133" s="41"/>
      <c r="PX133" s="41"/>
      <c r="PY133" s="41"/>
      <c r="PZ133" s="41"/>
      <c r="QA133" s="41"/>
      <c r="QB133" s="41"/>
      <c r="QC133" s="41"/>
      <c r="QD133" s="41"/>
      <c r="QE133" s="41"/>
      <c r="QF133" s="41"/>
      <c r="QG133" s="41"/>
      <c r="QH133" s="41"/>
      <c r="QI133" s="41"/>
      <c r="QJ133" s="41"/>
      <c r="QK133" s="41"/>
      <c r="QL133" s="41"/>
      <c r="QM133" s="41"/>
      <c r="QN133" s="41"/>
      <c r="QO133" s="41"/>
      <c r="QP133" s="41"/>
      <c r="QQ133" s="41"/>
      <c r="QR133" s="41"/>
      <c r="QS133" s="41"/>
      <c r="QT133" s="41"/>
      <c r="QU133" s="41"/>
      <c r="QV133" s="41"/>
      <c r="QW133" s="41"/>
      <c r="QX133" s="41"/>
      <c r="QY133" s="41"/>
      <c r="QZ133" s="41"/>
      <c r="RA133" s="41"/>
      <c r="RB133" s="41"/>
      <c r="RC133" s="41"/>
      <c r="RD133" s="41"/>
      <c r="RE133" s="41"/>
      <c r="RF133" s="41"/>
      <c r="RG133" s="41"/>
      <c r="RH133" s="41"/>
      <c r="RI133" s="41"/>
      <c r="RJ133" s="41"/>
      <c r="RK133" s="41"/>
      <c r="RL133" s="41"/>
      <c r="RM133" s="41"/>
      <c r="RN133" s="41"/>
      <c r="RO133" s="41"/>
      <c r="RP133" s="41"/>
      <c r="RQ133" s="41"/>
      <c r="RR133" s="41"/>
      <c r="RS133" s="41"/>
      <c r="RT133" s="41"/>
      <c r="RU133" s="41"/>
      <c r="RV133" s="41"/>
      <c r="RW133" s="41"/>
      <c r="RX133" s="41"/>
      <c r="RY133" s="41"/>
      <c r="RZ133" s="41"/>
      <c r="SA133" s="41"/>
      <c r="SB133" s="41"/>
      <c r="SC133" s="41"/>
      <c r="SD133" s="41"/>
      <c r="SE133" s="41"/>
      <c r="SF133" s="41"/>
      <c r="SG133" s="41"/>
      <c r="SH133" s="41"/>
      <c r="SI133" s="41"/>
      <c r="SJ133" s="41"/>
      <c r="SK133" s="41"/>
      <c r="SL133" s="41"/>
      <c r="SM133" s="41"/>
      <c r="SN133" s="41"/>
      <c r="SO133" s="41"/>
      <c r="SP133" s="41"/>
      <c r="SQ133" s="41"/>
      <c r="SR133" s="41"/>
      <c r="SS133" s="41"/>
      <c r="ST133" s="41"/>
      <c r="SU133" s="41"/>
      <c r="SV133" s="41"/>
      <c r="SW133" s="41"/>
      <c r="SX133" s="41"/>
      <c r="SY133" s="41"/>
      <c r="SZ133" s="41"/>
      <c r="TA133" s="41"/>
      <c r="TB133" s="41"/>
      <c r="TC133" s="41"/>
      <c r="TD133" s="41"/>
      <c r="TE133" s="41"/>
      <c r="TF133" s="41"/>
      <c r="TG133" s="41"/>
      <c r="TH133" s="41"/>
      <c r="TI133" s="41"/>
      <c r="TJ133" s="41"/>
      <c r="TK133" s="41"/>
      <c r="TL133" s="41"/>
      <c r="TM133" s="41"/>
      <c r="TN133" s="41"/>
      <c r="TO133" s="41"/>
      <c r="TP133" s="41"/>
      <c r="TQ133" s="41"/>
      <c r="TR133" s="41"/>
      <c r="TS133" s="41"/>
      <c r="TT133" s="41"/>
      <c r="TU133" s="41"/>
      <c r="TV133" s="41"/>
      <c r="TW133" s="41"/>
      <c r="TX133" s="41"/>
      <c r="TY133" s="41"/>
      <c r="TZ133" s="41"/>
      <c r="UA133" s="41"/>
      <c r="UB133" s="41"/>
      <c r="UC133" s="41"/>
      <c r="UD133" s="41"/>
      <c r="UE133" s="41"/>
      <c r="UF133" s="41"/>
      <c r="UG133" s="41"/>
      <c r="UH133" s="41"/>
      <c r="UI133" s="41"/>
      <c r="UJ133" s="41"/>
      <c r="UK133" s="41"/>
      <c r="UL133" s="41"/>
      <c r="UM133" s="41"/>
      <c r="UN133" s="41"/>
      <c r="UO133" s="41"/>
      <c r="UP133" s="41"/>
      <c r="UQ133" s="41"/>
      <c r="UR133" s="41"/>
      <c r="US133" s="41"/>
      <c r="UT133" s="41"/>
      <c r="UU133" s="41"/>
      <c r="UV133" s="41"/>
      <c r="UW133" s="41"/>
      <c r="UX133" s="41"/>
      <c r="UY133" s="41"/>
      <c r="UZ133" s="41"/>
      <c r="VA133" s="41"/>
      <c r="VB133" s="41"/>
      <c r="VC133" s="41"/>
      <c r="VD133" s="41"/>
      <c r="VE133" s="41"/>
      <c r="VF133" s="41"/>
      <c r="VG133" s="41"/>
      <c r="VH133" s="41"/>
      <c r="VI133" s="41"/>
      <c r="VJ133" s="41"/>
      <c r="VK133" s="41"/>
      <c r="VL133" s="41"/>
      <c r="VM133" s="41"/>
      <c r="VN133" s="41"/>
      <c r="VO133" s="41"/>
      <c r="VP133" s="41"/>
      <c r="VQ133" s="41"/>
      <c r="VR133" s="41"/>
      <c r="VS133" s="41"/>
      <c r="VT133" s="41"/>
      <c r="VU133" s="41"/>
      <c r="VV133" s="41"/>
      <c r="VW133" s="41"/>
      <c r="VX133" s="41"/>
      <c r="VY133" s="41"/>
      <c r="VZ133" s="41"/>
      <c r="WA133" s="41"/>
      <c r="WB133" s="41"/>
      <c r="WC133" s="41"/>
      <c r="WD133" s="41"/>
      <c r="WE133" s="41"/>
      <c r="WF133" s="41"/>
      <c r="WG133" s="41"/>
      <c r="WH133" s="41"/>
      <c r="WI133" s="41"/>
      <c r="WJ133" s="41"/>
      <c r="WK133" s="41"/>
      <c r="WL133" s="41"/>
      <c r="WM133" s="41"/>
      <c r="WN133" s="41"/>
      <c r="WO133" s="41"/>
      <c r="WP133" s="41"/>
      <c r="WQ133" s="41"/>
      <c r="WR133" s="41"/>
      <c r="WS133" s="41"/>
      <c r="WT133" s="41"/>
      <c r="WU133" s="41"/>
      <c r="WV133" s="41"/>
      <c r="WW133" s="41"/>
      <c r="WX133" s="41"/>
      <c r="WY133" s="41"/>
      <c r="WZ133" s="41"/>
      <c r="XA133" s="41"/>
      <c r="XB133" s="41"/>
      <c r="XC133" s="41"/>
      <c r="XD133" s="41"/>
      <c r="XE133" s="41"/>
      <c r="XF133" s="41"/>
      <c r="XG133" s="41"/>
      <c r="XH133" s="41"/>
      <c r="XI133" s="41"/>
      <c r="XJ133" s="41"/>
      <c r="XK133" s="41"/>
      <c r="XL133" s="41"/>
      <c r="XM133" s="41"/>
      <c r="XN133" s="41"/>
      <c r="XO133" s="41"/>
      <c r="XP133" s="41"/>
      <c r="XQ133" s="41"/>
      <c r="XR133" s="41"/>
      <c r="XS133" s="41"/>
      <c r="XT133" s="41"/>
      <c r="XU133" s="41"/>
      <c r="XV133" s="41"/>
      <c r="XW133" s="41"/>
      <c r="XX133" s="41"/>
      <c r="XY133" s="41"/>
      <c r="XZ133" s="41"/>
      <c r="YA133" s="41"/>
      <c r="YB133" s="41"/>
      <c r="YC133" s="41"/>
      <c r="YD133" s="41"/>
      <c r="YE133" s="41"/>
      <c r="YF133" s="41"/>
      <c r="YG133" s="41"/>
      <c r="YH133" s="41"/>
      <c r="YI133" s="41"/>
      <c r="YJ133" s="41"/>
      <c r="YK133" s="41"/>
      <c r="YL133" s="41"/>
      <c r="YM133" s="41"/>
      <c r="YN133" s="41"/>
      <c r="YO133" s="41"/>
      <c r="YP133" s="41"/>
      <c r="YQ133" s="41"/>
      <c r="YR133" s="41"/>
      <c r="YS133" s="41"/>
      <c r="YT133" s="41"/>
      <c r="YU133" s="41"/>
      <c r="YV133" s="41"/>
      <c r="YW133" s="41"/>
      <c r="YX133" s="41"/>
      <c r="YY133" s="41"/>
      <c r="YZ133" s="41"/>
      <c r="ZA133" s="41"/>
      <c r="ZB133" s="41"/>
      <c r="ZC133" s="41"/>
      <c r="ZD133" s="41"/>
      <c r="ZE133" s="41"/>
      <c r="ZF133" s="41"/>
      <c r="ZG133" s="41"/>
      <c r="ZH133" s="41"/>
      <c r="ZI133" s="41"/>
      <c r="ZJ133" s="41"/>
      <c r="ZK133" s="41"/>
      <c r="ZL133" s="41"/>
      <c r="ZM133" s="41"/>
      <c r="ZN133" s="41"/>
      <c r="ZO133" s="41"/>
      <c r="ZP133" s="41"/>
      <c r="ZQ133" s="41"/>
      <c r="ZR133" s="41"/>
      <c r="ZS133" s="41"/>
      <c r="ZT133" s="41"/>
      <c r="ZU133" s="41"/>
      <c r="ZV133" s="41"/>
      <c r="ZW133" s="41"/>
      <c r="ZX133" s="41"/>
      <c r="ZY133" s="41"/>
      <c r="ZZ133" s="41"/>
      <c r="AAA133" s="41"/>
      <c r="AAB133" s="41"/>
      <c r="AAC133" s="41"/>
    </row>
    <row r="134" spans="1:705" s="42" customFormat="1" ht="44.1" hidden="1" customHeight="1" x14ac:dyDescent="0.3">
      <c r="A134" s="26">
        <v>130</v>
      </c>
      <c r="B134" s="137">
        <v>240276</v>
      </c>
      <c r="C134" s="138">
        <v>130</v>
      </c>
      <c r="D134" s="139">
        <v>45932</v>
      </c>
      <c r="E134" s="139">
        <f t="shared" si="18"/>
        <v>45931</v>
      </c>
      <c r="F134" s="139">
        <f t="shared" si="22"/>
        <v>45942</v>
      </c>
      <c r="G134" s="139">
        <v>46023</v>
      </c>
      <c r="H134" s="139">
        <v>45994</v>
      </c>
      <c r="I134" s="139" t="s">
        <v>349</v>
      </c>
      <c r="J134" s="140" t="s">
        <v>356</v>
      </c>
      <c r="K134" s="141">
        <f t="shared" si="19"/>
        <v>52</v>
      </c>
      <c r="L134" s="141">
        <v>1150079</v>
      </c>
      <c r="M134" s="140" t="s">
        <v>15</v>
      </c>
      <c r="N134" s="140">
        <v>805338</v>
      </c>
      <c r="O134" s="137" t="s">
        <v>246</v>
      </c>
      <c r="P134" s="143">
        <v>45964</v>
      </c>
      <c r="Q134" s="143">
        <v>46128</v>
      </c>
      <c r="R134" s="157" t="s">
        <v>211</v>
      </c>
      <c r="S134" s="144" t="s">
        <v>357</v>
      </c>
      <c r="T134" s="145">
        <v>1</v>
      </c>
      <c r="U134" s="137" t="s">
        <v>82</v>
      </c>
      <c r="V134" s="146">
        <v>67</v>
      </c>
      <c r="W134" s="146">
        <v>67</v>
      </c>
      <c r="X134" s="147">
        <v>0</v>
      </c>
      <c r="Y134" s="146"/>
      <c r="Z134" s="146">
        <v>0</v>
      </c>
      <c r="AA134" s="146">
        <v>0</v>
      </c>
      <c r="AB134" s="146">
        <v>10</v>
      </c>
      <c r="AC134" s="146">
        <v>10</v>
      </c>
      <c r="AD134" s="146">
        <v>0</v>
      </c>
      <c r="AE134" s="146">
        <v>0</v>
      </c>
      <c r="AF134" s="146">
        <v>0</v>
      </c>
      <c r="AG134" s="146">
        <v>0</v>
      </c>
      <c r="AH134" s="146">
        <v>2</v>
      </c>
      <c r="AI134" s="146">
        <v>2</v>
      </c>
      <c r="AJ134" s="146">
        <v>0</v>
      </c>
      <c r="AK134" s="146"/>
      <c r="AL134" s="146">
        <v>0</v>
      </c>
      <c r="AM134" s="146"/>
      <c r="AN134" s="146">
        <v>3</v>
      </c>
      <c r="AO134" s="146">
        <v>3</v>
      </c>
      <c r="AP134" s="146">
        <v>3</v>
      </c>
      <c r="AQ134" s="146">
        <v>3</v>
      </c>
      <c r="AR134" s="146">
        <v>0</v>
      </c>
      <c r="AS134" s="146">
        <v>0</v>
      </c>
      <c r="AT134" s="146">
        <v>0</v>
      </c>
      <c r="AU134" s="146">
        <v>0</v>
      </c>
      <c r="AV134" s="146">
        <v>0</v>
      </c>
      <c r="AW134" s="146">
        <v>0</v>
      </c>
      <c r="AX134" s="146">
        <f t="shared" si="21"/>
        <v>7000</v>
      </c>
      <c r="AY134" s="146">
        <f t="shared" si="20"/>
        <v>7000</v>
      </c>
      <c r="AZ134" s="140" t="s">
        <v>562</v>
      </c>
      <c r="BA134" s="140" t="s">
        <v>562</v>
      </c>
      <c r="BB134" s="137">
        <v>5</v>
      </c>
      <c r="BC134" s="148">
        <v>130</v>
      </c>
      <c r="BD134" s="149"/>
      <c r="BE134" s="145"/>
      <c r="BF134" s="150"/>
      <c r="BG134" s="151">
        <v>45992</v>
      </c>
      <c r="BH134" s="153" t="s">
        <v>15</v>
      </c>
      <c r="BI134" s="153" t="s">
        <v>562</v>
      </c>
      <c r="CC134" s="41"/>
      <c r="CD134" s="41"/>
      <c r="CE134" s="41"/>
      <c r="CF134" s="41"/>
      <c r="CG134" s="41"/>
      <c r="CH134" s="41"/>
      <c r="CI134" s="41"/>
      <c r="CJ134" s="41"/>
      <c r="CK134" s="41"/>
      <c r="CL134" s="41"/>
      <c r="CM134" s="41"/>
      <c r="CN134" s="41"/>
      <c r="CO134" s="41"/>
      <c r="CP134" s="41"/>
      <c r="CQ134" s="41"/>
      <c r="CR134" s="41"/>
      <c r="CS134" s="41"/>
      <c r="CT134" s="41"/>
      <c r="CU134" s="41"/>
      <c r="CV134" s="41"/>
      <c r="CW134" s="41"/>
      <c r="CX134" s="41"/>
      <c r="CY134" s="41"/>
      <c r="CZ134" s="41"/>
      <c r="DA134" s="41"/>
      <c r="DB134" s="41"/>
      <c r="DC134" s="41"/>
      <c r="DD134" s="41"/>
      <c r="DE134" s="41"/>
      <c r="DF134" s="41"/>
      <c r="DG134" s="41"/>
      <c r="DH134" s="41"/>
      <c r="DI134" s="41"/>
      <c r="DJ134" s="41"/>
      <c r="DK134" s="41"/>
      <c r="DL134" s="41"/>
      <c r="DM134" s="41"/>
      <c r="DN134" s="41"/>
      <c r="DO134" s="41"/>
      <c r="DP134" s="41"/>
      <c r="DQ134" s="41"/>
      <c r="DR134" s="41"/>
      <c r="DS134" s="41"/>
      <c r="DT134" s="41"/>
      <c r="DU134" s="41"/>
      <c r="DV134" s="41"/>
      <c r="DW134" s="41"/>
      <c r="DX134" s="41"/>
      <c r="DY134" s="41"/>
      <c r="DZ134" s="41"/>
      <c r="EA134" s="41"/>
      <c r="EB134" s="41"/>
      <c r="EC134" s="41"/>
      <c r="ED134" s="41"/>
      <c r="EE134" s="41"/>
      <c r="EF134" s="41"/>
      <c r="EG134" s="41"/>
      <c r="EH134" s="41"/>
      <c r="EI134" s="41"/>
      <c r="EJ134" s="41"/>
      <c r="EK134" s="41"/>
      <c r="EL134" s="41"/>
      <c r="EM134" s="41"/>
      <c r="EN134" s="41"/>
      <c r="EO134" s="41"/>
      <c r="EP134" s="41"/>
      <c r="EQ134" s="41"/>
      <c r="ER134" s="41"/>
      <c r="ES134" s="41"/>
      <c r="ET134" s="41"/>
      <c r="EU134" s="41"/>
      <c r="EV134" s="41"/>
      <c r="EW134" s="41"/>
      <c r="EX134" s="41"/>
      <c r="EY134" s="41"/>
      <c r="EZ134" s="41"/>
      <c r="FA134" s="41"/>
      <c r="FB134" s="41"/>
      <c r="FC134" s="41"/>
      <c r="FD134" s="41"/>
      <c r="FE134" s="41"/>
      <c r="FF134" s="41"/>
      <c r="FG134" s="41"/>
      <c r="FH134" s="41"/>
      <c r="FI134" s="41"/>
      <c r="FJ134" s="41"/>
      <c r="FK134" s="41"/>
      <c r="FL134" s="41"/>
      <c r="FM134" s="41"/>
      <c r="FN134" s="41"/>
      <c r="FO134" s="41"/>
      <c r="FP134" s="41"/>
      <c r="FQ134" s="41"/>
      <c r="FR134" s="41"/>
      <c r="FS134" s="41"/>
      <c r="FT134" s="41"/>
      <c r="FU134" s="41"/>
      <c r="FV134" s="41"/>
      <c r="FW134" s="41"/>
      <c r="FX134" s="41"/>
      <c r="FY134" s="41"/>
      <c r="FZ134" s="41"/>
      <c r="GA134" s="41"/>
      <c r="GB134" s="41"/>
      <c r="GC134" s="41"/>
      <c r="GD134" s="41"/>
      <c r="GE134" s="41"/>
      <c r="GF134" s="41"/>
      <c r="GG134" s="41"/>
      <c r="GH134" s="41"/>
      <c r="GI134" s="41"/>
      <c r="GJ134" s="41"/>
      <c r="GK134" s="41"/>
      <c r="GL134" s="41"/>
      <c r="GM134" s="41"/>
      <c r="GN134" s="41"/>
      <c r="GO134" s="41"/>
      <c r="GP134" s="41"/>
      <c r="GQ134" s="41"/>
      <c r="GR134" s="41"/>
      <c r="GS134" s="41"/>
      <c r="GT134" s="41"/>
      <c r="GU134" s="41"/>
      <c r="GV134" s="41"/>
      <c r="GW134" s="41"/>
      <c r="GX134" s="41"/>
      <c r="GY134" s="41"/>
      <c r="GZ134" s="41"/>
      <c r="HA134" s="41"/>
      <c r="HB134" s="41"/>
      <c r="HC134" s="41"/>
      <c r="HD134" s="41"/>
      <c r="HE134" s="41"/>
      <c r="HF134" s="41"/>
      <c r="HG134" s="41"/>
      <c r="HH134" s="41"/>
      <c r="HI134" s="41"/>
      <c r="HJ134" s="41"/>
      <c r="HK134" s="41"/>
      <c r="HL134" s="41"/>
      <c r="HM134" s="41"/>
      <c r="HN134" s="41"/>
      <c r="HO134" s="41"/>
      <c r="HP134" s="41"/>
      <c r="HQ134" s="41"/>
      <c r="HR134" s="41"/>
      <c r="HS134" s="41"/>
      <c r="HT134" s="41"/>
      <c r="HU134" s="41"/>
      <c r="HV134" s="41"/>
      <c r="HW134" s="41"/>
      <c r="HX134" s="41"/>
      <c r="HY134" s="41"/>
      <c r="HZ134" s="41"/>
      <c r="IA134" s="41"/>
      <c r="IB134" s="41"/>
      <c r="IC134" s="41"/>
      <c r="ID134" s="41"/>
      <c r="IE134" s="41"/>
      <c r="IF134" s="41"/>
      <c r="IG134" s="41"/>
      <c r="IH134" s="41"/>
      <c r="II134" s="41"/>
      <c r="IJ134" s="41"/>
      <c r="IK134" s="41"/>
      <c r="IL134" s="41"/>
      <c r="IM134" s="41"/>
      <c r="IN134" s="41"/>
      <c r="IO134" s="41"/>
      <c r="IP134" s="41"/>
      <c r="IQ134" s="41"/>
      <c r="IR134" s="41"/>
      <c r="IS134" s="41"/>
      <c r="IT134" s="41"/>
      <c r="IU134" s="41"/>
      <c r="IV134" s="41"/>
      <c r="IW134" s="41"/>
      <c r="IX134" s="41"/>
      <c r="IY134" s="41"/>
      <c r="IZ134" s="41"/>
      <c r="JA134" s="41"/>
      <c r="JB134" s="41"/>
      <c r="JC134" s="41"/>
      <c r="JD134" s="41"/>
      <c r="JE134" s="41"/>
      <c r="JF134" s="41"/>
      <c r="JG134" s="41"/>
      <c r="JH134" s="41"/>
      <c r="JI134" s="41"/>
      <c r="JJ134" s="41"/>
      <c r="JK134" s="41"/>
      <c r="JL134" s="41"/>
      <c r="JM134" s="41"/>
      <c r="JN134" s="41"/>
      <c r="JO134" s="41"/>
      <c r="JP134" s="41"/>
      <c r="JQ134" s="41"/>
      <c r="JR134" s="41"/>
      <c r="JS134" s="41"/>
      <c r="JT134" s="41"/>
      <c r="JU134" s="41"/>
      <c r="JV134" s="41"/>
      <c r="JW134" s="41"/>
      <c r="JX134" s="41"/>
      <c r="JY134" s="41"/>
      <c r="JZ134" s="41"/>
      <c r="KA134" s="41"/>
      <c r="KB134" s="41"/>
      <c r="KC134" s="41"/>
      <c r="KD134" s="41"/>
      <c r="KE134" s="41"/>
      <c r="KF134" s="41"/>
      <c r="KG134" s="41"/>
      <c r="KH134" s="41"/>
      <c r="KI134" s="41"/>
      <c r="KJ134" s="41"/>
      <c r="KK134" s="41"/>
      <c r="KL134" s="41"/>
      <c r="KM134" s="41"/>
      <c r="KN134" s="41"/>
      <c r="KO134" s="41"/>
      <c r="KP134" s="41"/>
      <c r="KQ134" s="41"/>
      <c r="KR134" s="41"/>
      <c r="KS134" s="41"/>
      <c r="KT134" s="41"/>
      <c r="KU134" s="41"/>
      <c r="KV134" s="41"/>
      <c r="KW134" s="41"/>
      <c r="KX134" s="41"/>
      <c r="KY134" s="41"/>
      <c r="KZ134" s="41"/>
      <c r="LA134" s="41"/>
      <c r="LB134" s="41"/>
      <c r="LC134" s="41"/>
      <c r="LD134" s="41"/>
      <c r="LE134" s="41"/>
      <c r="LF134" s="41"/>
      <c r="LG134" s="41"/>
      <c r="LH134" s="41"/>
      <c r="LI134" s="41"/>
      <c r="LJ134" s="41"/>
      <c r="LK134" s="41"/>
      <c r="LL134" s="41"/>
      <c r="LM134" s="41"/>
      <c r="LN134" s="41"/>
      <c r="LO134" s="41"/>
      <c r="LP134" s="41"/>
      <c r="LQ134" s="41"/>
      <c r="LR134" s="41"/>
      <c r="LS134" s="41"/>
      <c r="LT134" s="41"/>
      <c r="LU134" s="41"/>
      <c r="LV134" s="41"/>
      <c r="LW134" s="41"/>
      <c r="LX134" s="41"/>
      <c r="LY134" s="41"/>
      <c r="LZ134" s="41"/>
      <c r="MA134" s="41"/>
      <c r="MB134" s="41"/>
      <c r="MC134" s="41"/>
      <c r="MD134" s="41"/>
      <c r="ME134" s="41"/>
      <c r="MF134" s="41"/>
      <c r="MG134" s="41"/>
      <c r="MH134" s="41"/>
      <c r="MI134" s="41"/>
      <c r="MJ134" s="41"/>
      <c r="MK134" s="41"/>
      <c r="ML134" s="41"/>
      <c r="MM134" s="41"/>
      <c r="MN134" s="41"/>
      <c r="MO134" s="41"/>
      <c r="MP134" s="41"/>
      <c r="MQ134" s="41"/>
      <c r="MR134" s="41"/>
      <c r="MS134" s="41"/>
      <c r="MT134" s="41"/>
      <c r="MU134" s="41"/>
      <c r="MV134" s="41"/>
      <c r="MW134" s="41"/>
      <c r="MX134" s="41"/>
      <c r="MY134" s="41"/>
      <c r="MZ134" s="41"/>
      <c r="NA134" s="41"/>
      <c r="NB134" s="41"/>
      <c r="NC134" s="41"/>
      <c r="ND134" s="41"/>
      <c r="NE134" s="41"/>
      <c r="NF134" s="41"/>
      <c r="NG134" s="41"/>
      <c r="NH134" s="41"/>
      <c r="NI134" s="41"/>
      <c r="NJ134" s="41"/>
      <c r="NK134" s="41"/>
      <c r="NL134" s="41"/>
      <c r="NM134" s="41"/>
      <c r="NN134" s="41"/>
      <c r="NO134" s="41"/>
      <c r="NP134" s="41"/>
      <c r="NQ134" s="41"/>
      <c r="NR134" s="41"/>
      <c r="NS134" s="41"/>
      <c r="NT134" s="41"/>
      <c r="NU134" s="41"/>
      <c r="NV134" s="41"/>
      <c r="NW134" s="41"/>
      <c r="NX134" s="41"/>
      <c r="NY134" s="41"/>
      <c r="NZ134" s="41"/>
      <c r="OA134" s="41"/>
      <c r="OB134" s="41"/>
      <c r="OC134" s="41"/>
      <c r="OD134" s="41"/>
      <c r="OE134" s="41"/>
      <c r="OF134" s="41"/>
      <c r="OG134" s="41"/>
      <c r="OH134" s="41"/>
      <c r="OI134" s="41"/>
      <c r="OJ134" s="41"/>
      <c r="OK134" s="41"/>
      <c r="OL134" s="41"/>
      <c r="OM134" s="41"/>
      <c r="ON134" s="41"/>
      <c r="OO134" s="41"/>
      <c r="OP134" s="41"/>
      <c r="OQ134" s="41"/>
      <c r="OR134" s="41"/>
      <c r="OS134" s="41"/>
      <c r="OT134" s="41"/>
      <c r="OU134" s="41"/>
      <c r="OV134" s="41"/>
      <c r="OW134" s="41"/>
      <c r="OX134" s="41"/>
      <c r="OY134" s="41"/>
      <c r="OZ134" s="41"/>
      <c r="PA134" s="41"/>
      <c r="PB134" s="41"/>
      <c r="PC134" s="41"/>
      <c r="PD134" s="41"/>
      <c r="PE134" s="41"/>
      <c r="PF134" s="41"/>
      <c r="PG134" s="41"/>
      <c r="PH134" s="41"/>
      <c r="PI134" s="41"/>
      <c r="PJ134" s="41"/>
      <c r="PK134" s="41"/>
      <c r="PL134" s="41"/>
      <c r="PM134" s="41"/>
      <c r="PN134" s="41"/>
      <c r="PO134" s="41"/>
      <c r="PP134" s="41"/>
      <c r="PQ134" s="41"/>
      <c r="PR134" s="41"/>
      <c r="PS134" s="41"/>
      <c r="PT134" s="41"/>
      <c r="PU134" s="41"/>
      <c r="PV134" s="41"/>
      <c r="PW134" s="41"/>
      <c r="PX134" s="41"/>
      <c r="PY134" s="41"/>
      <c r="PZ134" s="41"/>
      <c r="QA134" s="41"/>
      <c r="QB134" s="41"/>
      <c r="QC134" s="41"/>
      <c r="QD134" s="41"/>
      <c r="QE134" s="41"/>
      <c r="QF134" s="41"/>
      <c r="QG134" s="41"/>
      <c r="QH134" s="41"/>
      <c r="QI134" s="41"/>
      <c r="QJ134" s="41"/>
      <c r="QK134" s="41"/>
      <c r="QL134" s="41"/>
      <c r="QM134" s="41"/>
      <c r="QN134" s="41"/>
      <c r="QO134" s="41"/>
      <c r="QP134" s="41"/>
      <c r="QQ134" s="41"/>
      <c r="QR134" s="41"/>
      <c r="QS134" s="41"/>
      <c r="QT134" s="41"/>
      <c r="QU134" s="41"/>
      <c r="QV134" s="41"/>
      <c r="QW134" s="41"/>
      <c r="QX134" s="41"/>
      <c r="QY134" s="41"/>
      <c r="QZ134" s="41"/>
      <c r="RA134" s="41"/>
      <c r="RB134" s="41"/>
      <c r="RC134" s="41"/>
      <c r="RD134" s="41"/>
      <c r="RE134" s="41"/>
      <c r="RF134" s="41"/>
      <c r="RG134" s="41"/>
      <c r="RH134" s="41"/>
      <c r="RI134" s="41"/>
      <c r="RJ134" s="41"/>
      <c r="RK134" s="41"/>
      <c r="RL134" s="41"/>
      <c r="RM134" s="41"/>
      <c r="RN134" s="41"/>
      <c r="RO134" s="41"/>
      <c r="RP134" s="41"/>
      <c r="RQ134" s="41"/>
      <c r="RR134" s="41"/>
      <c r="RS134" s="41"/>
      <c r="RT134" s="41"/>
      <c r="RU134" s="41"/>
      <c r="RV134" s="41"/>
      <c r="RW134" s="41"/>
      <c r="RX134" s="41"/>
      <c r="RY134" s="41"/>
      <c r="RZ134" s="41"/>
      <c r="SA134" s="41"/>
      <c r="SB134" s="41"/>
      <c r="SC134" s="41"/>
      <c r="SD134" s="41"/>
      <c r="SE134" s="41"/>
      <c r="SF134" s="41"/>
      <c r="SG134" s="41"/>
      <c r="SH134" s="41"/>
      <c r="SI134" s="41"/>
      <c r="SJ134" s="41"/>
      <c r="SK134" s="41"/>
      <c r="SL134" s="41"/>
      <c r="SM134" s="41"/>
      <c r="SN134" s="41"/>
      <c r="SO134" s="41"/>
      <c r="SP134" s="41"/>
      <c r="SQ134" s="41"/>
      <c r="SR134" s="41"/>
      <c r="SS134" s="41"/>
      <c r="ST134" s="41"/>
      <c r="SU134" s="41"/>
      <c r="SV134" s="41"/>
      <c r="SW134" s="41"/>
      <c r="SX134" s="41"/>
      <c r="SY134" s="41"/>
      <c r="SZ134" s="41"/>
      <c r="TA134" s="41"/>
      <c r="TB134" s="41"/>
      <c r="TC134" s="41"/>
      <c r="TD134" s="41"/>
      <c r="TE134" s="41"/>
      <c r="TF134" s="41"/>
      <c r="TG134" s="41"/>
      <c r="TH134" s="41"/>
      <c r="TI134" s="41"/>
      <c r="TJ134" s="41"/>
      <c r="TK134" s="41"/>
      <c r="TL134" s="41"/>
      <c r="TM134" s="41"/>
      <c r="TN134" s="41"/>
      <c r="TO134" s="41"/>
      <c r="TP134" s="41"/>
      <c r="TQ134" s="41"/>
      <c r="TR134" s="41"/>
      <c r="TS134" s="41"/>
      <c r="TT134" s="41"/>
      <c r="TU134" s="41"/>
      <c r="TV134" s="41"/>
      <c r="TW134" s="41"/>
      <c r="TX134" s="41"/>
      <c r="TY134" s="41"/>
      <c r="TZ134" s="41"/>
      <c r="UA134" s="41"/>
      <c r="UB134" s="41"/>
      <c r="UC134" s="41"/>
      <c r="UD134" s="41"/>
      <c r="UE134" s="41"/>
      <c r="UF134" s="41"/>
      <c r="UG134" s="41"/>
      <c r="UH134" s="41"/>
      <c r="UI134" s="41"/>
      <c r="UJ134" s="41"/>
      <c r="UK134" s="41"/>
      <c r="UL134" s="41"/>
      <c r="UM134" s="41"/>
      <c r="UN134" s="41"/>
      <c r="UO134" s="41"/>
      <c r="UP134" s="41"/>
      <c r="UQ134" s="41"/>
      <c r="UR134" s="41"/>
      <c r="US134" s="41"/>
      <c r="UT134" s="41"/>
      <c r="UU134" s="41"/>
      <c r="UV134" s="41"/>
      <c r="UW134" s="41"/>
      <c r="UX134" s="41"/>
      <c r="UY134" s="41"/>
      <c r="UZ134" s="41"/>
      <c r="VA134" s="41"/>
      <c r="VB134" s="41"/>
      <c r="VC134" s="41"/>
      <c r="VD134" s="41"/>
      <c r="VE134" s="41"/>
      <c r="VF134" s="41"/>
      <c r="VG134" s="41"/>
      <c r="VH134" s="41"/>
      <c r="VI134" s="41"/>
      <c r="VJ134" s="41"/>
      <c r="VK134" s="41"/>
      <c r="VL134" s="41"/>
      <c r="VM134" s="41"/>
      <c r="VN134" s="41"/>
      <c r="VO134" s="41"/>
      <c r="VP134" s="41"/>
      <c r="VQ134" s="41"/>
      <c r="VR134" s="41"/>
      <c r="VS134" s="41"/>
      <c r="VT134" s="41"/>
      <c r="VU134" s="41"/>
      <c r="VV134" s="41"/>
      <c r="VW134" s="41"/>
      <c r="VX134" s="41"/>
      <c r="VY134" s="41"/>
      <c r="VZ134" s="41"/>
      <c r="WA134" s="41"/>
      <c r="WB134" s="41"/>
      <c r="WC134" s="41"/>
      <c r="WD134" s="41"/>
      <c r="WE134" s="41"/>
      <c r="WF134" s="41"/>
      <c r="WG134" s="41"/>
      <c r="WH134" s="41"/>
      <c r="WI134" s="41"/>
      <c r="WJ134" s="41"/>
      <c r="WK134" s="41"/>
      <c r="WL134" s="41"/>
      <c r="WM134" s="41"/>
      <c r="WN134" s="41"/>
      <c r="WO134" s="41"/>
      <c r="WP134" s="41"/>
      <c r="WQ134" s="41"/>
      <c r="WR134" s="41"/>
      <c r="WS134" s="41"/>
      <c r="WT134" s="41"/>
      <c r="WU134" s="41"/>
      <c r="WV134" s="41"/>
      <c r="WW134" s="41"/>
      <c r="WX134" s="41"/>
      <c r="WY134" s="41"/>
      <c r="WZ134" s="41"/>
      <c r="XA134" s="41"/>
      <c r="XB134" s="41"/>
      <c r="XC134" s="41"/>
      <c r="XD134" s="41"/>
      <c r="XE134" s="41"/>
      <c r="XF134" s="41"/>
      <c r="XG134" s="41"/>
      <c r="XH134" s="41"/>
      <c r="XI134" s="41"/>
      <c r="XJ134" s="41"/>
      <c r="XK134" s="41"/>
      <c r="XL134" s="41"/>
      <c r="XM134" s="41"/>
      <c r="XN134" s="41"/>
      <c r="XO134" s="41"/>
      <c r="XP134" s="41"/>
      <c r="XQ134" s="41"/>
      <c r="XR134" s="41"/>
      <c r="XS134" s="41"/>
      <c r="XT134" s="41"/>
      <c r="XU134" s="41"/>
      <c r="XV134" s="41"/>
      <c r="XW134" s="41"/>
      <c r="XX134" s="41"/>
      <c r="XY134" s="41"/>
      <c r="XZ134" s="41"/>
      <c r="YA134" s="41"/>
      <c r="YB134" s="41"/>
      <c r="YC134" s="41"/>
      <c r="YD134" s="41"/>
      <c r="YE134" s="41"/>
      <c r="YF134" s="41"/>
      <c r="YG134" s="41"/>
      <c r="YH134" s="41"/>
      <c r="YI134" s="41"/>
      <c r="YJ134" s="41"/>
      <c r="YK134" s="41"/>
      <c r="YL134" s="41"/>
      <c r="YM134" s="41"/>
      <c r="YN134" s="41"/>
      <c r="YO134" s="41"/>
      <c r="YP134" s="41"/>
      <c r="YQ134" s="41"/>
      <c r="YR134" s="41"/>
      <c r="YS134" s="41"/>
      <c r="YT134" s="41"/>
      <c r="YU134" s="41"/>
      <c r="YV134" s="41"/>
      <c r="YW134" s="41"/>
      <c r="YX134" s="41"/>
      <c r="YY134" s="41"/>
      <c r="YZ134" s="41"/>
      <c r="ZA134" s="41"/>
      <c r="ZB134" s="41"/>
      <c r="ZC134" s="41"/>
      <c r="ZD134" s="41"/>
      <c r="ZE134" s="41"/>
      <c r="ZF134" s="41"/>
      <c r="ZG134" s="41"/>
      <c r="ZH134" s="41"/>
      <c r="ZI134" s="41"/>
      <c r="ZJ134" s="41"/>
      <c r="ZK134" s="41"/>
      <c r="ZL134" s="41"/>
      <c r="ZM134" s="41"/>
      <c r="ZN134" s="41"/>
      <c r="ZO134" s="41"/>
      <c r="ZP134" s="41"/>
      <c r="ZQ134" s="41"/>
      <c r="ZR134" s="41"/>
      <c r="ZS134" s="41"/>
      <c r="ZT134" s="41"/>
      <c r="ZU134" s="41"/>
      <c r="ZV134" s="41"/>
      <c r="ZW134" s="41"/>
      <c r="ZX134" s="41"/>
      <c r="ZY134" s="41"/>
      <c r="ZZ134" s="41"/>
      <c r="AAA134" s="41"/>
      <c r="AAB134" s="41"/>
      <c r="AAC134" s="41"/>
    </row>
    <row r="135" spans="1:705" s="42" customFormat="1" ht="44.1" hidden="1" customHeight="1" x14ac:dyDescent="0.3">
      <c r="A135" s="26">
        <v>131</v>
      </c>
      <c r="B135" s="137">
        <v>240285</v>
      </c>
      <c r="C135" s="138">
        <v>131</v>
      </c>
      <c r="D135" s="139">
        <v>45932</v>
      </c>
      <c r="E135" s="139">
        <f t="shared" si="18"/>
        <v>45931</v>
      </c>
      <c r="F135" s="139">
        <f t="shared" si="22"/>
        <v>45942</v>
      </c>
      <c r="G135" s="139">
        <v>46023</v>
      </c>
      <c r="H135" s="139">
        <v>45949</v>
      </c>
      <c r="I135" s="139" t="s">
        <v>349</v>
      </c>
      <c r="J135" s="140" t="s">
        <v>358</v>
      </c>
      <c r="K135" s="141">
        <f t="shared" si="19"/>
        <v>7</v>
      </c>
      <c r="L135" s="141">
        <v>1150227</v>
      </c>
      <c r="M135" s="140" t="s">
        <v>15</v>
      </c>
      <c r="N135" s="140">
        <v>805377</v>
      </c>
      <c r="O135" s="137" t="s">
        <v>246</v>
      </c>
      <c r="P135" s="143">
        <v>45941</v>
      </c>
      <c r="Q135" s="143">
        <v>45956</v>
      </c>
      <c r="R135" s="157" t="s">
        <v>211</v>
      </c>
      <c r="S135" s="144" t="s">
        <v>359</v>
      </c>
      <c r="T135" s="145">
        <v>1</v>
      </c>
      <c r="U135" s="137" t="s">
        <v>81</v>
      </c>
      <c r="V135" s="146">
        <v>31</v>
      </c>
      <c r="W135" s="146">
        <v>31</v>
      </c>
      <c r="X135" s="147">
        <v>0</v>
      </c>
      <c r="Y135" s="146"/>
      <c r="Z135" s="146">
        <v>0</v>
      </c>
      <c r="AA135" s="146">
        <v>0</v>
      </c>
      <c r="AB135" s="146">
        <v>15</v>
      </c>
      <c r="AC135" s="146">
        <v>15</v>
      </c>
      <c r="AD135" s="146">
        <v>0</v>
      </c>
      <c r="AE135" s="146">
        <v>0</v>
      </c>
      <c r="AF135" s="146">
        <v>0</v>
      </c>
      <c r="AG135" s="146">
        <v>0</v>
      </c>
      <c r="AH135" s="146">
        <v>0</v>
      </c>
      <c r="AI135" s="146">
        <v>0</v>
      </c>
      <c r="AJ135" s="146">
        <v>0</v>
      </c>
      <c r="AK135" s="146"/>
      <c r="AL135" s="146">
        <v>1</v>
      </c>
      <c r="AM135" s="146">
        <v>1</v>
      </c>
      <c r="AN135" s="146">
        <v>3</v>
      </c>
      <c r="AO135" s="146">
        <v>3</v>
      </c>
      <c r="AP135" s="146">
        <v>3</v>
      </c>
      <c r="AQ135" s="146">
        <v>3</v>
      </c>
      <c r="AR135" s="146">
        <v>0</v>
      </c>
      <c r="AS135" s="146">
        <v>0</v>
      </c>
      <c r="AT135" s="146">
        <v>0</v>
      </c>
      <c r="AU135" s="146">
        <v>0</v>
      </c>
      <c r="AV135" s="146">
        <v>0</v>
      </c>
      <c r="AW135" s="146">
        <v>0</v>
      </c>
      <c r="AX135" s="146">
        <f t="shared" si="21"/>
        <v>5375</v>
      </c>
      <c r="AY135" s="146">
        <f t="shared" si="20"/>
        <v>5375</v>
      </c>
      <c r="AZ135" s="140" t="s">
        <v>562</v>
      </c>
      <c r="BA135" s="140" t="s">
        <v>562</v>
      </c>
      <c r="BB135" s="137">
        <v>3</v>
      </c>
      <c r="BC135" s="148">
        <v>131</v>
      </c>
      <c r="BD135" s="149"/>
      <c r="BE135" s="145"/>
      <c r="BF135" s="150"/>
      <c r="BG135" s="151">
        <v>45931</v>
      </c>
      <c r="BH135" s="153" t="s">
        <v>535</v>
      </c>
      <c r="BI135" s="153" t="s">
        <v>562</v>
      </c>
      <c r="CC135" s="41"/>
      <c r="CD135" s="41"/>
      <c r="CE135" s="41"/>
      <c r="CF135" s="41"/>
      <c r="CG135" s="41"/>
      <c r="CH135" s="41"/>
      <c r="CI135" s="41"/>
      <c r="CJ135" s="41"/>
      <c r="CK135" s="41"/>
      <c r="CL135" s="41"/>
      <c r="CM135" s="41"/>
      <c r="CN135" s="41"/>
      <c r="CO135" s="41"/>
      <c r="CP135" s="41"/>
      <c r="CQ135" s="41"/>
      <c r="CR135" s="41"/>
      <c r="CS135" s="41"/>
      <c r="CT135" s="41"/>
      <c r="CU135" s="41"/>
      <c r="CV135" s="41"/>
      <c r="CW135" s="41"/>
      <c r="CX135" s="41"/>
      <c r="CY135" s="41"/>
      <c r="CZ135" s="41"/>
      <c r="DA135" s="41"/>
      <c r="DB135" s="41"/>
      <c r="DC135" s="41"/>
      <c r="DD135" s="41"/>
      <c r="DE135" s="41"/>
      <c r="DF135" s="41"/>
      <c r="DG135" s="41"/>
      <c r="DH135" s="41"/>
      <c r="DI135" s="41"/>
      <c r="DJ135" s="41"/>
      <c r="DK135" s="41"/>
      <c r="DL135" s="41"/>
      <c r="DM135" s="41"/>
      <c r="DN135" s="41"/>
      <c r="DO135" s="41"/>
      <c r="DP135" s="41"/>
      <c r="DQ135" s="41"/>
      <c r="DR135" s="41"/>
      <c r="DS135" s="41"/>
      <c r="DT135" s="41"/>
      <c r="DU135" s="41"/>
      <c r="DV135" s="41"/>
      <c r="DW135" s="41"/>
      <c r="DX135" s="41"/>
      <c r="DY135" s="41"/>
      <c r="DZ135" s="41"/>
      <c r="EA135" s="41"/>
      <c r="EB135" s="41"/>
      <c r="EC135" s="41"/>
      <c r="ED135" s="41"/>
      <c r="EE135" s="41"/>
      <c r="EF135" s="41"/>
      <c r="EG135" s="41"/>
      <c r="EH135" s="41"/>
      <c r="EI135" s="41"/>
      <c r="EJ135" s="41"/>
      <c r="EK135" s="41"/>
      <c r="EL135" s="41"/>
      <c r="EM135" s="41"/>
      <c r="EN135" s="41"/>
      <c r="EO135" s="41"/>
      <c r="EP135" s="41"/>
      <c r="EQ135" s="41"/>
      <c r="ER135" s="41"/>
      <c r="ES135" s="41"/>
      <c r="ET135" s="41"/>
      <c r="EU135" s="41"/>
      <c r="EV135" s="41"/>
      <c r="EW135" s="41"/>
      <c r="EX135" s="41"/>
      <c r="EY135" s="41"/>
      <c r="EZ135" s="41"/>
      <c r="FA135" s="41"/>
      <c r="FB135" s="41"/>
      <c r="FC135" s="41"/>
      <c r="FD135" s="41"/>
      <c r="FE135" s="41"/>
      <c r="FF135" s="41"/>
      <c r="FG135" s="41"/>
      <c r="FH135" s="41"/>
      <c r="FI135" s="41"/>
      <c r="FJ135" s="41"/>
      <c r="FK135" s="41"/>
      <c r="FL135" s="41"/>
      <c r="FM135" s="41"/>
      <c r="FN135" s="41"/>
      <c r="FO135" s="41"/>
      <c r="FP135" s="41"/>
      <c r="FQ135" s="41"/>
      <c r="FR135" s="41"/>
      <c r="FS135" s="41"/>
      <c r="FT135" s="41"/>
      <c r="FU135" s="41"/>
      <c r="FV135" s="41"/>
      <c r="FW135" s="41"/>
      <c r="FX135" s="41"/>
      <c r="FY135" s="41"/>
      <c r="FZ135" s="41"/>
      <c r="GA135" s="41"/>
      <c r="GB135" s="41"/>
      <c r="GC135" s="41"/>
      <c r="GD135" s="41"/>
      <c r="GE135" s="41"/>
      <c r="GF135" s="41"/>
      <c r="GG135" s="41"/>
      <c r="GH135" s="41"/>
      <c r="GI135" s="41"/>
      <c r="GJ135" s="41"/>
      <c r="GK135" s="41"/>
      <c r="GL135" s="41"/>
      <c r="GM135" s="41"/>
      <c r="GN135" s="41"/>
      <c r="GO135" s="41"/>
      <c r="GP135" s="41"/>
      <c r="GQ135" s="41"/>
      <c r="GR135" s="41"/>
      <c r="GS135" s="41"/>
      <c r="GT135" s="41"/>
      <c r="GU135" s="41"/>
      <c r="GV135" s="41"/>
      <c r="GW135" s="41"/>
      <c r="GX135" s="41"/>
      <c r="GY135" s="41"/>
      <c r="GZ135" s="41"/>
      <c r="HA135" s="41"/>
      <c r="HB135" s="41"/>
      <c r="HC135" s="41"/>
      <c r="HD135" s="41"/>
      <c r="HE135" s="41"/>
      <c r="HF135" s="41"/>
      <c r="HG135" s="41"/>
      <c r="HH135" s="41"/>
      <c r="HI135" s="41"/>
      <c r="HJ135" s="41"/>
      <c r="HK135" s="41"/>
      <c r="HL135" s="41"/>
      <c r="HM135" s="41"/>
      <c r="HN135" s="41"/>
      <c r="HO135" s="41"/>
      <c r="HP135" s="41"/>
      <c r="HQ135" s="41"/>
      <c r="HR135" s="41"/>
      <c r="HS135" s="41"/>
      <c r="HT135" s="41"/>
      <c r="HU135" s="41"/>
      <c r="HV135" s="41"/>
      <c r="HW135" s="41"/>
      <c r="HX135" s="41"/>
      <c r="HY135" s="41"/>
      <c r="HZ135" s="41"/>
      <c r="IA135" s="41"/>
      <c r="IB135" s="41"/>
      <c r="IC135" s="41"/>
      <c r="ID135" s="41"/>
      <c r="IE135" s="41"/>
      <c r="IF135" s="41"/>
      <c r="IG135" s="41"/>
      <c r="IH135" s="41"/>
      <c r="II135" s="41"/>
      <c r="IJ135" s="41"/>
      <c r="IK135" s="41"/>
      <c r="IL135" s="41"/>
      <c r="IM135" s="41"/>
      <c r="IN135" s="41"/>
      <c r="IO135" s="41"/>
      <c r="IP135" s="41"/>
      <c r="IQ135" s="41"/>
      <c r="IR135" s="41"/>
      <c r="IS135" s="41"/>
      <c r="IT135" s="41"/>
      <c r="IU135" s="41"/>
      <c r="IV135" s="41"/>
      <c r="IW135" s="41"/>
      <c r="IX135" s="41"/>
      <c r="IY135" s="41"/>
      <c r="IZ135" s="41"/>
      <c r="JA135" s="41"/>
      <c r="JB135" s="41"/>
      <c r="JC135" s="41"/>
      <c r="JD135" s="41"/>
      <c r="JE135" s="41"/>
      <c r="JF135" s="41"/>
      <c r="JG135" s="41"/>
      <c r="JH135" s="41"/>
      <c r="JI135" s="41"/>
      <c r="JJ135" s="41"/>
      <c r="JK135" s="41"/>
      <c r="JL135" s="41"/>
      <c r="JM135" s="41"/>
      <c r="JN135" s="41"/>
      <c r="JO135" s="41"/>
      <c r="JP135" s="41"/>
      <c r="JQ135" s="41"/>
      <c r="JR135" s="41"/>
      <c r="JS135" s="41"/>
      <c r="JT135" s="41"/>
      <c r="JU135" s="41"/>
      <c r="JV135" s="41"/>
      <c r="JW135" s="41"/>
      <c r="JX135" s="41"/>
      <c r="JY135" s="41"/>
      <c r="JZ135" s="41"/>
      <c r="KA135" s="41"/>
      <c r="KB135" s="41"/>
      <c r="KC135" s="41"/>
      <c r="KD135" s="41"/>
      <c r="KE135" s="41"/>
      <c r="KF135" s="41"/>
      <c r="KG135" s="41"/>
      <c r="KH135" s="41"/>
      <c r="KI135" s="41"/>
      <c r="KJ135" s="41"/>
      <c r="KK135" s="41"/>
      <c r="KL135" s="41"/>
      <c r="KM135" s="41"/>
      <c r="KN135" s="41"/>
      <c r="KO135" s="41"/>
      <c r="KP135" s="41"/>
      <c r="KQ135" s="41"/>
      <c r="KR135" s="41"/>
      <c r="KS135" s="41"/>
      <c r="KT135" s="41"/>
      <c r="KU135" s="41"/>
      <c r="KV135" s="41"/>
      <c r="KW135" s="41"/>
      <c r="KX135" s="41"/>
      <c r="KY135" s="41"/>
      <c r="KZ135" s="41"/>
      <c r="LA135" s="41"/>
      <c r="LB135" s="41"/>
      <c r="LC135" s="41"/>
      <c r="LD135" s="41"/>
      <c r="LE135" s="41"/>
      <c r="LF135" s="41"/>
      <c r="LG135" s="41"/>
      <c r="LH135" s="41"/>
      <c r="LI135" s="41"/>
      <c r="LJ135" s="41"/>
      <c r="LK135" s="41"/>
      <c r="LL135" s="41"/>
      <c r="LM135" s="41"/>
      <c r="LN135" s="41"/>
      <c r="LO135" s="41"/>
      <c r="LP135" s="41"/>
      <c r="LQ135" s="41"/>
      <c r="LR135" s="41"/>
      <c r="LS135" s="41"/>
      <c r="LT135" s="41"/>
      <c r="LU135" s="41"/>
      <c r="LV135" s="41"/>
      <c r="LW135" s="41"/>
      <c r="LX135" s="41"/>
      <c r="LY135" s="41"/>
      <c r="LZ135" s="41"/>
      <c r="MA135" s="41"/>
      <c r="MB135" s="41"/>
      <c r="MC135" s="41"/>
      <c r="MD135" s="41"/>
      <c r="ME135" s="41"/>
      <c r="MF135" s="41"/>
      <c r="MG135" s="41"/>
      <c r="MH135" s="41"/>
      <c r="MI135" s="41"/>
      <c r="MJ135" s="41"/>
      <c r="MK135" s="41"/>
      <c r="ML135" s="41"/>
      <c r="MM135" s="41"/>
      <c r="MN135" s="41"/>
      <c r="MO135" s="41"/>
      <c r="MP135" s="41"/>
      <c r="MQ135" s="41"/>
      <c r="MR135" s="41"/>
      <c r="MS135" s="41"/>
      <c r="MT135" s="41"/>
      <c r="MU135" s="41"/>
      <c r="MV135" s="41"/>
      <c r="MW135" s="41"/>
      <c r="MX135" s="41"/>
      <c r="MY135" s="41"/>
      <c r="MZ135" s="41"/>
      <c r="NA135" s="41"/>
      <c r="NB135" s="41"/>
      <c r="NC135" s="41"/>
      <c r="ND135" s="41"/>
      <c r="NE135" s="41"/>
      <c r="NF135" s="41"/>
      <c r="NG135" s="41"/>
      <c r="NH135" s="41"/>
      <c r="NI135" s="41"/>
      <c r="NJ135" s="41"/>
      <c r="NK135" s="41"/>
      <c r="NL135" s="41"/>
      <c r="NM135" s="41"/>
      <c r="NN135" s="41"/>
      <c r="NO135" s="41"/>
      <c r="NP135" s="41"/>
      <c r="NQ135" s="41"/>
      <c r="NR135" s="41"/>
      <c r="NS135" s="41"/>
      <c r="NT135" s="41"/>
      <c r="NU135" s="41"/>
      <c r="NV135" s="41"/>
      <c r="NW135" s="41"/>
      <c r="NX135" s="41"/>
      <c r="NY135" s="41"/>
      <c r="NZ135" s="41"/>
      <c r="OA135" s="41"/>
      <c r="OB135" s="41"/>
      <c r="OC135" s="41"/>
      <c r="OD135" s="41"/>
      <c r="OE135" s="41"/>
      <c r="OF135" s="41"/>
      <c r="OG135" s="41"/>
      <c r="OH135" s="41"/>
      <c r="OI135" s="41"/>
      <c r="OJ135" s="41"/>
      <c r="OK135" s="41"/>
      <c r="OL135" s="41"/>
      <c r="OM135" s="41"/>
      <c r="ON135" s="41"/>
      <c r="OO135" s="41"/>
      <c r="OP135" s="41"/>
      <c r="OQ135" s="41"/>
      <c r="OR135" s="41"/>
      <c r="OS135" s="41"/>
      <c r="OT135" s="41"/>
      <c r="OU135" s="41"/>
      <c r="OV135" s="41"/>
      <c r="OW135" s="41"/>
      <c r="OX135" s="41"/>
      <c r="OY135" s="41"/>
      <c r="OZ135" s="41"/>
      <c r="PA135" s="41"/>
      <c r="PB135" s="41"/>
      <c r="PC135" s="41"/>
      <c r="PD135" s="41"/>
      <c r="PE135" s="41"/>
      <c r="PF135" s="41"/>
      <c r="PG135" s="41"/>
      <c r="PH135" s="41"/>
      <c r="PI135" s="41"/>
      <c r="PJ135" s="41"/>
      <c r="PK135" s="41"/>
      <c r="PL135" s="41"/>
      <c r="PM135" s="41"/>
      <c r="PN135" s="41"/>
      <c r="PO135" s="41"/>
      <c r="PP135" s="41"/>
      <c r="PQ135" s="41"/>
      <c r="PR135" s="41"/>
      <c r="PS135" s="41"/>
      <c r="PT135" s="41"/>
      <c r="PU135" s="41"/>
      <c r="PV135" s="41"/>
      <c r="PW135" s="41"/>
      <c r="PX135" s="41"/>
      <c r="PY135" s="41"/>
      <c r="PZ135" s="41"/>
      <c r="QA135" s="41"/>
      <c r="QB135" s="41"/>
      <c r="QC135" s="41"/>
      <c r="QD135" s="41"/>
      <c r="QE135" s="41"/>
      <c r="QF135" s="41"/>
      <c r="QG135" s="41"/>
      <c r="QH135" s="41"/>
      <c r="QI135" s="41"/>
      <c r="QJ135" s="41"/>
      <c r="QK135" s="41"/>
      <c r="QL135" s="41"/>
      <c r="QM135" s="41"/>
      <c r="QN135" s="41"/>
      <c r="QO135" s="41"/>
      <c r="QP135" s="41"/>
      <c r="QQ135" s="41"/>
      <c r="QR135" s="41"/>
      <c r="QS135" s="41"/>
      <c r="QT135" s="41"/>
      <c r="QU135" s="41"/>
      <c r="QV135" s="41"/>
      <c r="QW135" s="41"/>
      <c r="QX135" s="41"/>
      <c r="QY135" s="41"/>
      <c r="QZ135" s="41"/>
      <c r="RA135" s="41"/>
      <c r="RB135" s="41"/>
      <c r="RC135" s="41"/>
      <c r="RD135" s="41"/>
      <c r="RE135" s="41"/>
      <c r="RF135" s="41"/>
      <c r="RG135" s="41"/>
      <c r="RH135" s="41"/>
      <c r="RI135" s="41"/>
      <c r="RJ135" s="41"/>
      <c r="RK135" s="41"/>
      <c r="RL135" s="41"/>
      <c r="RM135" s="41"/>
      <c r="RN135" s="41"/>
      <c r="RO135" s="41"/>
      <c r="RP135" s="41"/>
      <c r="RQ135" s="41"/>
      <c r="RR135" s="41"/>
      <c r="RS135" s="41"/>
      <c r="RT135" s="41"/>
      <c r="RU135" s="41"/>
      <c r="RV135" s="41"/>
      <c r="RW135" s="41"/>
      <c r="RX135" s="41"/>
      <c r="RY135" s="41"/>
      <c r="RZ135" s="41"/>
      <c r="SA135" s="41"/>
      <c r="SB135" s="41"/>
      <c r="SC135" s="41"/>
      <c r="SD135" s="41"/>
      <c r="SE135" s="41"/>
      <c r="SF135" s="41"/>
      <c r="SG135" s="41"/>
      <c r="SH135" s="41"/>
      <c r="SI135" s="41"/>
      <c r="SJ135" s="41"/>
      <c r="SK135" s="41"/>
      <c r="SL135" s="41"/>
      <c r="SM135" s="41"/>
      <c r="SN135" s="41"/>
      <c r="SO135" s="41"/>
      <c r="SP135" s="41"/>
      <c r="SQ135" s="41"/>
      <c r="SR135" s="41"/>
      <c r="SS135" s="41"/>
      <c r="ST135" s="41"/>
      <c r="SU135" s="41"/>
      <c r="SV135" s="41"/>
      <c r="SW135" s="41"/>
      <c r="SX135" s="41"/>
      <c r="SY135" s="41"/>
      <c r="SZ135" s="41"/>
      <c r="TA135" s="41"/>
      <c r="TB135" s="41"/>
      <c r="TC135" s="41"/>
      <c r="TD135" s="41"/>
      <c r="TE135" s="41"/>
      <c r="TF135" s="41"/>
      <c r="TG135" s="41"/>
      <c r="TH135" s="41"/>
      <c r="TI135" s="41"/>
      <c r="TJ135" s="41"/>
      <c r="TK135" s="41"/>
      <c r="TL135" s="41"/>
      <c r="TM135" s="41"/>
      <c r="TN135" s="41"/>
      <c r="TO135" s="41"/>
      <c r="TP135" s="41"/>
      <c r="TQ135" s="41"/>
      <c r="TR135" s="41"/>
      <c r="TS135" s="41"/>
      <c r="TT135" s="41"/>
      <c r="TU135" s="41"/>
      <c r="TV135" s="41"/>
      <c r="TW135" s="41"/>
      <c r="TX135" s="41"/>
      <c r="TY135" s="41"/>
      <c r="TZ135" s="41"/>
      <c r="UA135" s="41"/>
      <c r="UB135" s="41"/>
      <c r="UC135" s="41"/>
      <c r="UD135" s="41"/>
      <c r="UE135" s="41"/>
      <c r="UF135" s="41"/>
      <c r="UG135" s="41"/>
      <c r="UH135" s="41"/>
      <c r="UI135" s="41"/>
      <c r="UJ135" s="41"/>
      <c r="UK135" s="41"/>
      <c r="UL135" s="41"/>
      <c r="UM135" s="41"/>
      <c r="UN135" s="41"/>
      <c r="UO135" s="41"/>
      <c r="UP135" s="41"/>
      <c r="UQ135" s="41"/>
      <c r="UR135" s="41"/>
      <c r="US135" s="41"/>
      <c r="UT135" s="41"/>
      <c r="UU135" s="41"/>
      <c r="UV135" s="41"/>
      <c r="UW135" s="41"/>
      <c r="UX135" s="41"/>
      <c r="UY135" s="41"/>
      <c r="UZ135" s="41"/>
      <c r="VA135" s="41"/>
      <c r="VB135" s="41"/>
      <c r="VC135" s="41"/>
      <c r="VD135" s="41"/>
      <c r="VE135" s="41"/>
      <c r="VF135" s="41"/>
      <c r="VG135" s="41"/>
      <c r="VH135" s="41"/>
      <c r="VI135" s="41"/>
      <c r="VJ135" s="41"/>
      <c r="VK135" s="41"/>
      <c r="VL135" s="41"/>
      <c r="VM135" s="41"/>
      <c r="VN135" s="41"/>
      <c r="VO135" s="41"/>
      <c r="VP135" s="41"/>
      <c r="VQ135" s="41"/>
      <c r="VR135" s="41"/>
      <c r="VS135" s="41"/>
      <c r="VT135" s="41"/>
      <c r="VU135" s="41"/>
      <c r="VV135" s="41"/>
      <c r="VW135" s="41"/>
      <c r="VX135" s="41"/>
      <c r="VY135" s="41"/>
      <c r="VZ135" s="41"/>
      <c r="WA135" s="41"/>
      <c r="WB135" s="41"/>
      <c r="WC135" s="41"/>
      <c r="WD135" s="41"/>
      <c r="WE135" s="41"/>
      <c r="WF135" s="41"/>
      <c r="WG135" s="41"/>
      <c r="WH135" s="41"/>
      <c r="WI135" s="41"/>
      <c r="WJ135" s="41"/>
      <c r="WK135" s="41"/>
      <c r="WL135" s="41"/>
      <c r="WM135" s="41"/>
      <c r="WN135" s="41"/>
      <c r="WO135" s="41"/>
      <c r="WP135" s="41"/>
      <c r="WQ135" s="41"/>
      <c r="WR135" s="41"/>
      <c r="WS135" s="41"/>
      <c r="WT135" s="41"/>
      <c r="WU135" s="41"/>
      <c r="WV135" s="41"/>
      <c r="WW135" s="41"/>
      <c r="WX135" s="41"/>
      <c r="WY135" s="41"/>
      <c r="WZ135" s="41"/>
      <c r="XA135" s="41"/>
      <c r="XB135" s="41"/>
      <c r="XC135" s="41"/>
      <c r="XD135" s="41"/>
      <c r="XE135" s="41"/>
      <c r="XF135" s="41"/>
      <c r="XG135" s="41"/>
      <c r="XH135" s="41"/>
      <c r="XI135" s="41"/>
      <c r="XJ135" s="41"/>
      <c r="XK135" s="41"/>
      <c r="XL135" s="41"/>
      <c r="XM135" s="41"/>
      <c r="XN135" s="41"/>
      <c r="XO135" s="41"/>
      <c r="XP135" s="41"/>
      <c r="XQ135" s="41"/>
      <c r="XR135" s="41"/>
      <c r="XS135" s="41"/>
      <c r="XT135" s="41"/>
      <c r="XU135" s="41"/>
      <c r="XV135" s="41"/>
      <c r="XW135" s="41"/>
      <c r="XX135" s="41"/>
      <c r="XY135" s="41"/>
      <c r="XZ135" s="41"/>
      <c r="YA135" s="41"/>
      <c r="YB135" s="41"/>
      <c r="YC135" s="41"/>
      <c r="YD135" s="41"/>
      <c r="YE135" s="41"/>
      <c r="YF135" s="41"/>
      <c r="YG135" s="41"/>
      <c r="YH135" s="41"/>
      <c r="YI135" s="41"/>
      <c r="YJ135" s="41"/>
      <c r="YK135" s="41"/>
      <c r="YL135" s="41"/>
      <c r="YM135" s="41"/>
      <c r="YN135" s="41"/>
      <c r="YO135" s="41"/>
      <c r="YP135" s="41"/>
      <c r="YQ135" s="41"/>
      <c r="YR135" s="41"/>
      <c r="YS135" s="41"/>
      <c r="YT135" s="41"/>
      <c r="YU135" s="41"/>
      <c r="YV135" s="41"/>
      <c r="YW135" s="41"/>
      <c r="YX135" s="41"/>
      <c r="YY135" s="41"/>
      <c r="YZ135" s="41"/>
      <c r="ZA135" s="41"/>
      <c r="ZB135" s="41"/>
      <c r="ZC135" s="41"/>
      <c r="ZD135" s="41"/>
      <c r="ZE135" s="41"/>
      <c r="ZF135" s="41"/>
      <c r="ZG135" s="41"/>
      <c r="ZH135" s="41"/>
      <c r="ZI135" s="41"/>
      <c r="ZJ135" s="41"/>
      <c r="ZK135" s="41"/>
      <c r="ZL135" s="41"/>
      <c r="ZM135" s="41"/>
      <c r="ZN135" s="41"/>
      <c r="ZO135" s="41"/>
      <c r="ZP135" s="41"/>
      <c r="ZQ135" s="41"/>
      <c r="ZR135" s="41"/>
      <c r="ZS135" s="41"/>
      <c r="ZT135" s="41"/>
      <c r="ZU135" s="41"/>
      <c r="ZV135" s="41"/>
      <c r="ZW135" s="41"/>
      <c r="ZX135" s="41"/>
      <c r="ZY135" s="41"/>
      <c r="ZZ135" s="41"/>
      <c r="AAA135" s="41"/>
      <c r="AAB135" s="41"/>
      <c r="AAC135" s="41"/>
    </row>
    <row r="136" spans="1:705" s="42" customFormat="1" ht="44.1" hidden="1" customHeight="1" x14ac:dyDescent="0.3">
      <c r="A136" s="26">
        <v>132</v>
      </c>
      <c r="B136" s="137">
        <v>240286</v>
      </c>
      <c r="C136" s="138">
        <v>132</v>
      </c>
      <c r="D136" s="139">
        <v>45932</v>
      </c>
      <c r="E136" s="139">
        <f t="shared" ref="E136:E167" si="23">D136-1</f>
        <v>45931</v>
      </c>
      <c r="F136" s="139">
        <f t="shared" si="22"/>
        <v>45942</v>
      </c>
      <c r="G136" s="139">
        <v>46023</v>
      </c>
      <c r="H136" s="139">
        <v>45993</v>
      </c>
      <c r="I136" s="139" t="s">
        <v>349</v>
      </c>
      <c r="J136" s="140" t="s">
        <v>360</v>
      </c>
      <c r="K136" s="141">
        <f t="shared" ref="K136:K167" si="24">H136-F136</f>
        <v>51</v>
      </c>
      <c r="L136" s="141">
        <v>1150257</v>
      </c>
      <c r="M136" s="140" t="s">
        <v>15</v>
      </c>
      <c r="N136" s="140">
        <v>805338</v>
      </c>
      <c r="O136" s="137" t="s">
        <v>246</v>
      </c>
      <c r="P136" s="143">
        <v>45964</v>
      </c>
      <c r="Q136" s="143">
        <v>46128</v>
      </c>
      <c r="R136" s="157" t="s">
        <v>211</v>
      </c>
      <c r="S136" s="144" t="s">
        <v>361</v>
      </c>
      <c r="T136" s="145">
        <v>1</v>
      </c>
      <c r="U136" s="137" t="s">
        <v>82</v>
      </c>
      <c r="V136" s="146">
        <v>178</v>
      </c>
      <c r="W136" s="146">
        <v>178</v>
      </c>
      <c r="X136" s="147">
        <v>0</v>
      </c>
      <c r="Y136" s="146"/>
      <c r="Z136" s="146">
        <v>0</v>
      </c>
      <c r="AA136" s="146">
        <v>0</v>
      </c>
      <c r="AB136" s="146">
        <v>178</v>
      </c>
      <c r="AC136" s="146">
        <v>178</v>
      </c>
      <c r="AD136" s="146">
        <v>0</v>
      </c>
      <c r="AE136" s="146">
        <v>0</v>
      </c>
      <c r="AF136" s="146">
        <v>0</v>
      </c>
      <c r="AG136" s="146">
        <v>0</v>
      </c>
      <c r="AH136" s="146">
        <v>2</v>
      </c>
      <c r="AI136" s="146">
        <v>2</v>
      </c>
      <c r="AJ136" s="146">
        <v>0</v>
      </c>
      <c r="AK136" s="146"/>
      <c r="AL136" s="146">
        <v>2</v>
      </c>
      <c r="AM136" s="146">
        <v>2</v>
      </c>
      <c r="AN136" s="146">
        <v>3</v>
      </c>
      <c r="AO136" s="146">
        <v>3</v>
      </c>
      <c r="AP136" s="146">
        <v>2</v>
      </c>
      <c r="AQ136" s="146">
        <v>2</v>
      </c>
      <c r="AR136" s="146">
        <v>0</v>
      </c>
      <c r="AS136" s="146">
        <v>0</v>
      </c>
      <c r="AT136" s="146">
        <v>0</v>
      </c>
      <c r="AU136" s="146">
        <v>0</v>
      </c>
      <c r="AV136" s="146">
        <v>0</v>
      </c>
      <c r="AW136" s="146">
        <v>0</v>
      </c>
      <c r="AX136" s="146">
        <f t="shared" si="21"/>
        <v>23786</v>
      </c>
      <c r="AY136" s="146">
        <f t="shared" si="20"/>
        <v>23786</v>
      </c>
      <c r="AZ136" s="140" t="s">
        <v>562</v>
      </c>
      <c r="BA136" s="140" t="s">
        <v>562</v>
      </c>
      <c r="BB136" s="137">
        <v>5</v>
      </c>
      <c r="BC136" s="148">
        <v>132</v>
      </c>
      <c r="BD136" s="149"/>
      <c r="BE136" s="145"/>
      <c r="BF136" s="150"/>
      <c r="BG136" s="151">
        <v>45992</v>
      </c>
      <c r="BH136" s="153" t="s">
        <v>535</v>
      </c>
      <c r="BI136" s="153" t="s">
        <v>562</v>
      </c>
      <c r="CC136" s="41"/>
      <c r="CD136" s="41"/>
      <c r="CE136" s="41"/>
      <c r="CF136" s="41"/>
      <c r="CG136" s="41"/>
      <c r="CH136" s="41"/>
      <c r="CI136" s="41"/>
      <c r="CJ136" s="41"/>
      <c r="CK136" s="41"/>
      <c r="CL136" s="41"/>
      <c r="CM136" s="41"/>
      <c r="CN136" s="41"/>
      <c r="CO136" s="41"/>
      <c r="CP136" s="41"/>
      <c r="CQ136" s="41"/>
      <c r="CR136" s="41"/>
      <c r="CS136" s="41"/>
      <c r="CT136" s="41"/>
      <c r="CU136" s="41"/>
      <c r="CV136" s="41"/>
      <c r="CW136" s="41"/>
      <c r="CX136" s="41"/>
      <c r="CY136" s="41"/>
      <c r="CZ136" s="41"/>
      <c r="DA136" s="41"/>
      <c r="DB136" s="41"/>
      <c r="DC136" s="41"/>
      <c r="DD136" s="41"/>
      <c r="DE136" s="41"/>
      <c r="DF136" s="41"/>
      <c r="DG136" s="41"/>
      <c r="DH136" s="41"/>
      <c r="DI136" s="41"/>
      <c r="DJ136" s="41"/>
      <c r="DK136" s="41"/>
      <c r="DL136" s="41"/>
      <c r="DM136" s="41"/>
      <c r="DN136" s="41"/>
      <c r="DO136" s="41"/>
      <c r="DP136" s="41"/>
      <c r="DQ136" s="41"/>
      <c r="DR136" s="41"/>
      <c r="DS136" s="41"/>
      <c r="DT136" s="41"/>
      <c r="DU136" s="41"/>
      <c r="DV136" s="41"/>
      <c r="DW136" s="41"/>
      <c r="DX136" s="41"/>
      <c r="DY136" s="41"/>
      <c r="DZ136" s="41"/>
      <c r="EA136" s="41"/>
      <c r="EB136" s="41"/>
      <c r="EC136" s="41"/>
      <c r="ED136" s="41"/>
      <c r="EE136" s="41"/>
      <c r="EF136" s="41"/>
      <c r="EG136" s="41"/>
      <c r="EH136" s="41"/>
      <c r="EI136" s="41"/>
      <c r="EJ136" s="41"/>
      <c r="EK136" s="41"/>
      <c r="EL136" s="41"/>
      <c r="EM136" s="41"/>
      <c r="EN136" s="41"/>
      <c r="EO136" s="41"/>
      <c r="EP136" s="41"/>
      <c r="EQ136" s="41"/>
      <c r="ER136" s="41"/>
      <c r="ES136" s="41"/>
      <c r="ET136" s="41"/>
      <c r="EU136" s="41"/>
      <c r="EV136" s="41"/>
      <c r="EW136" s="41"/>
      <c r="EX136" s="41"/>
      <c r="EY136" s="41"/>
      <c r="EZ136" s="41"/>
      <c r="FA136" s="41"/>
      <c r="FB136" s="41"/>
      <c r="FC136" s="41"/>
      <c r="FD136" s="41"/>
      <c r="FE136" s="41"/>
      <c r="FF136" s="41"/>
      <c r="FG136" s="41"/>
      <c r="FH136" s="41"/>
      <c r="FI136" s="41"/>
      <c r="FJ136" s="41"/>
      <c r="FK136" s="41"/>
      <c r="FL136" s="41"/>
      <c r="FM136" s="41"/>
      <c r="FN136" s="41"/>
      <c r="FO136" s="41"/>
      <c r="FP136" s="41"/>
      <c r="FQ136" s="41"/>
      <c r="FR136" s="41"/>
      <c r="FS136" s="41"/>
      <c r="FT136" s="41"/>
      <c r="FU136" s="41"/>
      <c r="FV136" s="41"/>
      <c r="FW136" s="41"/>
      <c r="FX136" s="41"/>
      <c r="FY136" s="41"/>
      <c r="FZ136" s="41"/>
      <c r="GA136" s="41"/>
      <c r="GB136" s="41"/>
      <c r="GC136" s="41"/>
      <c r="GD136" s="41"/>
      <c r="GE136" s="41"/>
      <c r="GF136" s="41"/>
      <c r="GG136" s="41"/>
      <c r="GH136" s="41"/>
      <c r="GI136" s="41"/>
      <c r="GJ136" s="41"/>
      <c r="GK136" s="41"/>
      <c r="GL136" s="41"/>
      <c r="GM136" s="41"/>
      <c r="GN136" s="41"/>
      <c r="GO136" s="41"/>
      <c r="GP136" s="41"/>
      <c r="GQ136" s="41"/>
      <c r="GR136" s="41"/>
      <c r="GS136" s="41"/>
      <c r="GT136" s="41"/>
      <c r="GU136" s="41"/>
      <c r="GV136" s="41"/>
      <c r="GW136" s="41"/>
      <c r="GX136" s="41"/>
      <c r="GY136" s="41"/>
      <c r="GZ136" s="41"/>
      <c r="HA136" s="41"/>
      <c r="HB136" s="41"/>
      <c r="HC136" s="41"/>
      <c r="HD136" s="41"/>
      <c r="HE136" s="41"/>
      <c r="HF136" s="41"/>
      <c r="HG136" s="41"/>
      <c r="HH136" s="41"/>
      <c r="HI136" s="41"/>
      <c r="HJ136" s="41"/>
      <c r="HK136" s="41"/>
      <c r="HL136" s="41"/>
      <c r="HM136" s="41"/>
      <c r="HN136" s="41"/>
      <c r="HO136" s="41"/>
      <c r="HP136" s="41"/>
      <c r="HQ136" s="41"/>
      <c r="HR136" s="41"/>
      <c r="HS136" s="41"/>
      <c r="HT136" s="41"/>
      <c r="HU136" s="41"/>
      <c r="HV136" s="41"/>
      <c r="HW136" s="41"/>
      <c r="HX136" s="41"/>
      <c r="HY136" s="41"/>
      <c r="HZ136" s="41"/>
      <c r="IA136" s="41"/>
      <c r="IB136" s="41"/>
      <c r="IC136" s="41"/>
      <c r="ID136" s="41"/>
      <c r="IE136" s="41"/>
      <c r="IF136" s="41"/>
      <c r="IG136" s="41"/>
      <c r="IH136" s="41"/>
      <c r="II136" s="41"/>
      <c r="IJ136" s="41"/>
      <c r="IK136" s="41"/>
      <c r="IL136" s="41"/>
      <c r="IM136" s="41"/>
      <c r="IN136" s="41"/>
      <c r="IO136" s="41"/>
      <c r="IP136" s="41"/>
      <c r="IQ136" s="41"/>
      <c r="IR136" s="41"/>
      <c r="IS136" s="41"/>
      <c r="IT136" s="41"/>
      <c r="IU136" s="41"/>
      <c r="IV136" s="41"/>
      <c r="IW136" s="41"/>
      <c r="IX136" s="41"/>
      <c r="IY136" s="41"/>
      <c r="IZ136" s="41"/>
      <c r="JA136" s="41"/>
      <c r="JB136" s="41"/>
      <c r="JC136" s="41"/>
      <c r="JD136" s="41"/>
      <c r="JE136" s="41"/>
      <c r="JF136" s="41"/>
      <c r="JG136" s="41"/>
      <c r="JH136" s="41"/>
      <c r="JI136" s="41"/>
      <c r="JJ136" s="41"/>
      <c r="JK136" s="41"/>
      <c r="JL136" s="41"/>
      <c r="JM136" s="41"/>
      <c r="JN136" s="41"/>
      <c r="JO136" s="41"/>
      <c r="JP136" s="41"/>
      <c r="JQ136" s="41"/>
      <c r="JR136" s="41"/>
      <c r="JS136" s="41"/>
      <c r="JT136" s="41"/>
      <c r="JU136" s="41"/>
      <c r="JV136" s="41"/>
      <c r="JW136" s="41"/>
      <c r="JX136" s="41"/>
      <c r="JY136" s="41"/>
      <c r="JZ136" s="41"/>
      <c r="KA136" s="41"/>
      <c r="KB136" s="41"/>
      <c r="KC136" s="41"/>
      <c r="KD136" s="41"/>
      <c r="KE136" s="41"/>
      <c r="KF136" s="41"/>
      <c r="KG136" s="41"/>
      <c r="KH136" s="41"/>
      <c r="KI136" s="41"/>
      <c r="KJ136" s="41"/>
      <c r="KK136" s="41"/>
      <c r="KL136" s="41"/>
      <c r="KM136" s="41"/>
      <c r="KN136" s="41"/>
      <c r="KO136" s="41"/>
      <c r="KP136" s="41"/>
      <c r="KQ136" s="41"/>
      <c r="KR136" s="41"/>
      <c r="KS136" s="41"/>
      <c r="KT136" s="41"/>
      <c r="KU136" s="41"/>
      <c r="KV136" s="41"/>
      <c r="KW136" s="41"/>
      <c r="KX136" s="41"/>
      <c r="KY136" s="41"/>
      <c r="KZ136" s="41"/>
      <c r="LA136" s="41"/>
      <c r="LB136" s="41"/>
      <c r="LC136" s="41"/>
      <c r="LD136" s="41"/>
      <c r="LE136" s="41"/>
      <c r="LF136" s="41"/>
      <c r="LG136" s="41"/>
      <c r="LH136" s="41"/>
      <c r="LI136" s="41"/>
      <c r="LJ136" s="41"/>
      <c r="LK136" s="41"/>
      <c r="LL136" s="41"/>
      <c r="LM136" s="41"/>
      <c r="LN136" s="41"/>
      <c r="LO136" s="41"/>
      <c r="LP136" s="41"/>
      <c r="LQ136" s="41"/>
      <c r="LR136" s="41"/>
      <c r="LS136" s="41"/>
      <c r="LT136" s="41"/>
      <c r="LU136" s="41"/>
      <c r="LV136" s="41"/>
      <c r="LW136" s="41"/>
      <c r="LX136" s="41"/>
      <c r="LY136" s="41"/>
      <c r="LZ136" s="41"/>
      <c r="MA136" s="41"/>
      <c r="MB136" s="41"/>
      <c r="MC136" s="41"/>
      <c r="MD136" s="41"/>
      <c r="ME136" s="41"/>
      <c r="MF136" s="41"/>
      <c r="MG136" s="41"/>
      <c r="MH136" s="41"/>
      <c r="MI136" s="41"/>
      <c r="MJ136" s="41"/>
      <c r="MK136" s="41"/>
      <c r="ML136" s="41"/>
      <c r="MM136" s="41"/>
      <c r="MN136" s="41"/>
      <c r="MO136" s="41"/>
      <c r="MP136" s="41"/>
      <c r="MQ136" s="41"/>
      <c r="MR136" s="41"/>
      <c r="MS136" s="41"/>
      <c r="MT136" s="41"/>
      <c r="MU136" s="41"/>
      <c r="MV136" s="41"/>
      <c r="MW136" s="41"/>
      <c r="MX136" s="41"/>
      <c r="MY136" s="41"/>
      <c r="MZ136" s="41"/>
      <c r="NA136" s="41"/>
      <c r="NB136" s="41"/>
      <c r="NC136" s="41"/>
      <c r="ND136" s="41"/>
      <c r="NE136" s="41"/>
      <c r="NF136" s="41"/>
      <c r="NG136" s="41"/>
      <c r="NH136" s="41"/>
      <c r="NI136" s="41"/>
      <c r="NJ136" s="41"/>
      <c r="NK136" s="41"/>
      <c r="NL136" s="41"/>
      <c r="NM136" s="41"/>
      <c r="NN136" s="41"/>
      <c r="NO136" s="41"/>
      <c r="NP136" s="41"/>
      <c r="NQ136" s="41"/>
      <c r="NR136" s="41"/>
      <c r="NS136" s="41"/>
      <c r="NT136" s="41"/>
      <c r="NU136" s="41"/>
      <c r="NV136" s="41"/>
      <c r="NW136" s="41"/>
      <c r="NX136" s="41"/>
      <c r="NY136" s="41"/>
      <c r="NZ136" s="41"/>
      <c r="OA136" s="41"/>
      <c r="OB136" s="41"/>
      <c r="OC136" s="41"/>
      <c r="OD136" s="41"/>
      <c r="OE136" s="41"/>
      <c r="OF136" s="41"/>
      <c r="OG136" s="41"/>
      <c r="OH136" s="41"/>
      <c r="OI136" s="41"/>
      <c r="OJ136" s="41"/>
      <c r="OK136" s="41"/>
      <c r="OL136" s="41"/>
      <c r="OM136" s="41"/>
      <c r="ON136" s="41"/>
      <c r="OO136" s="41"/>
      <c r="OP136" s="41"/>
      <c r="OQ136" s="41"/>
      <c r="OR136" s="41"/>
      <c r="OS136" s="41"/>
      <c r="OT136" s="41"/>
      <c r="OU136" s="41"/>
      <c r="OV136" s="41"/>
      <c r="OW136" s="41"/>
      <c r="OX136" s="41"/>
      <c r="OY136" s="41"/>
      <c r="OZ136" s="41"/>
      <c r="PA136" s="41"/>
      <c r="PB136" s="41"/>
      <c r="PC136" s="41"/>
      <c r="PD136" s="41"/>
      <c r="PE136" s="41"/>
      <c r="PF136" s="41"/>
      <c r="PG136" s="41"/>
      <c r="PH136" s="41"/>
      <c r="PI136" s="41"/>
      <c r="PJ136" s="41"/>
      <c r="PK136" s="41"/>
      <c r="PL136" s="41"/>
      <c r="PM136" s="41"/>
      <c r="PN136" s="41"/>
      <c r="PO136" s="41"/>
      <c r="PP136" s="41"/>
      <c r="PQ136" s="41"/>
      <c r="PR136" s="41"/>
      <c r="PS136" s="41"/>
      <c r="PT136" s="41"/>
      <c r="PU136" s="41"/>
      <c r="PV136" s="41"/>
      <c r="PW136" s="41"/>
      <c r="PX136" s="41"/>
      <c r="PY136" s="41"/>
      <c r="PZ136" s="41"/>
      <c r="QA136" s="41"/>
      <c r="QB136" s="41"/>
      <c r="QC136" s="41"/>
      <c r="QD136" s="41"/>
      <c r="QE136" s="41"/>
      <c r="QF136" s="41"/>
      <c r="QG136" s="41"/>
      <c r="QH136" s="41"/>
      <c r="QI136" s="41"/>
      <c r="QJ136" s="41"/>
      <c r="QK136" s="41"/>
      <c r="QL136" s="41"/>
      <c r="QM136" s="41"/>
      <c r="QN136" s="41"/>
      <c r="QO136" s="41"/>
      <c r="QP136" s="41"/>
      <c r="QQ136" s="41"/>
      <c r="QR136" s="41"/>
      <c r="QS136" s="41"/>
      <c r="QT136" s="41"/>
      <c r="QU136" s="41"/>
      <c r="QV136" s="41"/>
      <c r="QW136" s="41"/>
      <c r="QX136" s="41"/>
      <c r="QY136" s="41"/>
      <c r="QZ136" s="41"/>
      <c r="RA136" s="41"/>
      <c r="RB136" s="41"/>
      <c r="RC136" s="41"/>
      <c r="RD136" s="41"/>
      <c r="RE136" s="41"/>
      <c r="RF136" s="41"/>
      <c r="RG136" s="41"/>
      <c r="RH136" s="41"/>
      <c r="RI136" s="41"/>
      <c r="RJ136" s="41"/>
      <c r="RK136" s="41"/>
      <c r="RL136" s="41"/>
      <c r="RM136" s="41"/>
      <c r="RN136" s="41"/>
      <c r="RO136" s="41"/>
      <c r="RP136" s="41"/>
      <c r="RQ136" s="41"/>
      <c r="RR136" s="41"/>
      <c r="RS136" s="41"/>
      <c r="RT136" s="41"/>
      <c r="RU136" s="41"/>
      <c r="RV136" s="41"/>
      <c r="RW136" s="41"/>
      <c r="RX136" s="41"/>
      <c r="RY136" s="41"/>
      <c r="RZ136" s="41"/>
      <c r="SA136" s="41"/>
      <c r="SB136" s="41"/>
      <c r="SC136" s="41"/>
      <c r="SD136" s="41"/>
      <c r="SE136" s="41"/>
      <c r="SF136" s="41"/>
      <c r="SG136" s="41"/>
      <c r="SH136" s="41"/>
      <c r="SI136" s="41"/>
      <c r="SJ136" s="41"/>
      <c r="SK136" s="41"/>
      <c r="SL136" s="41"/>
      <c r="SM136" s="41"/>
      <c r="SN136" s="41"/>
      <c r="SO136" s="41"/>
      <c r="SP136" s="41"/>
      <c r="SQ136" s="41"/>
      <c r="SR136" s="41"/>
      <c r="SS136" s="41"/>
      <c r="ST136" s="41"/>
      <c r="SU136" s="41"/>
      <c r="SV136" s="41"/>
      <c r="SW136" s="41"/>
      <c r="SX136" s="41"/>
      <c r="SY136" s="41"/>
      <c r="SZ136" s="41"/>
      <c r="TA136" s="41"/>
      <c r="TB136" s="41"/>
      <c r="TC136" s="41"/>
      <c r="TD136" s="41"/>
      <c r="TE136" s="41"/>
      <c r="TF136" s="41"/>
      <c r="TG136" s="41"/>
      <c r="TH136" s="41"/>
      <c r="TI136" s="41"/>
      <c r="TJ136" s="41"/>
      <c r="TK136" s="41"/>
      <c r="TL136" s="41"/>
      <c r="TM136" s="41"/>
      <c r="TN136" s="41"/>
      <c r="TO136" s="41"/>
      <c r="TP136" s="41"/>
      <c r="TQ136" s="41"/>
      <c r="TR136" s="41"/>
      <c r="TS136" s="41"/>
      <c r="TT136" s="41"/>
      <c r="TU136" s="41"/>
      <c r="TV136" s="41"/>
      <c r="TW136" s="41"/>
      <c r="TX136" s="41"/>
      <c r="TY136" s="41"/>
      <c r="TZ136" s="41"/>
      <c r="UA136" s="41"/>
      <c r="UB136" s="41"/>
      <c r="UC136" s="41"/>
      <c r="UD136" s="41"/>
      <c r="UE136" s="41"/>
      <c r="UF136" s="41"/>
      <c r="UG136" s="41"/>
      <c r="UH136" s="41"/>
      <c r="UI136" s="41"/>
      <c r="UJ136" s="41"/>
      <c r="UK136" s="41"/>
      <c r="UL136" s="41"/>
      <c r="UM136" s="41"/>
      <c r="UN136" s="41"/>
      <c r="UO136" s="41"/>
      <c r="UP136" s="41"/>
      <c r="UQ136" s="41"/>
      <c r="UR136" s="41"/>
      <c r="US136" s="41"/>
      <c r="UT136" s="41"/>
      <c r="UU136" s="41"/>
      <c r="UV136" s="41"/>
      <c r="UW136" s="41"/>
      <c r="UX136" s="41"/>
      <c r="UY136" s="41"/>
      <c r="UZ136" s="41"/>
      <c r="VA136" s="41"/>
      <c r="VB136" s="41"/>
      <c r="VC136" s="41"/>
      <c r="VD136" s="41"/>
      <c r="VE136" s="41"/>
      <c r="VF136" s="41"/>
      <c r="VG136" s="41"/>
      <c r="VH136" s="41"/>
      <c r="VI136" s="41"/>
      <c r="VJ136" s="41"/>
      <c r="VK136" s="41"/>
      <c r="VL136" s="41"/>
      <c r="VM136" s="41"/>
      <c r="VN136" s="41"/>
      <c r="VO136" s="41"/>
      <c r="VP136" s="41"/>
      <c r="VQ136" s="41"/>
      <c r="VR136" s="41"/>
      <c r="VS136" s="41"/>
      <c r="VT136" s="41"/>
      <c r="VU136" s="41"/>
      <c r="VV136" s="41"/>
      <c r="VW136" s="41"/>
      <c r="VX136" s="41"/>
      <c r="VY136" s="41"/>
      <c r="VZ136" s="41"/>
      <c r="WA136" s="41"/>
      <c r="WB136" s="41"/>
      <c r="WC136" s="41"/>
      <c r="WD136" s="41"/>
      <c r="WE136" s="41"/>
      <c r="WF136" s="41"/>
      <c r="WG136" s="41"/>
      <c r="WH136" s="41"/>
      <c r="WI136" s="41"/>
      <c r="WJ136" s="41"/>
      <c r="WK136" s="41"/>
      <c r="WL136" s="41"/>
      <c r="WM136" s="41"/>
      <c r="WN136" s="41"/>
      <c r="WO136" s="41"/>
      <c r="WP136" s="41"/>
      <c r="WQ136" s="41"/>
      <c r="WR136" s="41"/>
      <c r="WS136" s="41"/>
      <c r="WT136" s="41"/>
      <c r="WU136" s="41"/>
      <c r="WV136" s="41"/>
      <c r="WW136" s="41"/>
      <c r="WX136" s="41"/>
      <c r="WY136" s="41"/>
      <c r="WZ136" s="41"/>
      <c r="XA136" s="41"/>
      <c r="XB136" s="41"/>
      <c r="XC136" s="41"/>
      <c r="XD136" s="41"/>
      <c r="XE136" s="41"/>
      <c r="XF136" s="41"/>
      <c r="XG136" s="41"/>
      <c r="XH136" s="41"/>
      <c r="XI136" s="41"/>
      <c r="XJ136" s="41"/>
      <c r="XK136" s="41"/>
      <c r="XL136" s="41"/>
      <c r="XM136" s="41"/>
      <c r="XN136" s="41"/>
      <c r="XO136" s="41"/>
      <c r="XP136" s="41"/>
      <c r="XQ136" s="41"/>
      <c r="XR136" s="41"/>
      <c r="XS136" s="41"/>
      <c r="XT136" s="41"/>
      <c r="XU136" s="41"/>
      <c r="XV136" s="41"/>
      <c r="XW136" s="41"/>
      <c r="XX136" s="41"/>
      <c r="XY136" s="41"/>
      <c r="XZ136" s="41"/>
      <c r="YA136" s="41"/>
      <c r="YB136" s="41"/>
      <c r="YC136" s="41"/>
      <c r="YD136" s="41"/>
      <c r="YE136" s="41"/>
      <c r="YF136" s="41"/>
      <c r="YG136" s="41"/>
      <c r="YH136" s="41"/>
      <c r="YI136" s="41"/>
      <c r="YJ136" s="41"/>
      <c r="YK136" s="41"/>
      <c r="YL136" s="41"/>
      <c r="YM136" s="41"/>
      <c r="YN136" s="41"/>
      <c r="YO136" s="41"/>
      <c r="YP136" s="41"/>
      <c r="YQ136" s="41"/>
      <c r="YR136" s="41"/>
      <c r="YS136" s="41"/>
      <c r="YT136" s="41"/>
      <c r="YU136" s="41"/>
      <c r="YV136" s="41"/>
      <c r="YW136" s="41"/>
      <c r="YX136" s="41"/>
      <c r="YY136" s="41"/>
      <c r="YZ136" s="41"/>
      <c r="ZA136" s="41"/>
      <c r="ZB136" s="41"/>
      <c r="ZC136" s="41"/>
      <c r="ZD136" s="41"/>
      <c r="ZE136" s="41"/>
      <c r="ZF136" s="41"/>
      <c r="ZG136" s="41"/>
      <c r="ZH136" s="41"/>
      <c r="ZI136" s="41"/>
      <c r="ZJ136" s="41"/>
      <c r="ZK136" s="41"/>
      <c r="ZL136" s="41"/>
      <c r="ZM136" s="41"/>
      <c r="ZN136" s="41"/>
      <c r="ZO136" s="41"/>
      <c r="ZP136" s="41"/>
      <c r="ZQ136" s="41"/>
      <c r="ZR136" s="41"/>
      <c r="ZS136" s="41"/>
      <c r="ZT136" s="41"/>
      <c r="ZU136" s="41"/>
      <c r="ZV136" s="41"/>
      <c r="ZW136" s="41"/>
      <c r="ZX136" s="41"/>
      <c r="ZY136" s="41"/>
      <c r="ZZ136" s="41"/>
      <c r="AAA136" s="41"/>
      <c r="AAB136" s="41"/>
      <c r="AAC136" s="41"/>
    </row>
    <row r="137" spans="1:705" s="42" customFormat="1" ht="44.1" hidden="1" customHeight="1" x14ac:dyDescent="0.3">
      <c r="A137" s="26">
        <v>133</v>
      </c>
      <c r="B137" s="137">
        <v>240300</v>
      </c>
      <c r="C137" s="138">
        <v>133</v>
      </c>
      <c r="D137" s="139">
        <v>45932</v>
      </c>
      <c r="E137" s="139">
        <f t="shared" si="23"/>
        <v>45931</v>
      </c>
      <c r="F137" s="139">
        <f t="shared" si="22"/>
        <v>45942</v>
      </c>
      <c r="G137" s="139">
        <v>46023</v>
      </c>
      <c r="H137" s="139">
        <v>46014</v>
      </c>
      <c r="I137" s="139" t="s">
        <v>349</v>
      </c>
      <c r="J137" s="140" t="s">
        <v>362</v>
      </c>
      <c r="K137" s="141">
        <f t="shared" si="24"/>
        <v>72</v>
      </c>
      <c r="L137" s="141">
        <v>1150365</v>
      </c>
      <c r="M137" s="140" t="s">
        <v>15</v>
      </c>
      <c r="N137" s="140">
        <v>805353</v>
      </c>
      <c r="O137" s="137" t="s">
        <v>246</v>
      </c>
      <c r="P137" s="143">
        <v>45950</v>
      </c>
      <c r="Q137" s="143">
        <v>46128</v>
      </c>
      <c r="R137" s="157" t="s">
        <v>211</v>
      </c>
      <c r="S137" s="144" t="s">
        <v>363</v>
      </c>
      <c r="T137" s="145">
        <v>1</v>
      </c>
      <c r="U137" s="137" t="s">
        <v>195</v>
      </c>
      <c r="V137" s="146">
        <v>208</v>
      </c>
      <c r="W137" s="146">
        <v>208</v>
      </c>
      <c r="X137" s="147">
        <v>0</v>
      </c>
      <c r="Y137" s="146"/>
      <c r="Z137" s="146">
        <v>0</v>
      </c>
      <c r="AA137" s="146">
        <v>0</v>
      </c>
      <c r="AB137" s="146">
        <v>106</v>
      </c>
      <c r="AC137" s="146">
        <v>106</v>
      </c>
      <c r="AD137" s="146">
        <v>0</v>
      </c>
      <c r="AE137" s="146">
        <v>0</v>
      </c>
      <c r="AF137" s="146">
        <v>0</v>
      </c>
      <c r="AG137" s="146">
        <v>0</v>
      </c>
      <c r="AH137" s="146">
        <v>0</v>
      </c>
      <c r="AI137" s="146">
        <v>0</v>
      </c>
      <c r="AJ137" s="146">
        <v>0</v>
      </c>
      <c r="AK137" s="146"/>
      <c r="AL137" s="146">
        <v>2</v>
      </c>
      <c r="AM137" s="146">
        <v>2</v>
      </c>
      <c r="AN137" s="146">
        <v>1</v>
      </c>
      <c r="AO137" s="146">
        <v>1</v>
      </c>
      <c r="AP137" s="146">
        <v>1</v>
      </c>
      <c r="AQ137" s="146">
        <v>1</v>
      </c>
      <c r="AR137" s="146">
        <v>0</v>
      </c>
      <c r="AS137" s="146">
        <v>0</v>
      </c>
      <c r="AT137" s="146">
        <v>0</v>
      </c>
      <c r="AU137" s="146">
        <v>0</v>
      </c>
      <c r="AV137" s="146">
        <v>0</v>
      </c>
      <c r="AW137" s="146">
        <v>0</v>
      </c>
      <c r="AX137" s="146">
        <f t="shared" si="21"/>
        <v>20392</v>
      </c>
      <c r="AY137" s="146">
        <f t="shared" si="20"/>
        <v>20392</v>
      </c>
      <c r="AZ137" s="140" t="s">
        <v>562</v>
      </c>
      <c r="BA137" s="140" t="s">
        <v>562</v>
      </c>
      <c r="BB137" s="137">
        <v>6</v>
      </c>
      <c r="BC137" s="148">
        <v>133</v>
      </c>
      <c r="BD137" s="149"/>
      <c r="BE137" s="145"/>
      <c r="BF137" s="150"/>
      <c r="BG137" s="151">
        <v>45992</v>
      </c>
      <c r="BH137" s="153" t="s">
        <v>535</v>
      </c>
      <c r="BI137" s="153" t="s">
        <v>562</v>
      </c>
      <c r="CC137" s="41"/>
      <c r="CD137" s="41"/>
      <c r="CE137" s="41"/>
      <c r="CF137" s="41"/>
      <c r="CG137" s="41"/>
      <c r="CH137" s="41"/>
      <c r="CI137" s="41"/>
      <c r="CJ137" s="41"/>
      <c r="CK137" s="41"/>
      <c r="CL137" s="41"/>
      <c r="CM137" s="41"/>
      <c r="CN137" s="41"/>
      <c r="CO137" s="41"/>
      <c r="CP137" s="41"/>
      <c r="CQ137" s="41"/>
      <c r="CR137" s="41"/>
      <c r="CS137" s="41"/>
      <c r="CT137" s="41"/>
      <c r="CU137" s="41"/>
      <c r="CV137" s="41"/>
      <c r="CW137" s="41"/>
      <c r="CX137" s="41"/>
      <c r="CY137" s="41"/>
      <c r="CZ137" s="41"/>
      <c r="DA137" s="41"/>
      <c r="DB137" s="41"/>
      <c r="DC137" s="41"/>
      <c r="DD137" s="41"/>
      <c r="DE137" s="41"/>
      <c r="DF137" s="41"/>
      <c r="DG137" s="41"/>
      <c r="DH137" s="41"/>
      <c r="DI137" s="41"/>
      <c r="DJ137" s="41"/>
      <c r="DK137" s="41"/>
      <c r="DL137" s="41"/>
      <c r="DM137" s="41"/>
      <c r="DN137" s="41"/>
      <c r="DO137" s="41"/>
      <c r="DP137" s="41"/>
      <c r="DQ137" s="41"/>
      <c r="DR137" s="41"/>
      <c r="DS137" s="41"/>
      <c r="DT137" s="41"/>
      <c r="DU137" s="41"/>
      <c r="DV137" s="41"/>
      <c r="DW137" s="41"/>
      <c r="DX137" s="41"/>
      <c r="DY137" s="41"/>
      <c r="DZ137" s="41"/>
      <c r="EA137" s="41"/>
      <c r="EB137" s="41"/>
      <c r="EC137" s="41"/>
      <c r="ED137" s="41"/>
      <c r="EE137" s="41"/>
      <c r="EF137" s="41"/>
      <c r="EG137" s="41"/>
      <c r="EH137" s="41"/>
      <c r="EI137" s="41"/>
      <c r="EJ137" s="41"/>
      <c r="EK137" s="41"/>
      <c r="EL137" s="41"/>
      <c r="EM137" s="41"/>
      <c r="EN137" s="41"/>
      <c r="EO137" s="41"/>
      <c r="EP137" s="41"/>
      <c r="EQ137" s="41"/>
      <c r="ER137" s="41"/>
      <c r="ES137" s="41"/>
      <c r="ET137" s="41"/>
      <c r="EU137" s="41"/>
      <c r="EV137" s="41"/>
      <c r="EW137" s="41"/>
      <c r="EX137" s="41"/>
      <c r="EY137" s="41"/>
      <c r="EZ137" s="41"/>
      <c r="FA137" s="41"/>
      <c r="FB137" s="41"/>
      <c r="FC137" s="41"/>
      <c r="FD137" s="41"/>
      <c r="FE137" s="41"/>
      <c r="FF137" s="41"/>
      <c r="FG137" s="41"/>
      <c r="FH137" s="41"/>
      <c r="FI137" s="41"/>
      <c r="FJ137" s="41"/>
      <c r="FK137" s="41"/>
      <c r="FL137" s="41"/>
      <c r="FM137" s="41"/>
      <c r="FN137" s="41"/>
      <c r="FO137" s="41"/>
      <c r="FP137" s="41"/>
      <c r="FQ137" s="41"/>
      <c r="FR137" s="41"/>
      <c r="FS137" s="41"/>
      <c r="FT137" s="41"/>
      <c r="FU137" s="41"/>
      <c r="FV137" s="41"/>
      <c r="FW137" s="41"/>
      <c r="FX137" s="41"/>
      <c r="FY137" s="41"/>
      <c r="FZ137" s="41"/>
      <c r="GA137" s="41"/>
      <c r="GB137" s="41"/>
      <c r="GC137" s="41"/>
      <c r="GD137" s="41"/>
      <c r="GE137" s="41"/>
      <c r="GF137" s="41"/>
      <c r="GG137" s="41"/>
      <c r="GH137" s="41"/>
      <c r="GI137" s="41"/>
      <c r="GJ137" s="41"/>
      <c r="GK137" s="41"/>
      <c r="GL137" s="41"/>
      <c r="GM137" s="41"/>
      <c r="GN137" s="41"/>
      <c r="GO137" s="41"/>
      <c r="GP137" s="41"/>
      <c r="GQ137" s="41"/>
      <c r="GR137" s="41"/>
      <c r="GS137" s="41"/>
      <c r="GT137" s="41"/>
      <c r="GU137" s="41"/>
      <c r="GV137" s="41"/>
      <c r="GW137" s="41"/>
      <c r="GX137" s="41"/>
      <c r="GY137" s="41"/>
      <c r="GZ137" s="41"/>
      <c r="HA137" s="41"/>
      <c r="HB137" s="41"/>
      <c r="HC137" s="41"/>
      <c r="HD137" s="41"/>
      <c r="HE137" s="41"/>
      <c r="HF137" s="41"/>
      <c r="HG137" s="41"/>
      <c r="HH137" s="41"/>
      <c r="HI137" s="41"/>
      <c r="HJ137" s="41"/>
      <c r="HK137" s="41"/>
      <c r="HL137" s="41"/>
      <c r="HM137" s="41"/>
      <c r="HN137" s="41"/>
      <c r="HO137" s="41"/>
      <c r="HP137" s="41"/>
      <c r="HQ137" s="41"/>
      <c r="HR137" s="41"/>
      <c r="HS137" s="41"/>
      <c r="HT137" s="41"/>
      <c r="HU137" s="41"/>
      <c r="HV137" s="41"/>
      <c r="HW137" s="41"/>
      <c r="HX137" s="41"/>
      <c r="HY137" s="41"/>
      <c r="HZ137" s="41"/>
      <c r="IA137" s="41"/>
      <c r="IB137" s="41"/>
      <c r="IC137" s="41"/>
      <c r="ID137" s="41"/>
      <c r="IE137" s="41"/>
      <c r="IF137" s="41"/>
      <c r="IG137" s="41"/>
      <c r="IH137" s="41"/>
      <c r="II137" s="41"/>
      <c r="IJ137" s="41"/>
      <c r="IK137" s="41"/>
      <c r="IL137" s="41"/>
      <c r="IM137" s="41"/>
      <c r="IN137" s="41"/>
      <c r="IO137" s="41"/>
      <c r="IP137" s="41"/>
      <c r="IQ137" s="41"/>
      <c r="IR137" s="41"/>
      <c r="IS137" s="41"/>
      <c r="IT137" s="41"/>
      <c r="IU137" s="41"/>
      <c r="IV137" s="41"/>
      <c r="IW137" s="41"/>
      <c r="IX137" s="41"/>
      <c r="IY137" s="41"/>
      <c r="IZ137" s="41"/>
      <c r="JA137" s="41"/>
      <c r="JB137" s="41"/>
      <c r="JC137" s="41"/>
      <c r="JD137" s="41"/>
      <c r="JE137" s="41"/>
      <c r="JF137" s="41"/>
      <c r="JG137" s="41"/>
      <c r="JH137" s="41"/>
      <c r="JI137" s="41"/>
      <c r="JJ137" s="41"/>
      <c r="JK137" s="41"/>
      <c r="JL137" s="41"/>
      <c r="JM137" s="41"/>
      <c r="JN137" s="41"/>
      <c r="JO137" s="41"/>
      <c r="JP137" s="41"/>
      <c r="JQ137" s="41"/>
      <c r="JR137" s="41"/>
      <c r="JS137" s="41"/>
      <c r="JT137" s="41"/>
      <c r="JU137" s="41"/>
      <c r="JV137" s="41"/>
      <c r="JW137" s="41"/>
      <c r="JX137" s="41"/>
      <c r="JY137" s="41"/>
      <c r="JZ137" s="41"/>
      <c r="KA137" s="41"/>
      <c r="KB137" s="41"/>
      <c r="KC137" s="41"/>
      <c r="KD137" s="41"/>
      <c r="KE137" s="41"/>
      <c r="KF137" s="41"/>
      <c r="KG137" s="41"/>
      <c r="KH137" s="41"/>
      <c r="KI137" s="41"/>
      <c r="KJ137" s="41"/>
      <c r="KK137" s="41"/>
      <c r="KL137" s="41"/>
      <c r="KM137" s="41"/>
      <c r="KN137" s="41"/>
      <c r="KO137" s="41"/>
      <c r="KP137" s="41"/>
      <c r="KQ137" s="41"/>
      <c r="KR137" s="41"/>
      <c r="KS137" s="41"/>
      <c r="KT137" s="41"/>
      <c r="KU137" s="41"/>
      <c r="KV137" s="41"/>
      <c r="KW137" s="41"/>
      <c r="KX137" s="41"/>
      <c r="KY137" s="41"/>
      <c r="KZ137" s="41"/>
      <c r="LA137" s="41"/>
      <c r="LB137" s="41"/>
      <c r="LC137" s="41"/>
      <c r="LD137" s="41"/>
      <c r="LE137" s="41"/>
      <c r="LF137" s="41"/>
      <c r="LG137" s="41"/>
      <c r="LH137" s="41"/>
      <c r="LI137" s="41"/>
      <c r="LJ137" s="41"/>
      <c r="LK137" s="41"/>
      <c r="LL137" s="41"/>
      <c r="LM137" s="41"/>
      <c r="LN137" s="41"/>
      <c r="LO137" s="41"/>
      <c r="LP137" s="41"/>
      <c r="LQ137" s="41"/>
      <c r="LR137" s="41"/>
      <c r="LS137" s="41"/>
      <c r="LT137" s="41"/>
      <c r="LU137" s="41"/>
      <c r="LV137" s="41"/>
      <c r="LW137" s="41"/>
      <c r="LX137" s="41"/>
      <c r="LY137" s="41"/>
      <c r="LZ137" s="41"/>
      <c r="MA137" s="41"/>
      <c r="MB137" s="41"/>
      <c r="MC137" s="41"/>
      <c r="MD137" s="41"/>
      <c r="ME137" s="41"/>
      <c r="MF137" s="41"/>
      <c r="MG137" s="41"/>
      <c r="MH137" s="41"/>
      <c r="MI137" s="41"/>
      <c r="MJ137" s="41"/>
      <c r="MK137" s="41"/>
      <c r="ML137" s="41"/>
      <c r="MM137" s="41"/>
      <c r="MN137" s="41"/>
      <c r="MO137" s="41"/>
      <c r="MP137" s="41"/>
      <c r="MQ137" s="41"/>
      <c r="MR137" s="41"/>
      <c r="MS137" s="41"/>
      <c r="MT137" s="41"/>
      <c r="MU137" s="41"/>
      <c r="MV137" s="41"/>
      <c r="MW137" s="41"/>
      <c r="MX137" s="41"/>
      <c r="MY137" s="41"/>
      <c r="MZ137" s="41"/>
      <c r="NA137" s="41"/>
      <c r="NB137" s="41"/>
      <c r="NC137" s="41"/>
      <c r="ND137" s="41"/>
      <c r="NE137" s="41"/>
      <c r="NF137" s="41"/>
      <c r="NG137" s="41"/>
      <c r="NH137" s="41"/>
      <c r="NI137" s="41"/>
      <c r="NJ137" s="41"/>
      <c r="NK137" s="41"/>
      <c r="NL137" s="41"/>
      <c r="NM137" s="41"/>
      <c r="NN137" s="41"/>
      <c r="NO137" s="41"/>
      <c r="NP137" s="41"/>
      <c r="NQ137" s="41"/>
      <c r="NR137" s="41"/>
      <c r="NS137" s="41"/>
      <c r="NT137" s="41"/>
      <c r="NU137" s="41"/>
      <c r="NV137" s="41"/>
      <c r="NW137" s="41"/>
      <c r="NX137" s="41"/>
      <c r="NY137" s="41"/>
      <c r="NZ137" s="41"/>
      <c r="OA137" s="41"/>
      <c r="OB137" s="41"/>
      <c r="OC137" s="41"/>
      <c r="OD137" s="41"/>
      <c r="OE137" s="41"/>
      <c r="OF137" s="41"/>
      <c r="OG137" s="41"/>
      <c r="OH137" s="41"/>
      <c r="OI137" s="41"/>
      <c r="OJ137" s="41"/>
      <c r="OK137" s="41"/>
      <c r="OL137" s="41"/>
      <c r="OM137" s="41"/>
      <c r="ON137" s="41"/>
      <c r="OO137" s="41"/>
      <c r="OP137" s="41"/>
      <c r="OQ137" s="41"/>
      <c r="OR137" s="41"/>
      <c r="OS137" s="41"/>
      <c r="OT137" s="41"/>
      <c r="OU137" s="41"/>
      <c r="OV137" s="41"/>
      <c r="OW137" s="41"/>
      <c r="OX137" s="41"/>
      <c r="OY137" s="41"/>
      <c r="OZ137" s="41"/>
      <c r="PA137" s="41"/>
      <c r="PB137" s="41"/>
      <c r="PC137" s="41"/>
      <c r="PD137" s="41"/>
      <c r="PE137" s="41"/>
      <c r="PF137" s="41"/>
      <c r="PG137" s="41"/>
      <c r="PH137" s="41"/>
      <c r="PI137" s="41"/>
      <c r="PJ137" s="41"/>
      <c r="PK137" s="41"/>
      <c r="PL137" s="41"/>
      <c r="PM137" s="41"/>
      <c r="PN137" s="41"/>
      <c r="PO137" s="41"/>
      <c r="PP137" s="41"/>
      <c r="PQ137" s="41"/>
      <c r="PR137" s="41"/>
      <c r="PS137" s="41"/>
      <c r="PT137" s="41"/>
      <c r="PU137" s="41"/>
      <c r="PV137" s="41"/>
      <c r="PW137" s="41"/>
      <c r="PX137" s="41"/>
      <c r="PY137" s="41"/>
      <c r="PZ137" s="41"/>
      <c r="QA137" s="41"/>
      <c r="QB137" s="41"/>
      <c r="QC137" s="41"/>
      <c r="QD137" s="41"/>
      <c r="QE137" s="41"/>
      <c r="QF137" s="41"/>
      <c r="QG137" s="41"/>
      <c r="QH137" s="41"/>
      <c r="QI137" s="41"/>
      <c r="QJ137" s="41"/>
      <c r="QK137" s="41"/>
      <c r="QL137" s="41"/>
      <c r="QM137" s="41"/>
      <c r="QN137" s="41"/>
      <c r="QO137" s="41"/>
      <c r="QP137" s="41"/>
      <c r="QQ137" s="41"/>
      <c r="QR137" s="41"/>
      <c r="QS137" s="41"/>
      <c r="QT137" s="41"/>
      <c r="QU137" s="41"/>
      <c r="QV137" s="41"/>
      <c r="QW137" s="41"/>
      <c r="QX137" s="41"/>
      <c r="QY137" s="41"/>
      <c r="QZ137" s="41"/>
      <c r="RA137" s="41"/>
      <c r="RB137" s="41"/>
      <c r="RC137" s="41"/>
      <c r="RD137" s="41"/>
      <c r="RE137" s="41"/>
      <c r="RF137" s="41"/>
      <c r="RG137" s="41"/>
      <c r="RH137" s="41"/>
      <c r="RI137" s="41"/>
      <c r="RJ137" s="41"/>
      <c r="RK137" s="41"/>
      <c r="RL137" s="41"/>
      <c r="RM137" s="41"/>
      <c r="RN137" s="41"/>
      <c r="RO137" s="41"/>
      <c r="RP137" s="41"/>
      <c r="RQ137" s="41"/>
      <c r="RR137" s="41"/>
      <c r="RS137" s="41"/>
      <c r="RT137" s="41"/>
      <c r="RU137" s="41"/>
      <c r="RV137" s="41"/>
      <c r="RW137" s="41"/>
      <c r="RX137" s="41"/>
      <c r="RY137" s="41"/>
      <c r="RZ137" s="41"/>
      <c r="SA137" s="41"/>
      <c r="SB137" s="41"/>
      <c r="SC137" s="41"/>
      <c r="SD137" s="41"/>
      <c r="SE137" s="41"/>
      <c r="SF137" s="41"/>
      <c r="SG137" s="41"/>
      <c r="SH137" s="41"/>
      <c r="SI137" s="41"/>
      <c r="SJ137" s="41"/>
      <c r="SK137" s="41"/>
      <c r="SL137" s="41"/>
      <c r="SM137" s="41"/>
      <c r="SN137" s="41"/>
      <c r="SO137" s="41"/>
      <c r="SP137" s="41"/>
      <c r="SQ137" s="41"/>
      <c r="SR137" s="41"/>
      <c r="SS137" s="41"/>
      <c r="ST137" s="41"/>
      <c r="SU137" s="41"/>
      <c r="SV137" s="41"/>
      <c r="SW137" s="41"/>
      <c r="SX137" s="41"/>
      <c r="SY137" s="41"/>
      <c r="SZ137" s="41"/>
      <c r="TA137" s="41"/>
      <c r="TB137" s="41"/>
      <c r="TC137" s="41"/>
      <c r="TD137" s="41"/>
      <c r="TE137" s="41"/>
      <c r="TF137" s="41"/>
      <c r="TG137" s="41"/>
      <c r="TH137" s="41"/>
      <c r="TI137" s="41"/>
      <c r="TJ137" s="41"/>
      <c r="TK137" s="41"/>
      <c r="TL137" s="41"/>
      <c r="TM137" s="41"/>
      <c r="TN137" s="41"/>
      <c r="TO137" s="41"/>
      <c r="TP137" s="41"/>
      <c r="TQ137" s="41"/>
      <c r="TR137" s="41"/>
      <c r="TS137" s="41"/>
      <c r="TT137" s="41"/>
      <c r="TU137" s="41"/>
      <c r="TV137" s="41"/>
      <c r="TW137" s="41"/>
      <c r="TX137" s="41"/>
      <c r="TY137" s="41"/>
      <c r="TZ137" s="41"/>
      <c r="UA137" s="41"/>
      <c r="UB137" s="41"/>
      <c r="UC137" s="41"/>
      <c r="UD137" s="41"/>
      <c r="UE137" s="41"/>
      <c r="UF137" s="41"/>
      <c r="UG137" s="41"/>
      <c r="UH137" s="41"/>
      <c r="UI137" s="41"/>
      <c r="UJ137" s="41"/>
      <c r="UK137" s="41"/>
      <c r="UL137" s="41"/>
      <c r="UM137" s="41"/>
      <c r="UN137" s="41"/>
      <c r="UO137" s="41"/>
      <c r="UP137" s="41"/>
      <c r="UQ137" s="41"/>
      <c r="UR137" s="41"/>
      <c r="US137" s="41"/>
      <c r="UT137" s="41"/>
      <c r="UU137" s="41"/>
      <c r="UV137" s="41"/>
      <c r="UW137" s="41"/>
      <c r="UX137" s="41"/>
      <c r="UY137" s="41"/>
      <c r="UZ137" s="41"/>
      <c r="VA137" s="41"/>
      <c r="VB137" s="41"/>
      <c r="VC137" s="41"/>
      <c r="VD137" s="41"/>
      <c r="VE137" s="41"/>
      <c r="VF137" s="41"/>
      <c r="VG137" s="41"/>
      <c r="VH137" s="41"/>
      <c r="VI137" s="41"/>
      <c r="VJ137" s="41"/>
      <c r="VK137" s="41"/>
      <c r="VL137" s="41"/>
      <c r="VM137" s="41"/>
      <c r="VN137" s="41"/>
      <c r="VO137" s="41"/>
      <c r="VP137" s="41"/>
      <c r="VQ137" s="41"/>
      <c r="VR137" s="41"/>
      <c r="VS137" s="41"/>
      <c r="VT137" s="41"/>
      <c r="VU137" s="41"/>
      <c r="VV137" s="41"/>
      <c r="VW137" s="41"/>
      <c r="VX137" s="41"/>
      <c r="VY137" s="41"/>
      <c r="VZ137" s="41"/>
      <c r="WA137" s="41"/>
      <c r="WB137" s="41"/>
      <c r="WC137" s="41"/>
      <c r="WD137" s="41"/>
      <c r="WE137" s="41"/>
      <c r="WF137" s="41"/>
      <c r="WG137" s="41"/>
      <c r="WH137" s="41"/>
      <c r="WI137" s="41"/>
      <c r="WJ137" s="41"/>
      <c r="WK137" s="41"/>
      <c r="WL137" s="41"/>
      <c r="WM137" s="41"/>
      <c r="WN137" s="41"/>
      <c r="WO137" s="41"/>
      <c r="WP137" s="41"/>
      <c r="WQ137" s="41"/>
      <c r="WR137" s="41"/>
      <c r="WS137" s="41"/>
      <c r="WT137" s="41"/>
      <c r="WU137" s="41"/>
      <c r="WV137" s="41"/>
      <c r="WW137" s="41"/>
      <c r="WX137" s="41"/>
      <c r="WY137" s="41"/>
      <c r="WZ137" s="41"/>
      <c r="XA137" s="41"/>
      <c r="XB137" s="41"/>
      <c r="XC137" s="41"/>
      <c r="XD137" s="41"/>
      <c r="XE137" s="41"/>
      <c r="XF137" s="41"/>
      <c r="XG137" s="41"/>
      <c r="XH137" s="41"/>
      <c r="XI137" s="41"/>
      <c r="XJ137" s="41"/>
      <c r="XK137" s="41"/>
      <c r="XL137" s="41"/>
      <c r="XM137" s="41"/>
      <c r="XN137" s="41"/>
      <c r="XO137" s="41"/>
      <c r="XP137" s="41"/>
      <c r="XQ137" s="41"/>
      <c r="XR137" s="41"/>
      <c r="XS137" s="41"/>
      <c r="XT137" s="41"/>
      <c r="XU137" s="41"/>
      <c r="XV137" s="41"/>
      <c r="XW137" s="41"/>
      <c r="XX137" s="41"/>
      <c r="XY137" s="41"/>
      <c r="XZ137" s="41"/>
      <c r="YA137" s="41"/>
      <c r="YB137" s="41"/>
      <c r="YC137" s="41"/>
      <c r="YD137" s="41"/>
      <c r="YE137" s="41"/>
      <c r="YF137" s="41"/>
      <c r="YG137" s="41"/>
      <c r="YH137" s="41"/>
      <c r="YI137" s="41"/>
      <c r="YJ137" s="41"/>
      <c r="YK137" s="41"/>
      <c r="YL137" s="41"/>
      <c r="YM137" s="41"/>
      <c r="YN137" s="41"/>
      <c r="YO137" s="41"/>
      <c r="YP137" s="41"/>
      <c r="YQ137" s="41"/>
      <c r="YR137" s="41"/>
      <c r="YS137" s="41"/>
      <c r="YT137" s="41"/>
      <c r="YU137" s="41"/>
      <c r="YV137" s="41"/>
      <c r="YW137" s="41"/>
      <c r="YX137" s="41"/>
      <c r="YY137" s="41"/>
      <c r="YZ137" s="41"/>
      <c r="ZA137" s="41"/>
      <c r="ZB137" s="41"/>
      <c r="ZC137" s="41"/>
      <c r="ZD137" s="41"/>
      <c r="ZE137" s="41"/>
      <c r="ZF137" s="41"/>
      <c r="ZG137" s="41"/>
      <c r="ZH137" s="41"/>
      <c r="ZI137" s="41"/>
      <c r="ZJ137" s="41"/>
      <c r="ZK137" s="41"/>
      <c r="ZL137" s="41"/>
      <c r="ZM137" s="41"/>
      <c r="ZN137" s="41"/>
      <c r="ZO137" s="41"/>
      <c r="ZP137" s="41"/>
      <c r="ZQ137" s="41"/>
      <c r="ZR137" s="41"/>
      <c r="ZS137" s="41"/>
      <c r="ZT137" s="41"/>
      <c r="ZU137" s="41"/>
      <c r="ZV137" s="41"/>
      <c r="ZW137" s="41"/>
      <c r="ZX137" s="41"/>
      <c r="ZY137" s="41"/>
      <c r="ZZ137" s="41"/>
      <c r="AAA137" s="41"/>
      <c r="AAB137" s="41"/>
      <c r="AAC137" s="41"/>
    </row>
    <row r="138" spans="1:705" s="42" customFormat="1" ht="44.1" hidden="1" customHeight="1" x14ac:dyDescent="0.3">
      <c r="A138" s="26">
        <v>134</v>
      </c>
      <c r="B138" s="137">
        <v>240328</v>
      </c>
      <c r="C138" s="138">
        <v>134</v>
      </c>
      <c r="D138" s="139">
        <v>45935</v>
      </c>
      <c r="E138" s="139">
        <f t="shared" si="23"/>
        <v>45934</v>
      </c>
      <c r="F138" s="139">
        <f t="shared" si="22"/>
        <v>45945</v>
      </c>
      <c r="G138" s="139">
        <v>45995</v>
      </c>
      <c r="H138" s="139">
        <v>45973</v>
      </c>
      <c r="I138" s="139" t="s">
        <v>123</v>
      </c>
      <c r="J138" s="140" t="s">
        <v>367</v>
      </c>
      <c r="K138" s="141">
        <f t="shared" si="24"/>
        <v>28</v>
      </c>
      <c r="L138" s="141">
        <v>1150802</v>
      </c>
      <c r="M138" s="140" t="s">
        <v>15</v>
      </c>
      <c r="N138" s="140">
        <v>805646</v>
      </c>
      <c r="O138" s="137" t="s">
        <v>246</v>
      </c>
      <c r="P138" s="143">
        <v>45957</v>
      </c>
      <c r="Q138" s="143">
        <v>46128</v>
      </c>
      <c r="R138" s="157" t="s">
        <v>211</v>
      </c>
      <c r="S138" s="144" t="s">
        <v>368</v>
      </c>
      <c r="T138" s="145">
        <v>1</v>
      </c>
      <c r="U138" s="137" t="s">
        <v>369</v>
      </c>
      <c r="V138" s="146">
        <v>55</v>
      </c>
      <c r="W138" s="146">
        <v>55</v>
      </c>
      <c r="X138" s="147">
        <v>0</v>
      </c>
      <c r="Y138" s="146">
        <v>0</v>
      </c>
      <c r="Z138" s="146">
        <v>0</v>
      </c>
      <c r="AA138" s="146">
        <v>0</v>
      </c>
      <c r="AB138" s="146">
        <v>55</v>
      </c>
      <c r="AC138" s="146">
        <v>55</v>
      </c>
      <c r="AD138" s="146">
        <v>0</v>
      </c>
      <c r="AE138" s="146">
        <v>0</v>
      </c>
      <c r="AF138" s="146">
        <v>0</v>
      </c>
      <c r="AG138" s="146">
        <v>0</v>
      </c>
      <c r="AH138" s="146">
        <v>1</v>
      </c>
      <c r="AI138" s="146">
        <v>1</v>
      </c>
      <c r="AJ138" s="146">
        <v>0</v>
      </c>
      <c r="AK138" s="146">
        <v>0</v>
      </c>
      <c r="AL138" s="146">
        <v>0</v>
      </c>
      <c r="AM138" s="146"/>
      <c r="AN138" s="146">
        <v>2</v>
      </c>
      <c r="AO138" s="146">
        <v>2</v>
      </c>
      <c r="AP138" s="146">
        <v>2</v>
      </c>
      <c r="AQ138" s="146">
        <v>2</v>
      </c>
      <c r="AR138" s="146">
        <v>0</v>
      </c>
      <c r="AS138" s="146">
        <v>0</v>
      </c>
      <c r="AT138" s="146">
        <v>1</v>
      </c>
      <c r="AU138" s="146">
        <v>1</v>
      </c>
      <c r="AV138" s="146">
        <v>0</v>
      </c>
      <c r="AW138" s="146">
        <v>0</v>
      </c>
      <c r="AX138" s="146">
        <f t="shared" si="21"/>
        <v>8335</v>
      </c>
      <c r="AY138" s="146">
        <f t="shared" si="20"/>
        <v>8335</v>
      </c>
      <c r="AZ138" s="140" t="s">
        <v>562</v>
      </c>
      <c r="BA138" s="140" t="s">
        <v>562</v>
      </c>
      <c r="BB138" s="137">
        <v>3</v>
      </c>
      <c r="BC138" s="148">
        <v>134</v>
      </c>
      <c r="BD138" s="149"/>
      <c r="BE138" s="145"/>
      <c r="BF138" s="150"/>
      <c r="BG138" s="151">
        <v>45962</v>
      </c>
      <c r="BH138" s="153" t="s">
        <v>535</v>
      </c>
      <c r="BI138" s="153" t="s">
        <v>562</v>
      </c>
      <c r="CC138" s="41"/>
      <c r="CD138" s="41"/>
      <c r="CE138" s="41"/>
      <c r="CF138" s="41"/>
      <c r="CG138" s="41"/>
      <c r="CH138" s="41"/>
      <c r="CI138" s="41"/>
      <c r="CJ138" s="41"/>
      <c r="CK138" s="41"/>
      <c r="CL138" s="41"/>
      <c r="CM138" s="41"/>
      <c r="CN138" s="41"/>
      <c r="CO138" s="41"/>
      <c r="CP138" s="41"/>
      <c r="CQ138" s="41"/>
      <c r="CR138" s="41"/>
      <c r="CS138" s="41"/>
      <c r="CT138" s="41"/>
      <c r="CU138" s="41"/>
      <c r="CV138" s="41"/>
      <c r="CW138" s="41"/>
      <c r="CX138" s="41"/>
      <c r="CY138" s="41"/>
      <c r="CZ138" s="41"/>
      <c r="DA138" s="41"/>
      <c r="DB138" s="41"/>
      <c r="DC138" s="41"/>
      <c r="DD138" s="41"/>
      <c r="DE138" s="41"/>
      <c r="DF138" s="41"/>
      <c r="DG138" s="41"/>
      <c r="DH138" s="41"/>
      <c r="DI138" s="41"/>
      <c r="DJ138" s="41"/>
      <c r="DK138" s="41"/>
      <c r="DL138" s="41"/>
      <c r="DM138" s="41"/>
      <c r="DN138" s="41"/>
      <c r="DO138" s="41"/>
      <c r="DP138" s="41"/>
      <c r="DQ138" s="41"/>
      <c r="DR138" s="41"/>
      <c r="DS138" s="41"/>
      <c r="DT138" s="41"/>
      <c r="DU138" s="41"/>
      <c r="DV138" s="41"/>
      <c r="DW138" s="41"/>
      <c r="DX138" s="41"/>
      <c r="DY138" s="41"/>
      <c r="DZ138" s="41"/>
      <c r="EA138" s="41"/>
      <c r="EB138" s="41"/>
      <c r="EC138" s="41"/>
      <c r="ED138" s="41"/>
      <c r="EE138" s="41"/>
      <c r="EF138" s="41"/>
      <c r="EG138" s="41"/>
      <c r="EH138" s="41"/>
      <c r="EI138" s="41"/>
      <c r="EJ138" s="41"/>
      <c r="EK138" s="41"/>
      <c r="EL138" s="41"/>
      <c r="EM138" s="41"/>
      <c r="EN138" s="41"/>
      <c r="EO138" s="41"/>
      <c r="EP138" s="41"/>
      <c r="EQ138" s="41"/>
      <c r="ER138" s="41"/>
      <c r="ES138" s="41"/>
      <c r="ET138" s="41"/>
      <c r="EU138" s="41"/>
      <c r="EV138" s="41"/>
      <c r="EW138" s="41"/>
      <c r="EX138" s="41"/>
      <c r="EY138" s="41"/>
      <c r="EZ138" s="41"/>
      <c r="FA138" s="41"/>
      <c r="FB138" s="41"/>
      <c r="FC138" s="41"/>
      <c r="FD138" s="41"/>
      <c r="FE138" s="41"/>
      <c r="FF138" s="41"/>
      <c r="FG138" s="41"/>
      <c r="FH138" s="41"/>
      <c r="FI138" s="41"/>
      <c r="FJ138" s="41"/>
      <c r="FK138" s="41"/>
      <c r="FL138" s="41"/>
      <c r="FM138" s="41"/>
      <c r="FN138" s="41"/>
      <c r="FO138" s="41"/>
      <c r="FP138" s="41"/>
      <c r="FQ138" s="41"/>
      <c r="FR138" s="41"/>
      <c r="FS138" s="41"/>
      <c r="FT138" s="41"/>
      <c r="FU138" s="41"/>
      <c r="FV138" s="41"/>
      <c r="FW138" s="41"/>
      <c r="FX138" s="41"/>
      <c r="FY138" s="41"/>
      <c r="FZ138" s="41"/>
      <c r="GA138" s="41"/>
      <c r="GB138" s="41"/>
      <c r="GC138" s="41"/>
      <c r="GD138" s="41"/>
      <c r="GE138" s="41"/>
      <c r="GF138" s="41"/>
      <c r="GG138" s="41"/>
      <c r="GH138" s="41"/>
      <c r="GI138" s="41"/>
      <c r="GJ138" s="41"/>
      <c r="GK138" s="41"/>
      <c r="GL138" s="41"/>
      <c r="GM138" s="41"/>
      <c r="GN138" s="41"/>
      <c r="GO138" s="41"/>
      <c r="GP138" s="41"/>
      <c r="GQ138" s="41"/>
      <c r="GR138" s="41"/>
      <c r="GS138" s="41"/>
      <c r="GT138" s="41"/>
      <c r="GU138" s="41"/>
      <c r="GV138" s="41"/>
      <c r="GW138" s="41"/>
      <c r="GX138" s="41"/>
      <c r="GY138" s="41"/>
      <c r="GZ138" s="41"/>
      <c r="HA138" s="41"/>
      <c r="HB138" s="41"/>
      <c r="HC138" s="41"/>
      <c r="HD138" s="41"/>
      <c r="HE138" s="41"/>
      <c r="HF138" s="41"/>
      <c r="HG138" s="41"/>
      <c r="HH138" s="41"/>
      <c r="HI138" s="41"/>
      <c r="HJ138" s="41"/>
      <c r="HK138" s="41"/>
      <c r="HL138" s="41"/>
      <c r="HM138" s="41"/>
      <c r="HN138" s="41"/>
      <c r="HO138" s="41"/>
      <c r="HP138" s="41"/>
      <c r="HQ138" s="41"/>
      <c r="HR138" s="41"/>
      <c r="HS138" s="41"/>
      <c r="HT138" s="41"/>
      <c r="HU138" s="41"/>
      <c r="HV138" s="41"/>
      <c r="HW138" s="41"/>
      <c r="HX138" s="41"/>
      <c r="HY138" s="41"/>
      <c r="HZ138" s="41"/>
      <c r="IA138" s="41"/>
      <c r="IB138" s="41"/>
      <c r="IC138" s="41"/>
      <c r="ID138" s="41"/>
      <c r="IE138" s="41"/>
      <c r="IF138" s="41"/>
      <c r="IG138" s="41"/>
      <c r="IH138" s="41"/>
      <c r="II138" s="41"/>
      <c r="IJ138" s="41"/>
      <c r="IK138" s="41"/>
      <c r="IL138" s="41"/>
      <c r="IM138" s="41"/>
      <c r="IN138" s="41"/>
      <c r="IO138" s="41"/>
      <c r="IP138" s="41"/>
      <c r="IQ138" s="41"/>
      <c r="IR138" s="41"/>
      <c r="IS138" s="41"/>
      <c r="IT138" s="41"/>
      <c r="IU138" s="41"/>
      <c r="IV138" s="41"/>
      <c r="IW138" s="41"/>
      <c r="IX138" s="41"/>
      <c r="IY138" s="41"/>
      <c r="IZ138" s="41"/>
      <c r="JA138" s="41"/>
      <c r="JB138" s="41"/>
      <c r="JC138" s="41"/>
      <c r="JD138" s="41"/>
      <c r="JE138" s="41"/>
      <c r="JF138" s="41"/>
      <c r="JG138" s="41"/>
      <c r="JH138" s="41"/>
      <c r="JI138" s="41"/>
      <c r="JJ138" s="41"/>
      <c r="JK138" s="41"/>
      <c r="JL138" s="41"/>
      <c r="JM138" s="41"/>
      <c r="JN138" s="41"/>
      <c r="JO138" s="41"/>
      <c r="JP138" s="41"/>
      <c r="JQ138" s="41"/>
      <c r="JR138" s="41"/>
      <c r="JS138" s="41"/>
      <c r="JT138" s="41"/>
      <c r="JU138" s="41"/>
      <c r="JV138" s="41"/>
      <c r="JW138" s="41"/>
      <c r="JX138" s="41"/>
      <c r="JY138" s="41"/>
      <c r="JZ138" s="41"/>
      <c r="KA138" s="41"/>
      <c r="KB138" s="41"/>
      <c r="KC138" s="41"/>
      <c r="KD138" s="41"/>
      <c r="KE138" s="41"/>
      <c r="KF138" s="41"/>
      <c r="KG138" s="41"/>
      <c r="KH138" s="41"/>
      <c r="KI138" s="41"/>
      <c r="KJ138" s="41"/>
      <c r="KK138" s="41"/>
      <c r="KL138" s="41"/>
      <c r="KM138" s="41"/>
      <c r="KN138" s="41"/>
      <c r="KO138" s="41"/>
      <c r="KP138" s="41"/>
      <c r="KQ138" s="41"/>
      <c r="KR138" s="41"/>
      <c r="KS138" s="41"/>
      <c r="KT138" s="41"/>
      <c r="KU138" s="41"/>
      <c r="KV138" s="41"/>
      <c r="KW138" s="41"/>
      <c r="KX138" s="41"/>
      <c r="KY138" s="41"/>
      <c r="KZ138" s="41"/>
      <c r="LA138" s="41"/>
      <c r="LB138" s="41"/>
      <c r="LC138" s="41"/>
      <c r="LD138" s="41"/>
      <c r="LE138" s="41"/>
      <c r="LF138" s="41"/>
      <c r="LG138" s="41"/>
      <c r="LH138" s="41"/>
      <c r="LI138" s="41"/>
      <c r="LJ138" s="41"/>
      <c r="LK138" s="41"/>
      <c r="LL138" s="41"/>
      <c r="LM138" s="41"/>
      <c r="LN138" s="41"/>
      <c r="LO138" s="41"/>
      <c r="LP138" s="41"/>
      <c r="LQ138" s="41"/>
      <c r="LR138" s="41"/>
      <c r="LS138" s="41"/>
      <c r="LT138" s="41"/>
      <c r="LU138" s="41"/>
      <c r="LV138" s="41"/>
      <c r="LW138" s="41"/>
      <c r="LX138" s="41"/>
      <c r="LY138" s="41"/>
      <c r="LZ138" s="41"/>
      <c r="MA138" s="41"/>
      <c r="MB138" s="41"/>
      <c r="MC138" s="41"/>
      <c r="MD138" s="41"/>
      <c r="ME138" s="41"/>
      <c r="MF138" s="41"/>
      <c r="MG138" s="41"/>
      <c r="MH138" s="41"/>
      <c r="MI138" s="41"/>
      <c r="MJ138" s="41"/>
      <c r="MK138" s="41"/>
      <c r="ML138" s="41"/>
      <c r="MM138" s="41"/>
      <c r="MN138" s="41"/>
      <c r="MO138" s="41"/>
      <c r="MP138" s="41"/>
      <c r="MQ138" s="41"/>
      <c r="MR138" s="41"/>
      <c r="MS138" s="41"/>
      <c r="MT138" s="41"/>
      <c r="MU138" s="41"/>
      <c r="MV138" s="41"/>
      <c r="MW138" s="41"/>
      <c r="MX138" s="41"/>
      <c r="MY138" s="41"/>
      <c r="MZ138" s="41"/>
      <c r="NA138" s="41"/>
      <c r="NB138" s="41"/>
      <c r="NC138" s="41"/>
      <c r="ND138" s="41"/>
      <c r="NE138" s="41"/>
      <c r="NF138" s="41"/>
      <c r="NG138" s="41"/>
      <c r="NH138" s="41"/>
      <c r="NI138" s="41"/>
      <c r="NJ138" s="41"/>
      <c r="NK138" s="41"/>
      <c r="NL138" s="41"/>
      <c r="NM138" s="41"/>
      <c r="NN138" s="41"/>
      <c r="NO138" s="41"/>
      <c r="NP138" s="41"/>
      <c r="NQ138" s="41"/>
      <c r="NR138" s="41"/>
      <c r="NS138" s="41"/>
      <c r="NT138" s="41"/>
      <c r="NU138" s="41"/>
      <c r="NV138" s="41"/>
      <c r="NW138" s="41"/>
      <c r="NX138" s="41"/>
      <c r="NY138" s="41"/>
      <c r="NZ138" s="41"/>
      <c r="OA138" s="41"/>
      <c r="OB138" s="41"/>
      <c r="OC138" s="41"/>
      <c r="OD138" s="41"/>
      <c r="OE138" s="41"/>
      <c r="OF138" s="41"/>
      <c r="OG138" s="41"/>
      <c r="OH138" s="41"/>
      <c r="OI138" s="41"/>
      <c r="OJ138" s="41"/>
      <c r="OK138" s="41"/>
      <c r="OL138" s="41"/>
      <c r="OM138" s="41"/>
      <c r="ON138" s="41"/>
      <c r="OO138" s="41"/>
      <c r="OP138" s="41"/>
      <c r="OQ138" s="41"/>
      <c r="OR138" s="41"/>
      <c r="OS138" s="41"/>
      <c r="OT138" s="41"/>
      <c r="OU138" s="41"/>
      <c r="OV138" s="41"/>
      <c r="OW138" s="41"/>
      <c r="OX138" s="41"/>
      <c r="OY138" s="41"/>
      <c r="OZ138" s="41"/>
      <c r="PA138" s="41"/>
      <c r="PB138" s="41"/>
      <c r="PC138" s="41"/>
      <c r="PD138" s="41"/>
      <c r="PE138" s="41"/>
      <c r="PF138" s="41"/>
      <c r="PG138" s="41"/>
      <c r="PH138" s="41"/>
      <c r="PI138" s="41"/>
      <c r="PJ138" s="41"/>
      <c r="PK138" s="41"/>
      <c r="PL138" s="41"/>
      <c r="PM138" s="41"/>
      <c r="PN138" s="41"/>
      <c r="PO138" s="41"/>
      <c r="PP138" s="41"/>
      <c r="PQ138" s="41"/>
      <c r="PR138" s="41"/>
      <c r="PS138" s="41"/>
      <c r="PT138" s="41"/>
      <c r="PU138" s="41"/>
      <c r="PV138" s="41"/>
      <c r="PW138" s="41"/>
      <c r="PX138" s="41"/>
      <c r="PY138" s="41"/>
      <c r="PZ138" s="41"/>
      <c r="QA138" s="41"/>
      <c r="QB138" s="41"/>
      <c r="QC138" s="41"/>
      <c r="QD138" s="41"/>
      <c r="QE138" s="41"/>
      <c r="QF138" s="41"/>
      <c r="QG138" s="41"/>
      <c r="QH138" s="41"/>
      <c r="QI138" s="41"/>
      <c r="QJ138" s="41"/>
      <c r="QK138" s="41"/>
      <c r="QL138" s="41"/>
      <c r="QM138" s="41"/>
      <c r="QN138" s="41"/>
      <c r="QO138" s="41"/>
      <c r="QP138" s="41"/>
      <c r="QQ138" s="41"/>
      <c r="QR138" s="41"/>
      <c r="QS138" s="41"/>
      <c r="QT138" s="41"/>
      <c r="QU138" s="41"/>
      <c r="QV138" s="41"/>
      <c r="QW138" s="41"/>
      <c r="QX138" s="41"/>
      <c r="QY138" s="41"/>
      <c r="QZ138" s="41"/>
      <c r="RA138" s="41"/>
      <c r="RB138" s="41"/>
      <c r="RC138" s="41"/>
      <c r="RD138" s="41"/>
      <c r="RE138" s="41"/>
      <c r="RF138" s="41"/>
      <c r="RG138" s="41"/>
      <c r="RH138" s="41"/>
      <c r="RI138" s="41"/>
      <c r="RJ138" s="41"/>
      <c r="RK138" s="41"/>
      <c r="RL138" s="41"/>
      <c r="RM138" s="41"/>
      <c r="RN138" s="41"/>
      <c r="RO138" s="41"/>
      <c r="RP138" s="41"/>
      <c r="RQ138" s="41"/>
      <c r="RR138" s="41"/>
      <c r="RS138" s="41"/>
      <c r="RT138" s="41"/>
      <c r="RU138" s="41"/>
      <c r="RV138" s="41"/>
      <c r="RW138" s="41"/>
      <c r="RX138" s="41"/>
      <c r="RY138" s="41"/>
      <c r="RZ138" s="41"/>
      <c r="SA138" s="41"/>
      <c r="SB138" s="41"/>
      <c r="SC138" s="41"/>
      <c r="SD138" s="41"/>
      <c r="SE138" s="41"/>
      <c r="SF138" s="41"/>
      <c r="SG138" s="41"/>
      <c r="SH138" s="41"/>
      <c r="SI138" s="41"/>
      <c r="SJ138" s="41"/>
      <c r="SK138" s="41"/>
      <c r="SL138" s="41"/>
      <c r="SM138" s="41"/>
      <c r="SN138" s="41"/>
      <c r="SO138" s="41"/>
      <c r="SP138" s="41"/>
      <c r="SQ138" s="41"/>
      <c r="SR138" s="41"/>
      <c r="SS138" s="41"/>
      <c r="ST138" s="41"/>
      <c r="SU138" s="41"/>
      <c r="SV138" s="41"/>
      <c r="SW138" s="41"/>
      <c r="SX138" s="41"/>
      <c r="SY138" s="41"/>
      <c r="SZ138" s="41"/>
      <c r="TA138" s="41"/>
      <c r="TB138" s="41"/>
      <c r="TC138" s="41"/>
      <c r="TD138" s="41"/>
      <c r="TE138" s="41"/>
      <c r="TF138" s="41"/>
      <c r="TG138" s="41"/>
      <c r="TH138" s="41"/>
      <c r="TI138" s="41"/>
      <c r="TJ138" s="41"/>
      <c r="TK138" s="41"/>
      <c r="TL138" s="41"/>
      <c r="TM138" s="41"/>
      <c r="TN138" s="41"/>
      <c r="TO138" s="41"/>
      <c r="TP138" s="41"/>
      <c r="TQ138" s="41"/>
      <c r="TR138" s="41"/>
      <c r="TS138" s="41"/>
      <c r="TT138" s="41"/>
      <c r="TU138" s="41"/>
      <c r="TV138" s="41"/>
      <c r="TW138" s="41"/>
      <c r="TX138" s="41"/>
      <c r="TY138" s="41"/>
      <c r="TZ138" s="41"/>
      <c r="UA138" s="41"/>
      <c r="UB138" s="41"/>
      <c r="UC138" s="41"/>
      <c r="UD138" s="41"/>
      <c r="UE138" s="41"/>
      <c r="UF138" s="41"/>
      <c r="UG138" s="41"/>
      <c r="UH138" s="41"/>
      <c r="UI138" s="41"/>
      <c r="UJ138" s="41"/>
      <c r="UK138" s="41"/>
      <c r="UL138" s="41"/>
      <c r="UM138" s="41"/>
      <c r="UN138" s="41"/>
      <c r="UO138" s="41"/>
      <c r="UP138" s="41"/>
      <c r="UQ138" s="41"/>
      <c r="UR138" s="41"/>
      <c r="US138" s="41"/>
      <c r="UT138" s="41"/>
      <c r="UU138" s="41"/>
      <c r="UV138" s="41"/>
      <c r="UW138" s="41"/>
      <c r="UX138" s="41"/>
      <c r="UY138" s="41"/>
      <c r="UZ138" s="41"/>
      <c r="VA138" s="41"/>
      <c r="VB138" s="41"/>
      <c r="VC138" s="41"/>
      <c r="VD138" s="41"/>
      <c r="VE138" s="41"/>
      <c r="VF138" s="41"/>
      <c r="VG138" s="41"/>
      <c r="VH138" s="41"/>
      <c r="VI138" s="41"/>
      <c r="VJ138" s="41"/>
      <c r="VK138" s="41"/>
      <c r="VL138" s="41"/>
      <c r="VM138" s="41"/>
      <c r="VN138" s="41"/>
      <c r="VO138" s="41"/>
      <c r="VP138" s="41"/>
      <c r="VQ138" s="41"/>
      <c r="VR138" s="41"/>
      <c r="VS138" s="41"/>
      <c r="VT138" s="41"/>
      <c r="VU138" s="41"/>
      <c r="VV138" s="41"/>
      <c r="VW138" s="41"/>
      <c r="VX138" s="41"/>
      <c r="VY138" s="41"/>
      <c r="VZ138" s="41"/>
      <c r="WA138" s="41"/>
      <c r="WB138" s="41"/>
      <c r="WC138" s="41"/>
      <c r="WD138" s="41"/>
      <c r="WE138" s="41"/>
      <c r="WF138" s="41"/>
      <c r="WG138" s="41"/>
      <c r="WH138" s="41"/>
      <c r="WI138" s="41"/>
      <c r="WJ138" s="41"/>
      <c r="WK138" s="41"/>
      <c r="WL138" s="41"/>
      <c r="WM138" s="41"/>
      <c r="WN138" s="41"/>
      <c r="WO138" s="41"/>
      <c r="WP138" s="41"/>
      <c r="WQ138" s="41"/>
      <c r="WR138" s="41"/>
      <c r="WS138" s="41"/>
      <c r="WT138" s="41"/>
      <c r="WU138" s="41"/>
      <c r="WV138" s="41"/>
      <c r="WW138" s="41"/>
      <c r="WX138" s="41"/>
      <c r="WY138" s="41"/>
      <c r="WZ138" s="41"/>
      <c r="XA138" s="41"/>
      <c r="XB138" s="41"/>
      <c r="XC138" s="41"/>
      <c r="XD138" s="41"/>
      <c r="XE138" s="41"/>
      <c r="XF138" s="41"/>
      <c r="XG138" s="41"/>
      <c r="XH138" s="41"/>
      <c r="XI138" s="41"/>
      <c r="XJ138" s="41"/>
      <c r="XK138" s="41"/>
      <c r="XL138" s="41"/>
      <c r="XM138" s="41"/>
      <c r="XN138" s="41"/>
      <c r="XO138" s="41"/>
      <c r="XP138" s="41"/>
      <c r="XQ138" s="41"/>
      <c r="XR138" s="41"/>
      <c r="XS138" s="41"/>
      <c r="XT138" s="41"/>
      <c r="XU138" s="41"/>
      <c r="XV138" s="41"/>
      <c r="XW138" s="41"/>
      <c r="XX138" s="41"/>
      <c r="XY138" s="41"/>
      <c r="XZ138" s="41"/>
      <c r="YA138" s="41"/>
      <c r="YB138" s="41"/>
      <c r="YC138" s="41"/>
      <c r="YD138" s="41"/>
      <c r="YE138" s="41"/>
      <c r="YF138" s="41"/>
      <c r="YG138" s="41"/>
      <c r="YH138" s="41"/>
      <c r="YI138" s="41"/>
      <c r="YJ138" s="41"/>
      <c r="YK138" s="41"/>
      <c r="YL138" s="41"/>
      <c r="YM138" s="41"/>
      <c r="YN138" s="41"/>
      <c r="YO138" s="41"/>
      <c r="YP138" s="41"/>
      <c r="YQ138" s="41"/>
      <c r="YR138" s="41"/>
      <c r="YS138" s="41"/>
      <c r="YT138" s="41"/>
      <c r="YU138" s="41"/>
      <c r="YV138" s="41"/>
      <c r="YW138" s="41"/>
      <c r="YX138" s="41"/>
      <c r="YY138" s="41"/>
      <c r="YZ138" s="41"/>
      <c r="ZA138" s="41"/>
      <c r="ZB138" s="41"/>
      <c r="ZC138" s="41"/>
      <c r="ZD138" s="41"/>
      <c r="ZE138" s="41"/>
      <c r="ZF138" s="41"/>
      <c r="ZG138" s="41"/>
      <c r="ZH138" s="41"/>
      <c r="ZI138" s="41"/>
      <c r="ZJ138" s="41"/>
      <c r="ZK138" s="41"/>
      <c r="ZL138" s="41"/>
      <c r="ZM138" s="41"/>
      <c r="ZN138" s="41"/>
      <c r="ZO138" s="41"/>
      <c r="ZP138" s="41"/>
      <c r="ZQ138" s="41"/>
      <c r="ZR138" s="41"/>
      <c r="ZS138" s="41"/>
      <c r="ZT138" s="41"/>
      <c r="ZU138" s="41"/>
      <c r="ZV138" s="41"/>
      <c r="ZW138" s="41"/>
      <c r="ZX138" s="41"/>
      <c r="ZY138" s="41"/>
      <c r="ZZ138" s="41"/>
      <c r="AAA138" s="41"/>
      <c r="AAB138" s="41"/>
      <c r="AAC138" s="41"/>
    </row>
    <row r="139" spans="1:705" s="42" customFormat="1" ht="44.1" hidden="1" customHeight="1" x14ac:dyDescent="0.3">
      <c r="A139" s="26">
        <v>135</v>
      </c>
      <c r="B139" s="137">
        <v>240346</v>
      </c>
      <c r="C139" s="138">
        <v>135</v>
      </c>
      <c r="D139" s="139">
        <v>45935</v>
      </c>
      <c r="E139" s="139">
        <f t="shared" si="23"/>
        <v>45934</v>
      </c>
      <c r="F139" s="139">
        <f t="shared" si="22"/>
        <v>45945</v>
      </c>
      <c r="G139" s="139">
        <v>46026</v>
      </c>
      <c r="H139" s="139">
        <v>45973</v>
      </c>
      <c r="I139" s="139" t="s">
        <v>321</v>
      </c>
      <c r="J139" s="140" t="s">
        <v>370</v>
      </c>
      <c r="K139" s="141">
        <f t="shared" si="24"/>
        <v>28</v>
      </c>
      <c r="L139" s="141">
        <v>1151061</v>
      </c>
      <c r="M139" s="140" t="s">
        <v>15</v>
      </c>
      <c r="N139" s="140">
        <v>805337</v>
      </c>
      <c r="O139" s="137" t="s">
        <v>246</v>
      </c>
      <c r="P139" s="143">
        <v>45950</v>
      </c>
      <c r="Q139" s="143">
        <v>46128</v>
      </c>
      <c r="R139" s="157" t="s">
        <v>211</v>
      </c>
      <c r="S139" s="144" t="s">
        <v>371</v>
      </c>
      <c r="T139" s="145">
        <v>1</v>
      </c>
      <c r="U139" s="137" t="s">
        <v>169</v>
      </c>
      <c r="V139" s="146">
        <v>241</v>
      </c>
      <c r="W139" s="146">
        <v>241</v>
      </c>
      <c r="X139" s="147">
        <v>0</v>
      </c>
      <c r="Y139" s="146"/>
      <c r="Z139" s="146">
        <v>0</v>
      </c>
      <c r="AA139" s="146">
        <v>0</v>
      </c>
      <c r="AB139" s="146">
        <v>141</v>
      </c>
      <c r="AC139" s="146">
        <v>141</v>
      </c>
      <c r="AD139" s="146">
        <v>0</v>
      </c>
      <c r="AE139" s="146">
        <v>0</v>
      </c>
      <c r="AF139" s="146">
        <v>0</v>
      </c>
      <c r="AG139" s="146">
        <v>0</v>
      </c>
      <c r="AH139" s="146">
        <v>0</v>
      </c>
      <c r="AI139" s="146">
        <v>0</v>
      </c>
      <c r="AJ139" s="146">
        <v>0</v>
      </c>
      <c r="AK139" s="146"/>
      <c r="AL139" s="146">
        <v>0</v>
      </c>
      <c r="AM139" s="146">
        <v>0</v>
      </c>
      <c r="AN139" s="146">
        <v>1</v>
      </c>
      <c r="AO139" s="146">
        <v>1</v>
      </c>
      <c r="AP139" s="146">
        <v>1</v>
      </c>
      <c r="AQ139" s="146">
        <v>1</v>
      </c>
      <c r="AR139" s="146">
        <v>0</v>
      </c>
      <c r="AS139" s="146">
        <v>0</v>
      </c>
      <c r="AT139" s="146">
        <v>0</v>
      </c>
      <c r="AU139" s="146">
        <v>0</v>
      </c>
      <c r="AV139" s="146">
        <v>0</v>
      </c>
      <c r="AW139" s="146">
        <v>0</v>
      </c>
      <c r="AX139" s="146">
        <f t="shared" si="21"/>
        <v>23187</v>
      </c>
      <c r="AY139" s="146">
        <f t="shared" si="20"/>
        <v>23187</v>
      </c>
      <c r="AZ139" s="140" t="s">
        <v>562</v>
      </c>
      <c r="BA139" s="140" t="s">
        <v>562</v>
      </c>
      <c r="BB139" s="137">
        <v>3</v>
      </c>
      <c r="BC139" s="148">
        <v>135</v>
      </c>
      <c r="BD139" s="149"/>
      <c r="BE139" s="145"/>
      <c r="BF139" s="150"/>
      <c r="BG139" s="151">
        <v>45962</v>
      </c>
      <c r="BH139" s="153" t="s">
        <v>535</v>
      </c>
      <c r="BI139" s="153" t="s">
        <v>562</v>
      </c>
      <c r="CC139" s="41"/>
      <c r="CD139" s="41"/>
      <c r="CE139" s="41"/>
      <c r="CF139" s="41"/>
      <c r="CG139" s="41"/>
      <c r="CH139" s="41"/>
      <c r="CI139" s="41"/>
      <c r="CJ139" s="41"/>
      <c r="CK139" s="41"/>
      <c r="CL139" s="41"/>
      <c r="CM139" s="41"/>
      <c r="CN139" s="41"/>
      <c r="CO139" s="41"/>
      <c r="CP139" s="41"/>
      <c r="CQ139" s="41"/>
      <c r="CR139" s="41"/>
      <c r="CS139" s="41"/>
      <c r="CT139" s="41"/>
      <c r="CU139" s="41"/>
      <c r="CV139" s="41"/>
      <c r="CW139" s="41"/>
      <c r="CX139" s="41"/>
      <c r="CY139" s="41"/>
      <c r="CZ139" s="41"/>
      <c r="DA139" s="41"/>
      <c r="DB139" s="41"/>
      <c r="DC139" s="41"/>
      <c r="DD139" s="41"/>
      <c r="DE139" s="41"/>
      <c r="DF139" s="41"/>
      <c r="DG139" s="41"/>
      <c r="DH139" s="41"/>
      <c r="DI139" s="41"/>
      <c r="DJ139" s="41"/>
      <c r="DK139" s="41"/>
      <c r="DL139" s="41"/>
      <c r="DM139" s="41"/>
      <c r="DN139" s="41"/>
      <c r="DO139" s="41"/>
      <c r="DP139" s="41"/>
      <c r="DQ139" s="41"/>
      <c r="DR139" s="41"/>
      <c r="DS139" s="41"/>
      <c r="DT139" s="41"/>
      <c r="DU139" s="41"/>
      <c r="DV139" s="41"/>
      <c r="DW139" s="41"/>
      <c r="DX139" s="41"/>
      <c r="DY139" s="41"/>
      <c r="DZ139" s="41"/>
      <c r="EA139" s="41"/>
      <c r="EB139" s="41"/>
      <c r="EC139" s="41"/>
      <c r="ED139" s="41"/>
      <c r="EE139" s="41"/>
      <c r="EF139" s="41"/>
      <c r="EG139" s="41"/>
      <c r="EH139" s="41"/>
      <c r="EI139" s="41"/>
      <c r="EJ139" s="41"/>
      <c r="EK139" s="41"/>
      <c r="EL139" s="41"/>
      <c r="EM139" s="41"/>
      <c r="EN139" s="41"/>
      <c r="EO139" s="41"/>
      <c r="EP139" s="41"/>
      <c r="EQ139" s="41"/>
      <c r="ER139" s="41"/>
      <c r="ES139" s="41"/>
      <c r="ET139" s="41"/>
      <c r="EU139" s="41"/>
      <c r="EV139" s="41"/>
      <c r="EW139" s="41"/>
      <c r="EX139" s="41"/>
      <c r="EY139" s="41"/>
      <c r="EZ139" s="41"/>
      <c r="FA139" s="41"/>
      <c r="FB139" s="41"/>
      <c r="FC139" s="41"/>
      <c r="FD139" s="41"/>
      <c r="FE139" s="41"/>
      <c r="FF139" s="41"/>
      <c r="FG139" s="41"/>
      <c r="FH139" s="41"/>
      <c r="FI139" s="41"/>
      <c r="FJ139" s="41"/>
      <c r="FK139" s="41"/>
      <c r="FL139" s="41"/>
      <c r="FM139" s="41"/>
      <c r="FN139" s="41"/>
      <c r="FO139" s="41"/>
      <c r="FP139" s="41"/>
      <c r="FQ139" s="41"/>
      <c r="FR139" s="41"/>
      <c r="FS139" s="41"/>
      <c r="FT139" s="41"/>
      <c r="FU139" s="41"/>
      <c r="FV139" s="41"/>
      <c r="FW139" s="41"/>
      <c r="FX139" s="41"/>
      <c r="FY139" s="41"/>
      <c r="FZ139" s="41"/>
      <c r="GA139" s="41"/>
      <c r="GB139" s="41"/>
      <c r="GC139" s="41"/>
      <c r="GD139" s="41"/>
      <c r="GE139" s="41"/>
      <c r="GF139" s="41"/>
      <c r="GG139" s="41"/>
      <c r="GH139" s="41"/>
      <c r="GI139" s="41"/>
      <c r="GJ139" s="41"/>
      <c r="GK139" s="41"/>
      <c r="GL139" s="41"/>
      <c r="GM139" s="41"/>
      <c r="GN139" s="41"/>
      <c r="GO139" s="41"/>
      <c r="GP139" s="41"/>
      <c r="GQ139" s="41"/>
      <c r="GR139" s="41"/>
      <c r="GS139" s="41"/>
      <c r="GT139" s="41"/>
      <c r="GU139" s="41"/>
      <c r="GV139" s="41"/>
      <c r="GW139" s="41"/>
      <c r="GX139" s="41"/>
      <c r="GY139" s="41"/>
      <c r="GZ139" s="41"/>
      <c r="HA139" s="41"/>
      <c r="HB139" s="41"/>
      <c r="HC139" s="41"/>
      <c r="HD139" s="41"/>
      <c r="HE139" s="41"/>
      <c r="HF139" s="41"/>
      <c r="HG139" s="41"/>
      <c r="HH139" s="41"/>
      <c r="HI139" s="41"/>
      <c r="HJ139" s="41"/>
      <c r="HK139" s="41"/>
      <c r="HL139" s="41"/>
      <c r="HM139" s="41"/>
      <c r="HN139" s="41"/>
      <c r="HO139" s="41"/>
      <c r="HP139" s="41"/>
      <c r="HQ139" s="41"/>
      <c r="HR139" s="41"/>
      <c r="HS139" s="41"/>
      <c r="HT139" s="41"/>
      <c r="HU139" s="41"/>
      <c r="HV139" s="41"/>
      <c r="HW139" s="41"/>
      <c r="HX139" s="41"/>
      <c r="HY139" s="41"/>
      <c r="HZ139" s="41"/>
      <c r="IA139" s="41"/>
      <c r="IB139" s="41"/>
      <c r="IC139" s="41"/>
      <c r="ID139" s="41"/>
      <c r="IE139" s="41"/>
      <c r="IF139" s="41"/>
      <c r="IG139" s="41"/>
      <c r="IH139" s="41"/>
      <c r="II139" s="41"/>
      <c r="IJ139" s="41"/>
      <c r="IK139" s="41"/>
      <c r="IL139" s="41"/>
      <c r="IM139" s="41"/>
      <c r="IN139" s="41"/>
      <c r="IO139" s="41"/>
      <c r="IP139" s="41"/>
      <c r="IQ139" s="41"/>
      <c r="IR139" s="41"/>
      <c r="IS139" s="41"/>
      <c r="IT139" s="41"/>
      <c r="IU139" s="41"/>
      <c r="IV139" s="41"/>
      <c r="IW139" s="41"/>
      <c r="IX139" s="41"/>
      <c r="IY139" s="41"/>
      <c r="IZ139" s="41"/>
      <c r="JA139" s="41"/>
      <c r="JB139" s="41"/>
      <c r="JC139" s="41"/>
      <c r="JD139" s="41"/>
      <c r="JE139" s="41"/>
      <c r="JF139" s="41"/>
      <c r="JG139" s="41"/>
      <c r="JH139" s="41"/>
      <c r="JI139" s="41"/>
      <c r="JJ139" s="41"/>
      <c r="JK139" s="41"/>
      <c r="JL139" s="41"/>
      <c r="JM139" s="41"/>
      <c r="JN139" s="41"/>
      <c r="JO139" s="41"/>
      <c r="JP139" s="41"/>
      <c r="JQ139" s="41"/>
      <c r="JR139" s="41"/>
      <c r="JS139" s="41"/>
      <c r="JT139" s="41"/>
      <c r="JU139" s="41"/>
      <c r="JV139" s="41"/>
      <c r="JW139" s="41"/>
      <c r="JX139" s="41"/>
      <c r="JY139" s="41"/>
      <c r="JZ139" s="41"/>
      <c r="KA139" s="41"/>
      <c r="KB139" s="41"/>
      <c r="KC139" s="41"/>
      <c r="KD139" s="41"/>
      <c r="KE139" s="41"/>
      <c r="KF139" s="41"/>
      <c r="KG139" s="41"/>
      <c r="KH139" s="41"/>
      <c r="KI139" s="41"/>
      <c r="KJ139" s="41"/>
      <c r="KK139" s="41"/>
      <c r="KL139" s="41"/>
      <c r="KM139" s="41"/>
      <c r="KN139" s="41"/>
      <c r="KO139" s="41"/>
      <c r="KP139" s="41"/>
      <c r="KQ139" s="41"/>
      <c r="KR139" s="41"/>
      <c r="KS139" s="41"/>
      <c r="KT139" s="41"/>
      <c r="KU139" s="41"/>
      <c r="KV139" s="41"/>
      <c r="KW139" s="41"/>
      <c r="KX139" s="41"/>
      <c r="KY139" s="41"/>
      <c r="KZ139" s="41"/>
      <c r="LA139" s="41"/>
      <c r="LB139" s="41"/>
      <c r="LC139" s="41"/>
      <c r="LD139" s="41"/>
      <c r="LE139" s="41"/>
      <c r="LF139" s="41"/>
      <c r="LG139" s="41"/>
      <c r="LH139" s="41"/>
      <c r="LI139" s="41"/>
      <c r="LJ139" s="41"/>
      <c r="LK139" s="41"/>
      <c r="LL139" s="41"/>
      <c r="LM139" s="41"/>
      <c r="LN139" s="41"/>
      <c r="LO139" s="41"/>
      <c r="LP139" s="41"/>
      <c r="LQ139" s="41"/>
      <c r="LR139" s="41"/>
      <c r="LS139" s="41"/>
      <c r="LT139" s="41"/>
      <c r="LU139" s="41"/>
      <c r="LV139" s="41"/>
      <c r="LW139" s="41"/>
      <c r="LX139" s="41"/>
      <c r="LY139" s="41"/>
      <c r="LZ139" s="41"/>
      <c r="MA139" s="41"/>
      <c r="MB139" s="41"/>
      <c r="MC139" s="41"/>
      <c r="MD139" s="41"/>
      <c r="ME139" s="41"/>
      <c r="MF139" s="41"/>
      <c r="MG139" s="41"/>
      <c r="MH139" s="41"/>
      <c r="MI139" s="41"/>
      <c r="MJ139" s="41"/>
      <c r="MK139" s="41"/>
      <c r="ML139" s="41"/>
      <c r="MM139" s="41"/>
      <c r="MN139" s="41"/>
      <c r="MO139" s="41"/>
      <c r="MP139" s="41"/>
      <c r="MQ139" s="41"/>
      <c r="MR139" s="41"/>
      <c r="MS139" s="41"/>
      <c r="MT139" s="41"/>
      <c r="MU139" s="41"/>
      <c r="MV139" s="41"/>
      <c r="MW139" s="41"/>
      <c r="MX139" s="41"/>
      <c r="MY139" s="41"/>
      <c r="MZ139" s="41"/>
      <c r="NA139" s="41"/>
      <c r="NB139" s="41"/>
      <c r="NC139" s="41"/>
      <c r="ND139" s="41"/>
      <c r="NE139" s="41"/>
      <c r="NF139" s="41"/>
      <c r="NG139" s="41"/>
      <c r="NH139" s="41"/>
      <c r="NI139" s="41"/>
      <c r="NJ139" s="41"/>
      <c r="NK139" s="41"/>
      <c r="NL139" s="41"/>
      <c r="NM139" s="41"/>
      <c r="NN139" s="41"/>
      <c r="NO139" s="41"/>
      <c r="NP139" s="41"/>
      <c r="NQ139" s="41"/>
      <c r="NR139" s="41"/>
      <c r="NS139" s="41"/>
      <c r="NT139" s="41"/>
      <c r="NU139" s="41"/>
      <c r="NV139" s="41"/>
      <c r="NW139" s="41"/>
      <c r="NX139" s="41"/>
      <c r="NY139" s="41"/>
      <c r="NZ139" s="41"/>
      <c r="OA139" s="41"/>
      <c r="OB139" s="41"/>
      <c r="OC139" s="41"/>
      <c r="OD139" s="41"/>
      <c r="OE139" s="41"/>
      <c r="OF139" s="41"/>
      <c r="OG139" s="41"/>
      <c r="OH139" s="41"/>
      <c r="OI139" s="41"/>
      <c r="OJ139" s="41"/>
      <c r="OK139" s="41"/>
      <c r="OL139" s="41"/>
      <c r="OM139" s="41"/>
      <c r="ON139" s="41"/>
      <c r="OO139" s="41"/>
      <c r="OP139" s="41"/>
      <c r="OQ139" s="41"/>
      <c r="OR139" s="41"/>
      <c r="OS139" s="41"/>
      <c r="OT139" s="41"/>
      <c r="OU139" s="41"/>
      <c r="OV139" s="41"/>
      <c r="OW139" s="41"/>
      <c r="OX139" s="41"/>
      <c r="OY139" s="41"/>
      <c r="OZ139" s="41"/>
      <c r="PA139" s="41"/>
      <c r="PB139" s="41"/>
      <c r="PC139" s="41"/>
      <c r="PD139" s="41"/>
      <c r="PE139" s="41"/>
      <c r="PF139" s="41"/>
      <c r="PG139" s="41"/>
      <c r="PH139" s="41"/>
      <c r="PI139" s="41"/>
      <c r="PJ139" s="41"/>
      <c r="PK139" s="41"/>
      <c r="PL139" s="41"/>
      <c r="PM139" s="41"/>
      <c r="PN139" s="41"/>
      <c r="PO139" s="41"/>
      <c r="PP139" s="41"/>
      <c r="PQ139" s="41"/>
      <c r="PR139" s="41"/>
      <c r="PS139" s="41"/>
      <c r="PT139" s="41"/>
      <c r="PU139" s="41"/>
      <c r="PV139" s="41"/>
      <c r="PW139" s="41"/>
      <c r="PX139" s="41"/>
      <c r="PY139" s="41"/>
      <c r="PZ139" s="41"/>
      <c r="QA139" s="41"/>
      <c r="QB139" s="41"/>
      <c r="QC139" s="41"/>
      <c r="QD139" s="41"/>
      <c r="QE139" s="41"/>
      <c r="QF139" s="41"/>
      <c r="QG139" s="41"/>
      <c r="QH139" s="41"/>
      <c r="QI139" s="41"/>
      <c r="QJ139" s="41"/>
      <c r="QK139" s="41"/>
      <c r="QL139" s="41"/>
      <c r="QM139" s="41"/>
      <c r="QN139" s="41"/>
      <c r="QO139" s="41"/>
      <c r="QP139" s="41"/>
      <c r="QQ139" s="41"/>
      <c r="QR139" s="41"/>
      <c r="QS139" s="41"/>
      <c r="QT139" s="41"/>
      <c r="QU139" s="41"/>
      <c r="QV139" s="41"/>
      <c r="QW139" s="41"/>
      <c r="QX139" s="41"/>
      <c r="QY139" s="41"/>
      <c r="QZ139" s="41"/>
      <c r="RA139" s="41"/>
      <c r="RB139" s="41"/>
      <c r="RC139" s="41"/>
      <c r="RD139" s="41"/>
      <c r="RE139" s="41"/>
      <c r="RF139" s="41"/>
      <c r="RG139" s="41"/>
      <c r="RH139" s="41"/>
      <c r="RI139" s="41"/>
      <c r="RJ139" s="41"/>
      <c r="RK139" s="41"/>
      <c r="RL139" s="41"/>
      <c r="RM139" s="41"/>
      <c r="RN139" s="41"/>
      <c r="RO139" s="41"/>
      <c r="RP139" s="41"/>
      <c r="RQ139" s="41"/>
      <c r="RR139" s="41"/>
      <c r="RS139" s="41"/>
      <c r="RT139" s="41"/>
      <c r="RU139" s="41"/>
      <c r="RV139" s="41"/>
      <c r="RW139" s="41"/>
      <c r="RX139" s="41"/>
      <c r="RY139" s="41"/>
      <c r="RZ139" s="41"/>
      <c r="SA139" s="41"/>
      <c r="SB139" s="41"/>
      <c r="SC139" s="41"/>
      <c r="SD139" s="41"/>
      <c r="SE139" s="41"/>
      <c r="SF139" s="41"/>
      <c r="SG139" s="41"/>
      <c r="SH139" s="41"/>
      <c r="SI139" s="41"/>
      <c r="SJ139" s="41"/>
      <c r="SK139" s="41"/>
      <c r="SL139" s="41"/>
      <c r="SM139" s="41"/>
      <c r="SN139" s="41"/>
      <c r="SO139" s="41"/>
      <c r="SP139" s="41"/>
      <c r="SQ139" s="41"/>
      <c r="SR139" s="41"/>
      <c r="SS139" s="41"/>
      <c r="ST139" s="41"/>
      <c r="SU139" s="41"/>
      <c r="SV139" s="41"/>
      <c r="SW139" s="41"/>
      <c r="SX139" s="41"/>
      <c r="SY139" s="41"/>
      <c r="SZ139" s="41"/>
      <c r="TA139" s="41"/>
      <c r="TB139" s="41"/>
      <c r="TC139" s="41"/>
      <c r="TD139" s="41"/>
      <c r="TE139" s="41"/>
      <c r="TF139" s="41"/>
      <c r="TG139" s="41"/>
      <c r="TH139" s="41"/>
      <c r="TI139" s="41"/>
      <c r="TJ139" s="41"/>
      <c r="TK139" s="41"/>
      <c r="TL139" s="41"/>
      <c r="TM139" s="41"/>
      <c r="TN139" s="41"/>
      <c r="TO139" s="41"/>
      <c r="TP139" s="41"/>
      <c r="TQ139" s="41"/>
      <c r="TR139" s="41"/>
      <c r="TS139" s="41"/>
      <c r="TT139" s="41"/>
      <c r="TU139" s="41"/>
      <c r="TV139" s="41"/>
      <c r="TW139" s="41"/>
      <c r="TX139" s="41"/>
      <c r="TY139" s="41"/>
      <c r="TZ139" s="41"/>
      <c r="UA139" s="41"/>
      <c r="UB139" s="41"/>
      <c r="UC139" s="41"/>
      <c r="UD139" s="41"/>
      <c r="UE139" s="41"/>
      <c r="UF139" s="41"/>
      <c r="UG139" s="41"/>
      <c r="UH139" s="41"/>
      <c r="UI139" s="41"/>
      <c r="UJ139" s="41"/>
      <c r="UK139" s="41"/>
      <c r="UL139" s="41"/>
      <c r="UM139" s="41"/>
      <c r="UN139" s="41"/>
      <c r="UO139" s="41"/>
      <c r="UP139" s="41"/>
      <c r="UQ139" s="41"/>
      <c r="UR139" s="41"/>
      <c r="US139" s="41"/>
      <c r="UT139" s="41"/>
      <c r="UU139" s="41"/>
      <c r="UV139" s="41"/>
      <c r="UW139" s="41"/>
      <c r="UX139" s="41"/>
      <c r="UY139" s="41"/>
      <c r="UZ139" s="41"/>
      <c r="VA139" s="41"/>
      <c r="VB139" s="41"/>
      <c r="VC139" s="41"/>
      <c r="VD139" s="41"/>
      <c r="VE139" s="41"/>
      <c r="VF139" s="41"/>
      <c r="VG139" s="41"/>
      <c r="VH139" s="41"/>
      <c r="VI139" s="41"/>
      <c r="VJ139" s="41"/>
      <c r="VK139" s="41"/>
      <c r="VL139" s="41"/>
      <c r="VM139" s="41"/>
      <c r="VN139" s="41"/>
      <c r="VO139" s="41"/>
      <c r="VP139" s="41"/>
      <c r="VQ139" s="41"/>
      <c r="VR139" s="41"/>
      <c r="VS139" s="41"/>
      <c r="VT139" s="41"/>
      <c r="VU139" s="41"/>
      <c r="VV139" s="41"/>
      <c r="VW139" s="41"/>
      <c r="VX139" s="41"/>
      <c r="VY139" s="41"/>
      <c r="VZ139" s="41"/>
      <c r="WA139" s="41"/>
      <c r="WB139" s="41"/>
      <c r="WC139" s="41"/>
      <c r="WD139" s="41"/>
      <c r="WE139" s="41"/>
      <c r="WF139" s="41"/>
      <c r="WG139" s="41"/>
      <c r="WH139" s="41"/>
      <c r="WI139" s="41"/>
      <c r="WJ139" s="41"/>
      <c r="WK139" s="41"/>
      <c r="WL139" s="41"/>
      <c r="WM139" s="41"/>
      <c r="WN139" s="41"/>
      <c r="WO139" s="41"/>
      <c r="WP139" s="41"/>
      <c r="WQ139" s="41"/>
      <c r="WR139" s="41"/>
      <c r="WS139" s="41"/>
      <c r="WT139" s="41"/>
      <c r="WU139" s="41"/>
      <c r="WV139" s="41"/>
      <c r="WW139" s="41"/>
      <c r="WX139" s="41"/>
      <c r="WY139" s="41"/>
      <c r="WZ139" s="41"/>
      <c r="XA139" s="41"/>
      <c r="XB139" s="41"/>
      <c r="XC139" s="41"/>
      <c r="XD139" s="41"/>
      <c r="XE139" s="41"/>
      <c r="XF139" s="41"/>
      <c r="XG139" s="41"/>
      <c r="XH139" s="41"/>
      <c r="XI139" s="41"/>
      <c r="XJ139" s="41"/>
      <c r="XK139" s="41"/>
      <c r="XL139" s="41"/>
      <c r="XM139" s="41"/>
      <c r="XN139" s="41"/>
      <c r="XO139" s="41"/>
      <c r="XP139" s="41"/>
      <c r="XQ139" s="41"/>
      <c r="XR139" s="41"/>
      <c r="XS139" s="41"/>
      <c r="XT139" s="41"/>
      <c r="XU139" s="41"/>
      <c r="XV139" s="41"/>
      <c r="XW139" s="41"/>
      <c r="XX139" s="41"/>
      <c r="XY139" s="41"/>
      <c r="XZ139" s="41"/>
      <c r="YA139" s="41"/>
      <c r="YB139" s="41"/>
      <c r="YC139" s="41"/>
      <c r="YD139" s="41"/>
      <c r="YE139" s="41"/>
      <c r="YF139" s="41"/>
      <c r="YG139" s="41"/>
      <c r="YH139" s="41"/>
      <c r="YI139" s="41"/>
      <c r="YJ139" s="41"/>
      <c r="YK139" s="41"/>
      <c r="YL139" s="41"/>
      <c r="YM139" s="41"/>
      <c r="YN139" s="41"/>
      <c r="YO139" s="41"/>
      <c r="YP139" s="41"/>
      <c r="YQ139" s="41"/>
      <c r="YR139" s="41"/>
      <c r="YS139" s="41"/>
      <c r="YT139" s="41"/>
      <c r="YU139" s="41"/>
      <c r="YV139" s="41"/>
      <c r="YW139" s="41"/>
      <c r="YX139" s="41"/>
      <c r="YY139" s="41"/>
      <c r="YZ139" s="41"/>
      <c r="ZA139" s="41"/>
      <c r="ZB139" s="41"/>
      <c r="ZC139" s="41"/>
      <c r="ZD139" s="41"/>
      <c r="ZE139" s="41"/>
      <c r="ZF139" s="41"/>
      <c r="ZG139" s="41"/>
      <c r="ZH139" s="41"/>
      <c r="ZI139" s="41"/>
      <c r="ZJ139" s="41"/>
      <c r="ZK139" s="41"/>
      <c r="ZL139" s="41"/>
      <c r="ZM139" s="41"/>
      <c r="ZN139" s="41"/>
      <c r="ZO139" s="41"/>
      <c r="ZP139" s="41"/>
      <c r="ZQ139" s="41"/>
      <c r="ZR139" s="41"/>
      <c r="ZS139" s="41"/>
      <c r="ZT139" s="41"/>
      <c r="ZU139" s="41"/>
      <c r="ZV139" s="41"/>
      <c r="ZW139" s="41"/>
      <c r="ZX139" s="41"/>
      <c r="ZY139" s="41"/>
      <c r="ZZ139" s="41"/>
      <c r="AAA139" s="41"/>
      <c r="AAB139" s="41"/>
      <c r="AAC139" s="41"/>
    </row>
    <row r="140" spans="1:705" s="42" customFormat="1" ht="44.1" hidden="1" customHeight="1" x14ac:dyDescent="0.3">
      <c r="A140" s="26">
        <v>136</v>
      </c>
      <c r="B140" s="137" t="s">
        <v>1038</v>
      </c>
      <c r="C140" s="138">
        <v>136</v>
      </c>
      <c r="D140" s="139">
        <v>45935</v>
      </c>
      <c r="E140" s="139">
        <f t="shared" si="23"/>
        <v>45934</v>
      </c>
      <c r="F140" s="139">
        <f t="shared" si="22"/>
        <v>45945</v>
      </c>
      <c r="G140" s="139">
        <v>45945</v>
      </c>
      <c r="H140" s="139">
        <v>45938</v>
      </c>
      <c r="I140" s="139" t="s">
        <v>75</v>
      </c>
      <c r="J140" s="140" t="s">
        <v>372</v>
      </c>
      <c r="K140" s="141">
        <f t="shared" si="24"/>
        <v>-7</v>
      </c>
      <c r="L140" s="141">
        <v>1151191</v>
      </c>
      <c r="M140" s="140" t="s">
        <v>15</v>
      </c>
      <c r="N140" s="140" t="s">
        <v>251</v>
      </c>
      <c r="O140" s="140" t="s">
        <v>251</v>
      </c>
      <c r="P140" s="143" t="s">
        <v>213</v>
      </c>
      <c r="Q140" s="143" t="s">
        <v>213</v>
      </c>
      <c r="R140" s="157" t="s">
        <v>211</v>
      </c>
      <c r="S140" s="144" t="s">
        <v>373</v>
      </c>
      <c r="T140" s="145">
        <v>1</v>
      </c>
      <c r="U140" s="137" t="s">
        <v>374</v>
      </c>
      <c r="V140" s="146">
        <v>0</v>
      </c>
      <c r="W140" s="146">
        <v>0</v>
      </c>
      <c r="X140" s="147">
        <v>0</v>
      </c>
      <c r="Y140" s="146">
        <v>0</v>
      </c>
      <c r="Z140" s="146">
        <v>0</v>
      </c>
      <c r="AA140" s="146">
        <v>0</v>
      </c>
      <c r="AB140" s="146">
        <v>0</v>
      </c>
      <c r="AC140" s="146"/>
      <c r="AD140" s="146">
        <v>0</v>
      </c>
      <c r="AE140" s="146">
        <v>0</v>
      </c>
      <c r="AF140" s="146">
        <v>0</v>
      </c>
      <c r="AG140" s="146">
        <v>0</v>
      </c>
      <c r="AH140" s="146">
        <v>1</v>
      </c>
      <c r="AI140" s="146">
        <v>1</v>
      </c>
      <c r="AJ140" s="146">
        <v>0</v>
      </c>
      <c r="AK140" s="146">
        <v>0</v>
      </c>
      <c r="AL140" s="146">
        <v>0</v>
      </c>
      <c r="AM140" s="146">
        <v>0</v>
      </c>
      <c r="AN140" s="146">
        <v>0</v>
      </c>
      <c r="AO140" s="146">
        <v>0</v>
      </c>
      <c r="AP140" s="146">
        <v>0</v>
      </c>
      <c r="AQ140" s="146"/>
      <c r="AR140" s="146">
        <v>0</v>
      </c>
      <c r="AS140" s="146">
        <v>0</v>
      </c>
      <c r="AT140" s="146">
        <v>1</v>
      </c>
      <c r="AU140" s="146">
        <v>1</v>
      </c>
      <c r="AV140" s="146">
        <v>0</v>
      </c>
      <c r="AW140" s="146">
        <v>0</v>
      </c>
      <c r="AX140" s="146">
        <f t="shared" si="21"/>
        <v>520</v>
      </c>
      <c r="AY140" s="146">
        <f t="shared" si="20"/>
        <v>520</v>
      </c>
      <c r="AZ140" s="140" t="s">
        <v>562</v>
      </c>
      <c r="BA140" s="140" t="s">
        <v>562</v>
      </c>
      <c r="BB140" s="137">
        <v>5</v>
      </c>
      <c r="BC140" s="148">
        <v>136</v>
      </c>
      <c r="BD140" s="149"/>
      <c r="BE140" s="145"/>
      <c r="BF140" s="150"/>
      <c r="BG140" s="151">
        <v>45931</v>
      </c>
      <c r="BH140" s="153" t="s">
        <v>15</v>
      </c>
      <c r="BI140" s="153" t="s">
        <v>562</v>
      </c>
      <c r="CC140" s="41"/>
      <c r="CD140" s="41"/>
      <c r="CE140" s="41"/>
      <c r="CF140" s="41"/>
      <c r="CG140" s="41"/>
      <c r="CH140" s="41"/>
      <c r="CI140" s="41"/>
      <c r="CJ140" s="41"/>
      <c r="CK140" s="41"/>
      <c r="CL140" s="41"/>
      <c r="CM140" s="41"/>
      <c r="CN140" s="41"/>
      <c r="CO140" s="41"/>
      <c r="CP140" s="41"/>
      <c r="CQ140" s="41"/>
      <c r="CR140" s="41"/>
      <c r="CS140" s="41"/>
      <c r="CT140" s="41"/>
      <c r="CU140" s="41"/>
      <c r="CV140" s="41"/>
      <c r="CW140" s="41"/>
      <c r="CX140" s="41"/>
      <c r="CY140" s="41"/>
      <c r="CZ140" s="41"/>
      <c r="DA140" s="41"/>
      <c r="DB140" s="41"/>
      <c r="DC140" s="41"/>
      <c r="DD140" s="41"/>
      <c r="DE140" s="41"/>
      <c r="DF140" s="41"/>
      <c r="DG140" s="41"/>
      <c r="DH140" s="41"/>
      <c r="DI140" s="41"/>
      <c r="DJ140" s="41"/>
      <c r="DK140" s="41"/>
      <c r="DL140" s="41"/>
      <c r="DM140" s="41"/>
      <c r="DN140" s="41"/>
      <c r="DO140" s="41"/>
      <c r="DP140" s="41"/>
      <c r="DQ140" s="41"/>
      <c r="DR140" s="41"/>
      <c r="DS140" s="41"/>
      <c r="DT140" s="41"/>
      <c r="DU140" s="41"/>
      <c r="DV140" s="41"/>
      <c r="DW140" s="41"/>
      <c r="DX140" s="41"/>
      <c r="DY140" s="41"/>
      <c r="DZ140" s="41"/>
      <c r="EA140" s="41"/>
      <c r="EB140" s="41"/>
      <c r="EC140" s="41"/>
      <c r="ED140" s="41"/>
      <c r="EE140" s="41"/>
      <c r="EF140" s="41"/>
      <c r="EG140" s="41"/>
      <c r="EH140" s="41"/>
      <c r="EI140" s="41"/>
      <c r="EJ140" s="41"/>
      <c r="EK140" s="41"/>
      <c r="EL140" s="41"/>
      <c r="EM140" s="41"/>
      <c r="EN140" s="41"/>
      <c r="EO140" s="41"/>
      <c r="EP140" s="41"/>
      <c r="EQ140" s="41"/>
      <c r="ER140" s="41"/>
      <c r="ES140" s="41"/>
      <c r="ET140" s="41"/>
      <c r="EU140" s="41"/>
      <c r="EV140" s="41"/>
      <c r="EW140" s="41"/>
      <c r="EX140" s="41"/>
      <c r="EY140" s="41"/>
      <c r="EZ140" s="41"/>
      <c r="FA140" s="41"/>
      <c r="FB140" s="41"/>
      <c r="FC140" s="41"/>
      <c r="FD140" s="41"/>
      <c r="FE140" s="41"/>
      <c r="FF140" s="41"/>
      <c r="FG140" s="41"/>
      <c r="FH140" s="41"/>
      <c r="FI140" s="41"/>
      <c r="FJ140" s="41"/>
      <c r="FK140" s="41"/>
      <c r="FL140" s="41"/>
      <c r="FM140" s="41"/>
      <c r="FN140" s="41"/>
      <c r="FO140" s="41"/>
      <c r="FP140" s="41"/>
      <c r="FQ140" s="41"/>
      <c r="FR140" s="41"/>
      <c r="FS140" s="41"/>
      <c r="FT140" s="41"/>
      <c r="FU140" s="41"/>
      <c r="FV140" s="41"/>
      <c r="FW140" s="41"/>
      <c r="FX140" s="41"/>
      <c r="FY140" s="41"/>
      <c r="FZ140" s="41"/>
      <c r="GA140" s="41"/>
      <c r="GB140" s="41"/>
      <c r="GC140" s="41"/>
      <c r="GD140" s="41"/>
      <c r="GE140" s="41"/>
      <c r="GF140" s="41"/>
      <c r="GG140" s="41"/>
      <c r="GH140" s="41"/>
      <c r="GI140" s="41"/>
      <c r="GJ140" s="41"/>
      <c r="GK140" s="41"/>
      <c r="GL140" s="41"/>
      <c r="GM140" s="41"/>
      <c r="GN140" s="41"/>
      <c r="GO140" s="41"/>
      <c r="GP140" s="41"/>
      <c r="GQ140" s="41"/>
      <c r="GR140" s="41"/>
      <c r="GS140" s="41"/>
      <c r="GT140" s="41"/>
      <c r="GU140" s="41"/>
      <c r="GV140" s="41"/>
      <c r="GW140" s="41"/>
      <c r="GX140" s="41"/>
      <c r="GY140" s="41"/>
      <c r="GZ140" s="41"/>
      <c r="HA140" s="41"/>
      <c r="HB140" s="41"/>
      <c r="HC140" s="41"/>
      <c r="HD140" s="41"/>
      <c r="HE140" s="41"/>
      <c r="HF140" s="41"/>
      <c r="HG140" s="41"/>
      <c r="HH140" s="41"/>
      <c r="HI140" s="41"/>
      <c r="HJ140" s="41"/>
      <c r="HK140" s="41"/>
      <c r="HL140" s="41"/>
      <c r="HM140" s="41"/>
      <c r="HN140" s="41"/>
      <c r="HO140" s="41"/>
      <c r="HP140" s="41"/>
      <c r="HQ140" s="41"/>
      <c r="HR140" s="41"/>
      <c r="HS140" s="41"/>
      <c r="HT140" s="41"/>
      <c r="HU140" s="41"/>
      <c r="HV140" s="41"/>
      <c r="HW140" s="41"/>
      <c r="HX140" s="41"/>
      <c r="HY140" s="41"/>
      <c r="HZ140" s="41"/>
      <c r="IA140" s="41"/>
      <c r="IB140" s="41"/>
      <c r="IC140" s="41"/>
      <c r="ID140" s="41"/>
      <c r="IE140" s="41"/>
      <c r="IF140" s="41"/>
      <c r="IG140" s="41"/>
      <c r="IH140" s="41"/>
      <c r="II140" s="41"/>
      <c r="IJ140" s="41"/>
      <c r="IK140" s="41"/>
      <c r="IL140" s="41"/>
      <c r="IM140" s="41"/>
      <c r="IN140" s="41"/>
      <c r="IO140" s="41"/>
      <c r="IP140" s="41"/>
      <c r="IQ140" s="41"/>
      <c r="IR140" s="41"/>
      <c r="IS140" s="41"/>
      <c r="IT140" s="41"/>
      <c r="IU140" s="41"/>
      <c r="IV140" s="41"/>
      <c r="IW140" s="41"/>
      <c r="IX140" s="41"/>
      <c r="IY140" s="41"/>
      <c r="IZ140" s="41"/>
      <c r="JA140" s="41"/>
      <c r="JB140" s="41"/>
      <c r="JC140" s="41"/>
      <c r="JD140" s="41"/>
      <c r="JE140" s="41"/>
      <c r="JF140" s="41"/>
      <c r="JG140" s="41"/>
      <c r="JH140" s="41"/>
      <c r="JI140" s="41"/>
      <c r="JJ140" s="41"/>
      <c r="JK140" s="41"/>
      <c r="JL140" s="41"/>
      <c r="JM140" s="41"/>
      <c r="JN140" s="41"/>
      <c r="JO140" s="41"/>
      <c r="JP140" s="41"/>
      <c r="JQ140" s="41"/>
      <c r="JR140" s="41"/>
      <c r="JS140" s="41"/>
      <c r="JT140" s="41"/>
      <c r="JU140" s="41"/>
      <c r="JV140" s="41"/>
      <c r="JW140" s="41"/>
      <c r="JX140" s="41"/>
      <c r="JY140" s="41"/>
      <c r="JZ140" s="41"/>
      <c r="KA140" s="41"/>
      <c r="KB140" s="41"/>
      <c r="KC140" s="41"/>
      <c r="KD140" s="41"/>
      <c r="KE140" s="41"/>
      <c r="KF140" s="41"/>
      <c r="KG140" s="41"/>
      <c r="KH140" s="41"/>
      <c r="KI140" s="41"/>
      <c r="KJ140" s="41"/>
      <c r="KK140" s="41"/>
      <c r="KL140" s="41"/>
      <c r="KM140" s="41"/>
      <c r="KN140" s="41"/>
      <c r="KO140" s="41"/>
      <c r="KP140" s="41"/>
      <c r="KQ140" s="41"/>
      <c r="KR140" s="41"/>
      <c r="KS140" s="41"/>
      <c r="KT140" s="41"/>
      <c r="KU140" s="41"/>
      <c r="KV140" s="41"/>
      <c r="KW140" s="41"/>
      <c r="KX140" s="41"/>
      <c r="KY140" s="41"/>
      <c r="KZ140" s="41"/>
      <c r="LA140" s="41"/>
      <c r="LB140" s="41"/>
      <c r="LC140" s="41"/>
      <c r="LD140" s="41"/>
      <c r="LE140" s="41"/>
      <c r="LF140" s="41"/>
      <c r="LG140" s="41"/>
      <c r="LH140" s="41"/>
      <c r="LI140" s="41"/>
      <c r="LJ140" s="41"/>
      <c r="LK140" s="41"/>
      <c r="LL140" s="41"/>
      <c r="LM140" s="41"/>
      <c r="LN140" s="41"/>
      <c r="LO140" s="41"/>
      <c r="LP140" s="41"/>
      <c r="LQ140" s="41"/>
      <c r="LR140" s="41"/>
      <c r="LS140" s="41"/>
      <c r="LT140" s="41"/>
      <c r="LU140" s="41"/>
      <c r="LV140" s="41"/>
      <c r="LW140" s="41"/>
      <c r="LX140" s="41"/>
      <c r="LY140" s="41"/>
      <c r="LZ140" s="41"/>
      <c r="MA140" s="41"/>
      <c r="MB140" s="41"/>
      <c r="MC140" s="41"/>
      <c r="MD140" s="41"/>
      <c r="ME140" s="41"/>
      <c r="MF140" s="41"/>
      <c r="MG140" s="41"/>
      <c r="MH140" s="41"/>
      <c r="MI140" s="41"/>
      <c r="MJ140" s="41"/>
      <c r="MK140" s="41"/>
      <c r="ML140" s="41"/>
      <c r="MM140" s="41"/>
      <c r="MN140" s="41"/>
      <c r="MO140" s="41"/>
      <c r="MP140" s="41"/>
      <c r="MQ140" s="41"/>
      <c r="MR140" s="41"/>
      <c r="MS140" s="41"/>
      <c r="MT140" s="41"/>
      <c r="MU140" s="41"/>
      <c r="MV140" s="41"/>
      <c r="MW140" s="41"/>
      <c r="MX140" s="41"/>
      <c r="MY140" s="41"/>
      <c r="MZ140" s="41"/>
      <c r="NA140" s="41"/>
      <c r="NB140" s="41"/>
      <c r="NC140" s="41"/>
      <c r="ND140" s="41"/>
      <c r="NE140" s="41"/>
      <c r="NF140" s="41"/>
      <c r="NG140" s="41"/>
      <c r="NH140" s="41"/>
      <c r="NI140" s="41"/>
      <c r="NJ140" s="41"/>
      <c r="NK140" s="41"/>
      <c r="NL140" s="41"/>
      <c r="NM140" s="41"/>
      <c r="NN140" s="41"/>
      <c r="NO140" s="41"/>
      <c r="NP140" s="41"/>
      <c r="NQ140" s="41"/>
      <c r="NR140" s="41"/>
      <c r="NS140" s="41"/>
      <c r="NT140" s="41"/>
      <c r="NU140" s="41"/>
      <c r="NV140" s="41"/>
      <c r="NW140" s="41"/>
      <c r="NX140" s="41"/>
      <c r="NY140" s="41"/>
      <c r="NZ140" s="41"/>
      <c r="OA140" s="41"/>
      <c r="OB140" s="41"/>
      <c r="OC140" s="41"/>
      <c r="OD140" s="41"/>
      <c r="OE140" s="41"/>
      <c r="OF140" s="41"/>
      <c r="OG140" s="41"/>
      <c r="OH140" s="41"/>
      <c r="OI140" s="41"/>
      <c r="OJ140" s="41"/>
      <c r="OK140" s="41"/>
      <c r="OL140" s="41"/>
      <c r="OM140" s="41"/>
      <c r="ON140" s="41"/>
      <c r="OO140" s="41"/>
      <c r="OP140" s="41"/>
      <c r="OQ140" s="41"/>
      <c r="OR140" s="41"/>
      <c r="OS140" s="41"/>
      <c r="OT140" s="41"/>
      <c r="OU140" s="41"/>
      <c r="OV140" s="41"/>
      <c r="OW140" s="41"/>
      <c r="OX140" s="41"/>
      <c r="OY140" s="41"/>
      <c r="OZ140" s="41"/>
      <c r="PA140" s="41"/>
      <c r="PB140" s="41"/>
      <c r="PC140" s="41"/>
      <c r="PD140" s="41"/>
      <c r="PE140" s="41"/>
      <c r="PF140" s="41"/>
      <c r="PG140" s="41"/>
      <c r="PH140" s="41"/>
      <c r="PI140" s="41"/>
      <c r="PJ140" s="41"/>
      <c r="PK140" s="41"/>
      <c r="PL140" s="41"/>
      <c r="PM140" s="41"/>
      <c r="PN140" s="41"/>
      <c r="PO140" s="41"/>
      <c r="PP140" s="41"/>
      <c r="PQ140" s="41"/>
      <c r="PR140" s="41"/>
      <c r="PS140" s="41"/>
      <c r="PT140" s="41"/>
      <c r="PU140" s="41"/>
      <c r="PV140" s="41"/>
      <c r="PW140" s="41"/>
      <c r="PX140" s="41"/>
      <c r="PY140" s="41"/>
      <c r="PZ140" s="41"/>
      <c r="QA140" s="41"/>
      <c r="QB140" s="41"/>
      <c r="QC140" s="41"/>
      <c r="QD140" s="41"/>
      <c r="QE140" s="41"/>
      <c r="QF140" s="41"/>
      <c r="QG140" s="41"/>
      <c r="QH140" s="41"/>
      <c r="QI140" s="41"/>
      <c r="QJ140" s="41"/>
      <c r="QK140" s="41"/>
      <c r="QL140" s="41"/>
      <c r="QM140" s="41"/>
      <c r="QN140" s="41"/>
      <c r="QO140" s="41"/>
      <c r="QP140" s="41"/>
      <c r="QQ140" s="41"/>
      <c r="QR140" s="41"/>
      <c r="QS140" s="41"/>
      <c r="QT140" s="41"/>
      <c r="QU140" s="41"/>
      <c r="QV140" s="41"/>
      <c r="QW140" s="41"/>
      <c r="QX140" s="41"/>
      <c r="QY140" s="41"/>
      <c r="QZ140" s="41"/>
      <c r="RA140" s="41"/>
      <c r="RB140" s="41"/>
      <c r="RC140" s="41"/>
      <c r="RD140" s="41"/>
      <c r="RE140" s="41"/>
      <c r="RF140" s="41"/>
      <c r="RG140" s="41"/>
      <c r="RH140" s="41"/>
      <c r="RI140" s="41"/>
      <c r="RJ140" s="41"/>
      <c r="RK140" s="41"/>
      <c r="RL140" s="41"/>
      <c r="RM140" s="41"/>
      <c r="RN140" s="41"/>
      <c r="RO140" s="41"/>
      <c r="RP140" s="41"/>
      <c r="RQ140" s="41"/>
      <c r="RR140" s="41"/>
      <c r="RS140" s="41"/>
      <c r="RT140" s="41"/>
      <c r="RU140" s="41"/>
      <c r="RV140" s="41"/>
      <c r="RW140" s="41"/>
      <c r="RX140" s="41"/>
      <c r="RY140" s="41"/>
      <c r="RZ140" s="41"/>
      <c r="SA140" s="41"/>
      <c r="SB140" s="41"/>
      <c r="SC140" s="41"/>
      <c r="SD140" s="41"/>
      <c r="SE140" s="41"/>
      <c r="SF140" s="41"/>
      <c r="SG140" s="41"/>
      <c r="SH140" s="41"/>
      <c r="SI140" s="41"/>
      <c r="SJ140" s="41"/>
      <c r="SK140" s="41"/>
      <c r="SL140" s="41"/>
      <c r="SM140" s="41"/>
      <c r="SN140" s="41"/>
      <c r="SO140" s="41"/>
      <c r="SP140" s="41"/>
      <c r="SQ140" s="41"/>
      <c r="SR140" s="41"/>
      <c r="SS140" s="41"/>
      <c r="ST140" s="41"/>
      <c r="SU140" s="41"/>
      <c r="SV140" s="41"/>
      <c r="SW140" s="41"/>
      <c r="SX140" s="41"/>
      <c r="SY140" s="41"/>
      <c r="SZ140" s="41"/>
      <c r="TA140" s="41"/>
      <c r="TB140" s="41"/>
      <c r="TC140" s="41"/>
      <c r="TD140" s="41"/>
      <c r="TE140" s="41"/>
      <c r="TF140" s="41"/>
      <c r="TG140" s="41"/>
      <c r="TH140" s="41"/>
      <c r="TI140" s="41"/>
      <c r="TJ140" s="41"/>
      <c r="TK140" s="41"/>
      <c r="TL140" s="41"/>
      <c r="TM140" s="41"/>
      <c r="TN140" s="41"/>
      <c r="TO140" s="41"/>
      <c r="TP140" s="41"/>
      <c r="TQ140" s="41"/>
      <c r="TR140" s="41"/>
      <c r="TS140" s="41"/>
      <c r="TT140" s="41"/>
      <c r="TU140" s="41"/>
      <c r="TV140" s="41"/>
      <c r="TW140" s="41"/>
      <c r="TX140" s="41"/>
      <c r="TY140" s="41"/>
      <c r="TZ140" s="41"/>
      <c r="UA140" s="41"/>
      <c r="UB140" s="41"/>
      <c r="UC140" s="41"/>
      <c r="UD140" s="41"/>
      <c r="UE140" s="41"/>
      <c r="UF140" s="41"/>
      <c r="UG140" s="41"/>
      <c r="UH140" s="41"/>
      <c r="UI140" s="41"/>
      <c r="UJ140" s="41"/>
      <c r="UK140" s="41"/>
      <c r="UL140" s="41"/>
      <c r="UM140" s="41"/>
      <c r="UN140" s="41"/>
      <c r="UO140" s="41"/>
      <c r="UP140" s="41"/>
      <c r="UQ140" s="41"/>
      <c r="UR140" s="41"/>
      <c r="US140" s="41"/>
      <c r="UT140" s="41"/>
      <c r="UU140" s="41"/>
      <c r="UV140" s="41"/>
      <c r="UW140" s="41"/>
      <c r="UX140" s="41"/>
      <c r="UY140" s="41"/>
      <c r="UZ140" s="41"/>
      <c r="VA140" s="41"/>
      <c r="VB140" s="41"/>
      <c r="VC140" s="41"/>
      <c r="VD140" s="41"/>
      <c r="VE140" s="41"/>
      <c r="VF140" s="41"/>
      <c r="VG140" s="41"/>
      <c r="VH140" s="41"/>
      <c r="VI140" s="41"/>
      <c r="VJ140" s="41"/>
      <c r="VK140" s="41"/>
      <c r="VL140" s="41"/>
      <c r="VM140" s="41"/>
      <c r="VN140" s="41"/>
      <c r="VO140" s="41"/>
      <c r="VP140" s="41"/>
      <c r="VQ140" s="41"/>
      <c r="VR140" s="41"/>
      <c r="VS140" s="41"/>
      <c r="VT140" s="41"/>
      <c r="VU140" s="41"/>
      <c r="VV140" s="41"/>
      <c r="VW140" s="41"/>
      <c r="VX140" s="41"/>
      <c r="VY140" s="41"/>
      <c r="VZ140" s="41"/>
      <c r="WA140" s="41"/>
      <c r="WB140" s="41"/>
      <c r="WC140" s="41"/>
      <c r="WD140" s="41"/>
      <c r="WE140" s="41"/>
      <c r="WF140" s="41"/>
      <c r="WG140" s="41"/>
      <c r="WH140" s="41"/>
      <c r="WI140" s="41"/>
      <c r="WJ140" s="41"/>
      <c r="WK140" s="41"/>
      <c r="WL140" s="41"/>
      <c r="WM140" s="41"/>
      <c r="WN140" s="41"/>
      <c r="WO140" s="41"/>
      <c r="WP140" s="41"/>
      <c r="WQ140" s="41"/>
      <c r="WR140" s="41"/>
      <c r="WS140" s="41"/>
      <c r="WT140" s="41"/>
      <c r="WU140" s="41"/>
      <c r="WV140" s="41"/>
      <c r="WW140" s="41"/>
      <c r="WX140" s="41"/>
      <c r="WY140" s="41"/>
      <c r="WZ140" s="41"/>
      <c r="XA140" s="41"/>
      <c r="XB140" s="41"/>
      <c r="XC140" s="41"/>
      <c r="XD140" s="41"/>
      <c r="XE140" s="41"/>
      <c r="XF140" s="41"/>
      <c r="XG140" s="41"/>
      <c r="XH140" s="41"/>
      <c r="XI140" s="41"/>
      <c r="XJ140" s="41"/>
      <c r="XK140" s="41"/>
      <c r="XL140" s="41"/>
      <c r="XM140" s="41"/>
      <c r="XN140" s="41"/>
      <c r="XO140" s="41"/>
      <c r="XP140" s="41"/>
      <c r="XQ140" s="41"/>
      <c r="XR140" s="41"/>
      <c r="XS140" s="41"/>
      <c r="XT140" s="41"/>
      <c r="XU140" s="41"/>
      <c r="XV140" s="41"/>
      <c r="XW140" s="41"/>
      <c r="XX140" s="41"/>
      <c r="XY140" s="41"/>
      <c r="XZ140" s="41"/>
      <c r="YA140" s="41"/>
      <c r="YB140" s="41"/>
      <c r="YC140" s="41"/>
      <c r="YD140" s="41"/>
      <c r="YE140" s="41"/>
      <c r="YF140" s="41"/>
      <c r="YG140" s="41"/>
      <c r="YH140" s="41"/>
      <c r="YI140" s="41"/>
      <c r="YJ140" s="41"/>
      <c r="YK140" s="41"/>
      <c r="YL140" s="41"/>
      <c r="YM140" s="41"/>
      <c r="YN140" s="41"/>
      <c r="YO140" s="41"/>
      <c r="YP140" s="41"/>
      <c r="YQ140" s="41"/>
      <c r="YR140" s="41"/>
      <c r="YS140" s="41"/>
      <c r="YT140" s="41"/>
      <c r="YU140" s="41"/>
      <c r="YV140" s="41"/>
      <c r="YW140" s="41"/>
      <c r="YX140" s="41"/>
      <c r="YY140" s="41"/>
      <c r="YZ140" s="41"/>
      <c r="ZA140" s="41"/>
      <c r="ZB140" s="41"/>
      <c r="ZC140" s="41"/>
      <c r="ZD140" s="41"/>
      <c r="ZE140" s="41"/>
      <c r="ZF140" s="41"/>
      <c r="ZG140" s="41"/>
      <c r="ZH140" s="41"/>
      <c r="ZI140" s="41"/>
      <c r="ZJ140" s="41"/>
      <c r="ZK140" s="41"/>
      <c r="ZL140" s="41"/>
      <c r="ZM140" s="41"/>
      <c r="ZN140" s="41"/>
      <c r="ZO140" s="41"/>
      <c r="ZP140" s="41"/>
      <c r="ZQ140" s="41"/>
      <c r="ZR140" s="41"/>
      <c r="ZS140" s="41"/>
      <c r="ZT140" s="41"/>
      <c r="ZU140" s="41"/>
      <c r="ZV140" s="41"/>
      <c r="ZW140" s="41"/>
      <c r="ZX140" s="41"/>
      <c r="ZY140" s="41"/>
      <c r="ZZ140" s="41"/>
      <c r="AAA140" s="41"/>
      <c r="AAB140" s="41"/>
      <c r="AAC140" s="41"/>
    </row>
    <row r="141" spans="1:705" s="42" customFormat="1" ht="44.1" hidden="1" customHeight="1" x14ac:dyDescent="0.3">
      <c r="A141" s="26">
        <v>137</v>
      </c>
      <c r="B141" s="137">
        <v>240376</v>
      </c>
      <c r="C141" s="138">
        <v>137</v>
      </c>
      <c r="D141" s="139">
        <v>45935</v>
      </c>
      <c r="E141" s="139">
        <f t="shared" si="23"/>
        <v>45934</v>
      </c>
      <c r="F141" s="139">
        <f t="shared" si="22"/>
        <v>45945</v>
      </c>
      <c r="G141" s="139">
        <v>45996</v>
      </c>
      <c r="H141" s="139">
        <v>45971</v>
      </c>
      <c r="I141" s="139" t="s">
        <v>123</v>
      </c>
      <c r="J141" s="140" t="s">
        <v>380</v>
      </c>
      <c r="K141" s="141">
        <f t="shared" si="24"/>
        <v>26</v>
      </c>
      <c r="L141" s="141">
        <v>1151236</v>
      </c>
      <c r="M141" s="140" t="s">
        <v>15</v>
      </c>
      <c r="N141" s="140">
        <v>805339</v>
      </c>
      <c r="O141" s="137" t="s">
        <v>246</v>
      </c>
      <c r="P141" s="143">
        <v>45945</v>
      </c>
      <c r="Q141" s="143">
        <v>46128</v>
      </c>
      <c r="R141" s="157" t="s">
        <v>211</v>
      </c>
      <c r="S141" s="144" t="s">
        <v>381</v>
      </c>
      <c r="T141" s="145">
        <v>8</v>
      </c>
      <c r="U141" s="137" t="s">
        <v>82</v>
      </c>
      <c r="V141" s="146">
        <v>341</v>
      </c>
      <c r="W141" s="146">
        <v>341</v>
      </c>
      <c r="X141" s="147">
        <v>0</v>
      </c>
      <c r="Y141" s="146">
        <v>0</v>
      </c>
      <c r="Z141" s="146">
        <v>0</v>
      </c>
      <c r="AA141" s="146">
        <v>0</v>
      </c>
      <c r="AB141" s="146">
        <v>13</v>
      </c>
      <c r="AC141" s="146">
        <v>13</v>
      </c>
      <c r="AD141" s="146">
        <v>0</v>
      </c>
      <c r="AE141" s="146">
        <v>0</v>
      </c>
      <c r="AF141" s="146">
        <v>0</v>
      </c>
      <c r="AG141" s="146">
        <v>0</v>
      </c>
      <c r="AH141" s="146">
        <v>8</v>
      </c>
      <c r="AI141" s="146">
        <v>8</v>
      </c>
      <c r="AJ141" s="146">
        <v>1</v>
      </c>
      <c r="AK141" s="146">
        <v>1</v>
      </c>
      <c r="AL141" s="146">
        <v>3</v>
      </c>
      <c r="AM141" s="146">
        <v>3</v>
      </c>
      <c r="AN141" s="146">
        <v>3</v>
      </c>
      <c r="AO141" s="146">
        <v>3</v>
      </c>
      <c r="AP141" s="146">
        <v>10</v>
      </c>
      <c r="AQ141" s="146">
        <v>10</v>
      </c>
      <c r="AR141" s="146">
        <v>0</v>
      </c>
      <c r="AS141" s="146">
        <v>0</v>
      </c>
      <c r="AT141" s="146">
        <v>8</v>
      </c>
      <c r="AU141" s="146">
        <v>8</v>
      </c>
      <c r="AV141" s="146">
        <v>0</v>
      </c>
      <c r="AW141" s="146">
        <v>0</v>
      </c>
      <c r="AX141" s="146">
        <f t="shared" si="21"/>
        <v>33986</v>
      </c>
      <c r="AY141" s="146">
        <f t="shared" si="20"/>
        <v>33986</v>
      </c>
      <c r="AZ141" s="140" t="s">
        <v>562</v>
      </c>
      <c r="BA141" s="140" t="s">
        <v>562</v>
      </c>
      <c r="BB141" s="137">
        <v>3</v>
      </c>
      <c r="BC141" s="148">
        <v>137</v>
      </c>
      <c r="BD141" s="149"/>
      <c r="BE141" s="145"/>
      <c r="BF141" s="150"/>
      <c r="BG141" s="151">
        <v>45962</v>
      </c>
      <c r="BH141" s="153" t="s">
        <v>535</v>
      </c>
      <c r="BI141" s="153" t="s">
        <v>562</v>
      </c>
      <c r="CC141" s="41"/>
      <c r="CD141" s="41"/>
      <c r="CE141" s="41"/>
      <c r="CF141" s="41"/>
      <c r="CG141" s="41"/>
      <c r="CH141" s="41"/>
      <c r="CI141" s="41"/>
      <c r="CJ141" s="41"/>
      <c r="CK141" s="41"/>
      <c r="CL141" s="41"/>
      <c r="CM141" s="41"/>
      <c r="CN141" s="41"/>
      <c r="CO141" s="41"/>
      <c r="CP141" s="41"/>
      <c r="CQ141" s="41"/>
      <c r="CR141" s="41"/>
      <c r="CS141" s="41"/>
      <c r="CT141" s="41"/>
      <c r="CU141" s="41"/>
      <c r="CV141" s="41"/>
      <c r="CW141" s="41"/>
      <c r="CX141" s="41"/>
      <c r="CY141" s="41"/>
      <c r="CZ141" s="41"/>
      <c r="DA141" s="41"/>
      <c r="DB141" s="41"/>
      <c r="DC141" s="41"/>
      <c r="DD141" s="41"/>
      <c r="DE141" s="41"/>
      <c r="DF141" s="41"/>
      <c r="DG141" s="41"/>
      <c r="DH141" s="41"/>
      <c r="DI141" s="41"/>
      <c r="DJ141" s="41"/>
      <c r="DK141" s="41"/>
      <c r="DL141" s="41"/>
      <c r="DM141" s="41"/>
      <c r="DN141" s="41"/>
      <c r="DO141" s="41"/>
      <c r="DP141" s="41"/>
      <c r="DQ141" s="41"/>
      <c r="DR141" s="41"/>
      <c r="DS141" s="41"/>
      <c r="DT141" s="41"/>
      <c r="DU141" s="41"/>
      <c r="DV141" s="41"/>
      <c r="DW141" s="41"/>
      <c r="DX141" s="41"/>
      <c r="DY141" s="41"/>
      <c r="DZ141" s="41"/>
      <c r="EA141" s="41"/>
      <c r="EB141" s="41"/>
      <c r="EC141" s="41"/>
      <c r="ED141" s="41"/>
      <c r="EE141" s="41"/>
      <c r="EF141" s="41"/>
      <c r="EG141" s="41"/>
      <c r="EH141" s="41"/>
      <c r="EI141" s="41"/>
      <c r="EJ141" s="41"/>
      <c r="EK141" s="41"/>
      <c r="EL141" s="41"/>
      <c r="EM141" s="41"/>
      <c r="EN141" s="41"/>
      <c r="EO141" s="41"/>
      <c r="EP141" s="41"/>
      <c r="EQ141" s="41"/>
      <c r="ER141" s="41"/>
      <c r="ES141" s="41"/>
      <c r="ET141" s="41"/>
      <c r="EU141" s="41"/>
      <c r="EV141" s="41"/>
      <c r="EW141" s="41"/>
      <c r="EX141" s="41"/>
      <c r="EY141" s="41"/>
      <c r="EZ141" s="41"/>
      <c r="FA141" s="41"/>
      <c r="FB141" s="41"/>
      <c r="FC141" s="41"/>
      <c r="FD141" s="41"/>
      <c r="FE141" s="41"/>
      <c r="FF141" s="41"/>
      <c r="FG141" s="41"/>
      <c r="FH141" s="41"/>
      <c r="FI141" s="41"/>
      <c r="FJ141" s="41"/>
      <c r="FK141" s="41"/>
      <c r="FL141" s="41"/>
      <c r="FM141" s="41"/>
      <c r="FN141" s="41"/>
      <c r="FO141" s="41"/>
      <c r="FP141" s="41"/>
      <c r="FQ141" s="41"/>
      <c r="FR141" s="41"/>
      <c r="FS141" s="41"/>
      <c r="FT141" s="41"/>
      <c r="FU141" s="41"/>
      <c r="FV141" s="41"/>
      <c r="FW141" s="41"/>
      <c r="FX141" s="41"/>
      <c r="FY141" s="41"/>
      <c r="FZ141" s="41"/>
      <c r="GA141" s="41"/>
      <c r="GB141" s="41"/>
      <c r="GC141" s="41"/>
      <c r="GD141" s="41"/>
      <c r="GE141" s="41"/>
      <c r="GF141" s="41"/>
      <c r="GG141" s="41"/>
      <c r="GH141" s="41"/>
      <c r="GI141" s="41"/>
      <c r="GJ141" s="41"/>
      <c r="GK141" s="41"/>
      <c r="GL141" s="41"/>
      <c r="GM141" s="41"/>
      <c r="GN141" s="41"/>
      <c r="GO141" s="41"/>
      <c r="GP141" s="41"/>
      <c r="GQ141" s="41"/>
      <c r="GR141" s="41"/>
      <c r="GS141" s="41"/>
      <c r="GT141" s="41"/>
      <c r="GU141" s="41"/>
      <c r="GV141" s="41"/>
      <c r="GW141" s="41"/>
      <c r="GX141" s="41"/>
      <c r="GY141" s="41"/>
      <c r="GZ141" s="41"/>
      <c r="HA141" s="41"/>
      <c r="HB141" s="41"/>
      <c r="HC141" s="41"/>
      <c r="HD141" s="41"/>
      <c r="HE141" s="41"/>
      <c r="HF141" s="41"/>
      <c r="HG141" s="41"/>
      <c r="HH141" s="41"/>
      <c r="HI141" s="41"/>
      <c r="HJ141" s="41"/>
      <c r="HK141" s="41"/>
      <c r="HL141" s="41"/>
      <c r="HM141" s="41"/>
      <c r="HN141" s="41"/>
      <c r="HO141" s="41"/>
      <c r="HP141" s="41"/>
      <c r="HQ141" s="41"/>
      <c r="HR141" s="41"/>
      <c r="HS141" s="41"/>
      <c r="HT141" s="41"/>
      <c r="HU141" s="41"/>
      <c r="HV141" s="41"/>
      <c r="HW141" s="41"/>
      <c r="HX141" s="41"/>
      <c r="HY141" s="41"/>
      <c r="HZ141" s="41"/>
      <c r="IA141" s="41"/>
      <c r="IB141" s="41"/>
      <c r="IC141" s="41"/>
      <c r="ID141" s="41"/>
      <c r="IE141" s="41"/>
      <c r="IF141" s="41"/>
      <c r="IG141" s="41"/>
      <c r="IH141" s="41"/>
      <c r="II141" s="41"/>
      <c r="IJ141" s="41"/>
      <c r="IK141" s="41"/>
      <c r="IL141" s="41"/>
      <c r="IM141" s="41"/>
      <c r="IN141" s="41"/>
      <c r="IO141" s="41"/>
      <c r="IP141" s="41"/>
      <c r="IQ141" s="41"/>
      <c r="IR141" s="41"/>
      <c r="IS141" s="41"/>
      <c r="IT141" s="41"/>
      <c r="IU141" s="41"/>
      <c r="IV141" s="41"/>
      <c r="IW141" s="41"/>
      <c r="IX141" s="41"/>
      <c r="IY141" s="41"/>
      <c r="IZ141" s="41"/>
      <c r="JA141" s="41"/>
      <c r="JB141" s="41"/>
      <c r="JC141" s="41"/>
      <c r="JD141" s="41"/>
      <c r="JE141" s="41"/>
      <c r="JF141" s="41"/>
      <c r="JG141" s="41"/>
      <c r="JH141" s="41"/>
      <c r="JI141" s="41"/>
      <c r="JJ141" s="41"/>
      <c r="JK141" s="41"/>
      <c r="JL141" s="41"/>
      <c r="JM141" s="41"/>
      <c r="JN141" s="41"/>
      <c r="JO141" s="41"/>
      <c r="JP141" s="41"/>
      <c r="JQ141" s="41"/>
      <c r="JR141" s="41"/>
      <c r="JS141" s="41"/>
      <c r="JT141" s="41"/>
      <c r="JU141" s="41"/>
      <c r="JV141" s="41"/>
      <c r="JW141" s="41"/>
      <c r="JX141" s="41"/>
      <c r="JY141" s="41"/>
      <c r="JZ141" s="41"/>
      <c r="KA141" s="41"/>
      <c r="KB141" s="41"/>
      <c r="KC141" s="41"/>
      <c r="KD141" s="41"/>
      <c r="KE141" s="41"/>
      <c r="KF141" s="41"/>
      <c r="KG141" s="41"/>
      <c r="KH141" s="41"/>
      <c r="KI141" s="41"/>
      <c r="KJ141" s="41"/>
      <c r="KK141" s="41"/>
      <c r="KL141" s="41"/>
      <c r="KM141" s="41"/>
      <c r="KN141" s="41"/>
      <c r="KO141" s="41"/>
      <c r="KP141" s="41"/>
      <c r="KQ141" s="41"/>
      <c r="KR141" s="41"/>
      <c r="KS141" s="41"/>
      <c r="KT141" s="41"/>
      <c r="KU141" s="41"/>
      <c r="KV141" s="41"/>
      <c r="KW141" s="41"/>
      <c r="KX141" s="41"/>
      <c r="KY141" s="41"/>
      <c r="KZ141" s="41"/>
      <c r="LA141" s="41"/>
      <c r="LB141" s="41"/>
      <c r="LC141" s="41"/>
      <c r="LD141" s="41"/>
      <c r="LE141" s="41"/>
      <c r="LF141" s="41"/>
      <c r="LG141" s="41"/>
      <c r="LH141" s="41"/>
      <c r="LI141" s="41"/>
      <c r="LJ141" s="41"/>
      <c r="LK141" s="41"/>
      <c r="LL141" s="41"/>
      <c r="LM141" s="41"/>
      <c r="LN141" s="41"/>
      <c r="LO141" s="41"/>
      <c r="LP141" s="41"/>
      <c r="LQ141" s="41"/>
      <c r="LR141" s="41"/>
      <c r="LS141" s="41"/>
      <c r="LT141" s="41"/>
      <c r="LU141" s="41"/>
      <c r="LV141" s="41"/>
      <c r="LW141" s="41"/>
      <c r="LX141" s="41"/>
      <c r="LY141" s="41"/>
      <c r="LZ141" s="41"/>
      <c r="MA141" s="41"/>
      <c r="MB141" s="41"/>
      <c r="MC141" s="41"/>
      <c r="MD141" s="41"/>
      <c r="ME141" s="41"/>
      <c r="MF141" s="41"/>
      <c r="MG141" s="41"/>
      <c r="MH141" s="41"/>
      <c r="MI141" s="41"/>
      <c r="MJ141" s="41"/>
      <c r="MK141" s="41"/>
      <c r="ML141" s="41"/>
      <c r="MM141" s="41"/>
      <c r="MN141" s="41"/>
      <c r="MO141" s="41"/>
      <c r="MP141" s="41"/>
      <c r="MQ141" s="41"/>
      <c r="MR141" s="41"/>
      <c r="MS141" s="41"/>
      <c r="MT141" s="41"/>
      <c r="MU141" s="41"/>
      <c r="MV141" s="41"/>
      <c r="MW141" s="41"/>
      <c r="MX141" s="41"/>
      <c r="MY141" s="41"/>
      <c r="MZ141" s="41"/>
      <c r="NA141" s="41"/>
      <c r="NB141" s="41"/>
      <c r="NC141" s="41"/>
      <c r="ND141" s="41"/>
      <c r="NE141" s="41"/>
      <c r="NF141" s="41"/>
      <c r="NG141" s="41"/>
      <c r="NH141" s="41"/>
      <c r="NI141" s="41"/>
      <c r="NJ141" s="41"/>
      <c r="NK141" s="41"/>
      <c r="NL141" s="41"/>
      <c r="NM141" s="41"/>
      <c r="NN141" s="41"/>
      <c r="NO141" s="41"/>
      <c r="NP141" s="41"/>
      <c r="NQ141" s="41"/>
      <c r="NR141" s="41"/>
      <c r="NS141" s="41"/>
      <c r="NT141" s="41"/>
      <c r="NU141" s="41"/>
      <c r="NV141" s="41"/>
      <c r="NW141" s="41"/>
      <c r="NX141" s="41"/>
      <c r="NY141" s="41"/>
      <c r="NZ141" s="41"/>
      <c r="OA141" s="41"/>
      <c r="OB141" s="41"/>
      <c r="OC141" s="41"/>
      <c r="OD141" s="41"/>
      <c r="OE141" s="41"/>
      <c r="OF141" s="41"/>
      <c r="OG141" s="41"/>
      <c r="OH141" s="41"/>
      <c r="OI141" s="41"/>
      <c r="OJ141" s="41"/>
      <c r="OK141" s="41"/>
      <c r="OL141" s="41"/>
      <c r="OM141" s="41"/>
      <c r="ON141" s="41"/>
      <c r="OO141" s="41"/>
      <c r="OP141" s="41"/>
      <c r="OQ141" s="41"/>
      <c r="OR141" s="41"/>
      <c r="OS141" s="41"/>
      <c r="OT141" s="41"/>
      <c r="OU141" s="41"/>
      <c r="OV141" s="41"/>
      <c r="OW141" s="41"/>
      <c r="OX141" s="41"/>
      <c r="OY141" s="41"/>
      <c r="OZ141" s="41"/>
      <c r="PA141" s="41"/>
      <c r="PB141" s="41"/>
      <c r="PC141" s="41"/>
      <c r="PD141" s="41"/>
      <c r="PE141" s="41"/>
      <c r="PF141" s="41"/>
      <c r="PG141" s="41"/>
      <c r="PH141" s="41"/>
      <c r="PI141" s="41"/>
      <c r="PJ141" s="41"/>
      <c r="PK141" s="41"/>
      <c r="PL141" s="41"/>
      <c r="PM141" s="41"/>
      <c r="PN141" s="41"/>
      <c r="PO141" s="41"/>
      <c r="PP141" s="41"/>
      <c r="PQ141" s="41"/>
      <c r="PR141" s="41"/>
      <c r="PS141" s="41"/>
      <c r="PT141" s="41"/>
      <c r="PU141" s="41"/>
      <c r="PV141" s="41"/>
      <c r="PW141" s="41"/>
      <c r="PX141" s="41"/>
      <c r="PY141" s="41"/>
      <c r="PZ141" s="41"/>
      <c r="QA141" s="41"/>
      <c r="QB141" s="41"/>
      <c r="QC141" s="41"/>
      <c r="QD141" s="41"/>
      <c r="QE141" s="41"/>
      <c r="QF141" s="41"/>
      <c r="QG141" s="41"/>
      <c r="QH141" s="41"/>
      <c r="QI141" s="41"/>
      <c r="QJ141" s="41"/>
      <c r="QK141" s="41"/>
      <c r="QL141" s="41"/>
      <c r="QM141" s="41"/>
      <c r="QN141" s="41"/>
      <c r="QO141" s="41"/>
      <c r="QP141" s="41"/>
      <c r="QQ141" s="41"/>
      <c r="QR141" s="41"/>
      <c r="QS141" s="41"/>
      <c r="QT141" s="41"/>
      <c r="QU141" s="41"/>
      <c r="QV141" s="41"/>
      <c r="QW141" s="41"/>
      <c r="QX141" s="41"/>
      <c r="QY141" s="41"/>
      <c r="QZ141" s="41"/>
      <c r="RA141" s="41"/>
      <c r="RB141" s="41"/>
      <c r="RC141" s="41"/>
      <c r="RD141" s="41"/>
      <c r="RE141" s="41"/>
      <c r="RF141" s="41"/>
      <c r="RG141" s="41"/>
      <c r="RH141" s="41"/>
      <c r="RI141" s="41"/>
      <c r="RJ141" s="41"/>
      <c r="RK141" s="41"/>
      <c r="RL141" s="41"/>
      <c r="RM141" s="41"/>
      <c r="RN141" s="41"/>
      <c r="RO141" s="41"/>
      <c r="RP141" s="41"/>
      <c r="RQ141" s="41"/>
      <c r="RR141" s="41"/>
      <c r="RS141" s="41"/>
      <c r="RT141" s="41"/>
      <c r="RU141" s="41"/>
      <c r="RV141" s="41"/>
      <c r="RW141" s="41"/>
      <c r="RX141" s="41"/>
      <c r="RY141" s="41"/>
      <c r="RZ141" s="41"/>
      <c r="SA141" s="41"/>
      <c r="SB141" s="41"/>
      <c r="SC141" s="41"/>
      <c r="SD141" s="41"/>
      <c r="SE141" s="41"/>
      <c r="SF141" s="41"/>
      <c r="SG141" s="41"/>
      <c r="SH141" s="41"/>
      <c r="SI141" s="41"/>
      <c r="SJ141" s="41"/>
      <c r="SK141" s="41"/>
      <c r="SL141" s="41"/>
      <c r="SM141" s="41"/>
      <c r="SN141" s="41"/>
      <c r="SO141" s="41"/>
      <c r="SP141" s="41"/>
      <c r="SQ141" s="41"/>
      <c r="SR141" s="41"/>
      <c r="SS141" s="41"/>
      <c r="ST141" s="41"/>
      <c r="SU141" s="41"/>
      <c r="SV141" s="41"/>
      <c r="SW141" s="41"/>
      <c r="SX141" s="41"/>
      <c r="SY141" s="41"/>
      <c r="SZ141" s="41"/>
      <c r="TA141" s="41"/>
      <c r="TB141" s="41"/>
      <c r="TC141" s="41"/>
      <c r="TD141" s="41"/>
      <c r="TE141" s="41"/>
      <c r="TF141" s="41"/>
      <c r="TG141" s="41"/>
      <c r="TH141" s="41"/>
      <c r="TI141" s="41"/>
      <c r="TJ141" s="41"/>
      <c r="TK141" s="41"/>
      <c r="TL141" s="41"/>
      <c r="TM141" s="41"/>
      <c r="TN141" s="41"/>
      <c r="TO141" s="41"/>
      <c r="TP141" s="41"/>
      <c r="TQ141" s="41"/>
      <c r="TR141" s="41"/>
      <c r="TS141" s="41"/>
      <c r="TT141" s="41"/>
      <c r="TU141" s="41"/>
      <c r="TV141" s="41"/>
      <c r="TW141" s="41"/>
      <c r="TX141" s="41"/>
      <c r="TY141" s="41"/>
      <c r="TZ141" s="41"/>
      <c r="UA141" s="41"/>
      <c r="UB141" s="41"/>
      <c r="UC141" s="41"/>
      <c r="UD141" s="41"/>
      <c r="UE141" s="41"/>
      <c r="UF141" s="41"/>
      <c r="UG141" s="41"/>
      <c r="UH141" s="41"/>
      <c r="UI141" s="41"/>
      <c r="UJ141" s="41"/>
      <c r="UK141" s="41"/>
      <c r="UL141" s="41"/>
      <c r="UM141" s="41"/>
      <c r="UN141" s="41"/>
      <c r="UO141" s="41"/>
      <c r="UP141" s="41"/>
      <c r="UQ141" s="41"/>
      <c r="UR141" s="41"/>
      <c r="US141" s="41"/>
      <c r="UT141" s="41"/>
      <c r="UU141" s="41"/>
      <c r="UV141" s="41"/>
      <c r="UW141" s="41"/>
      <c r="UX141" s="41"/>
      <c r="UY141" s="41"/>
      <c r="UZ141" s="41"/>
      <c r="VA141" s="41"/>
      <c r="VB141" s="41"/>
      <c r="VC141" s="41"/>
      <c r="VD141" s="41"/>
      <c r="VE141" s="41"/>
      <c r="VF141" s="41"/>
      <c r="VG141" s="41"/>
      <c r="VH141" s="41"/>
      <c r="VI141" s="41"/>
      <c r="VJ141" s="41"/>
      <c r="VK141" s="41"/>
      <c r="VL141" s="41"/>
      <c r="VM141" s="41"/>
      <c r="VN141" s="41"/>
      <c r="VO141" s="41"/>
      <c r="VP141" s="41"/>
      <c r="VQ141" s="41"/>
      <c r="VR141" s="41"/>
      <c r="VS141" s="41"/>
      <c r="VT141" s="41"/>
      <c r="VU141" s="41"/>
      <c r="VV141" s="41"/>
      <c r="VW141" s="41"/>
      <c r="VX141" s="41"/>
      <c r="VY141" s="41"/>
      <c r="VZ141" s="41"/>
      <c r="WA141" s="41"/>
      <c r="WB141" s="41"/>
      <c r="WC141" s="41"/>
      <c r="WD141" s="41"/>
      <c r="WE141" s="41"/>
      <c r="WF141" s="41"/>
      <c r="WG141" s="41"/>
      <c r="WH141" s="41"/>
      <c r="WI141" s="41"/>
      <c r="WJ141" s="41"/>
      <c r="WK141" s="41"/>
      <c r="WL141" s="41"/>
      <c r="WM141" s="41"/>
      <c r="WN141" s="41"/>
      <c r="WO141" s="41"/>
      <c r="WP141" s="41"/>
      <c r="WQ141" s="41"/>
      <c r="WR141" s="41"/>
      <c r="WS141" s="41"/>
      <c r="WT141" s="41"/>
      <c r="WU141" s="41"/>
      <c r="WV141" s="41"/>
      <c r="WW141" s="41"/>
      <c r="WX141" s="41"/>
      <c r="WY141" s="41"/>
      <c r="WZ141" s="41"/>
      <c r="XA141" s="41"/>
      <c r="XB141" s="41"/>
      <c r="XC141" s="41"/>
      <c r="XD141" s="41"/>
      <c r="XE141" s="41"/>
      <c r="XF141" s="41"/>
      <c r="XG141" s="41"/>
      <c r="XH141" s="41"/>
      <c r="XI141" s="41"/>
      <c r="XJ141" s="41"/>
      <c r="XK141" s="41"/>
      <c r="XL141" s="41"/>
      <c r="XM141" s="41"/>
      <c r="XN141" s="41"/>
      <c r="XO141" s="41"/>
      <c r="XP141" s="41"/>
      <c r="XQ141" s="41"/>
      <c r="XR141" s="41"/>
      <c r="XS141" s="41"/>
      <c r="XT141" s="41"/>
      <c r="XU141" s="41"/>
      <c r="XV141" s="41"/>
      <c r="XW141" s="41"/>
      <c r="XX141" s="41"/>
      <c r="XY141" s="41"/>
      <c r="XZ141" s="41"/>
      <c r="YA141" s="41"/>
      <c r="YB141" s="41"/>
      <c r="YC141" s="41"/>
      <c r="YD141" s="41"/>
      <c r="YE141" s="41"/>
      <c r="YF141" s="41"/>
      <c r="YG141" s="41"/>
      <c r="YH141" s="41"/>
      <c r="YI141" s="41"/>
      <c r="YJ141" s="41"/>
      <c r="YK141" s="41"/>
      <c r="YL141" s="41"/>
      <c r="YM141" s="41"/>
      <c r="YN141" s="41"/>
      <c r="YO141" s="41"/>
      <c r="YP141" s="41"/>
      <c r="YQ141" s="41"/>
      <c r="YR141" s="41"/>
      <c r="YS141" s="41"/>
      <c r="YT141" s="41"/>
      <c r="YU141" s="41"/>
      <c r="YV141" s="41"/>
      <c r="YW141" s="41"/>
      <c r="YX141" s="41"/>
      <c r="YY141" s="41"/>
      <c r="YZ141" s="41"/>
      <c r="ZA141" s="41"/>
      <c r="ZB141" s="41"/>
      <c r="ZC141" s="41"/>
      <c r="ZD141" s="41"/>
      <c r="ZE141" s="41"/>
      <c r="ZF141" s="41"/>
      <c r="ZG141" s="41"/>
      <c r="ZH141" s="41"/>
      <c r="ZI141" s="41"/>
      <c r="ZJ141" s="41"/>
      <c r="ZK141" s="41"/>
      <c r="ZL141" s="41"/>
      <c r="ZM141" s="41"/>
      <c r="ZN141" s="41"/>
      <c r="ZO141" s="41"/>
      <c r="ZP141" s="41"/>
      <c r="ZQ141" s="41"/>
      <c r="ZR141" s="41"/>
      <c r="ZS141" s="41"/>
      <c r="ZT141" s="41"/>
      <c r="ZU141" s="41"/>
      <c r="ZV141" s="41"/>
      <c r="ZW141" s="41"/>
      <c r="ZX141" s="41"/>
      <c r="ZY141" s="41"/>
      <c r="ZZ141" s="41"/>
      <c r="AAA141" s="41"/>
      <c r="AAB141" s="41"/>
      <c r="AAC141" s="41"/>
    </row>
    <row r="142" spans="1:705" s="42" customFormat="1" ht="44.1" hidden="1" customHeight="1" x14ac:dyDescent="0.3">
      <c r="A142" s="26">
        <v>138</v>
      </c>
      <c r="B142" s="137">
        <v>240465</v>
      </c>
      <c r="C142" s="138">
        <v>138</v>
      </c>
      <c r="D142" s="139">
        <v>45936</v>
      </c>
      <c r="E142" s="139">
        <f t="shared" si="23"/>
        <v>45935</v>
      </c>
      <c r="F142" s="139">
        <f t="shared" si="22"/>
        <v>45946</v>
      </c>
      <c r="G142" s="139">
        <v>45946</v>
      </c>
      <c r="H142" s="139">
        <v>45945</v>
      </c>
      <c r="I142" s="139" t="s">
        <v>75</v>
      </c>
      <c r="J142" s="137" t="s">
        <v>375</v>
      </c>
      <c r="K142" s="141">
        <f t="shared" si="24"/>
        <v>-1</v>
      </c>
      <c r="L142" s="142">
        <v>1151637</v>
      </c>
      <c r="M142" s="140" t="s">
        <v>15</v>
      </c>
      <c r="N142" s="142">
        <v>805130</v>
      </c>
      <c r="O142" s="137" t="s">
        <v>246</v>
      </c>
      <c r="P142" s="190">
        <v>45938</v>
      </c>
      <c r="Q142" s="190">
        <v>45953</v>
      </c>
      <c r="R142" s="157" t="s">
        <v>211</v>
      </c>
      <c r="S142" s="144" t="s">
        <v>376</v>
      </c>
      <c r="T142" s="145">
        <v>1</v>
      </c>
      <c r="U142" s="137" t="s">
        <v>181</v>
      </c>
      <c r="V142" s="146">
        <v>15</v>
      </c>
      <c r="W142" s="146">
        <v>15</v>
      </c>
      <c r="X142" s="147">
        <v>0</v>
      </c>
      <c r="Y142" s="146">
        <v>0</v>
      </c>
      <c r="Z142" s="146">
        <v>0</v>
      </c>
      <c r="AA142" s="146">
        <v>0</v>
      </c>
      <c r="AB142" s="146">
        <v>15</v>
      </c>
      <c r="AC142" s="146">
        <v>15</v>
      </c>
      <c r="AD142" s="146">
        <v>0</v>
      </c>
      <c r="AE142" s="146">
        <v>0</v>
      </c>
      <c r="AF142" s="146">
        <v>0</v>
      </c>
      <c r="AG142" s="146">
        <v>0</v>
      </c>
      <c r="AH142" s="146">
        <v>1</v>
      </c>
      <c r="AI142" s="146">
        <v>1</v>
      </c>
      <c r="AJ142" s="146">
        <v>0</v>
      </c>
      <c r="AK142" s="146">
        <v>0</v>
      </c>
      <c r="AL142" s="146">
        <v>2</v>
      </c>
      <c r="AM142" s="146">
        <v>2</v>
      </c>
      <c r="AN142" s="146">
        <v>0</v>
      </c>
      <c r="AO142" s="146">
        <v>0</v>
      </c>
      <c r="AP142" s="146">
        <v>1</v>
      </c>
      <c r="AQ142" s="146">
        <v>1</v>
      </c>
      <c r="AR142" s="146">
        <v>0</v>
      </c>
      <c r="AS142" s="146">
        <v>0</v>
      </c>
      <c r="AT142" s="146">
        <v>0</v>
      </c>
      <c r="AU142" s="146"/>
      <c r="AV142" s="146">
        <v>1</v>
      </c>
      <c r="AW142" s="146">
        <v>1</v>
      </c>
      <c r="AX142" s="146">
        <f t="shared" si="21"/>
        <v>4685</v>
      </c>
      <c r="AY142" s="146">
        <f t="shared" si="20"/>
        <v>4685</v>
      </c>
      <c r="AZ142" s="140" t="s">
        <v>562</v>
      </c>
      <c r="BA142" s="140" t="s">
        <v>562</v>
      </c>
      <c r="BB142" s="140">
        <v>5</v>
      </c>
      <c r="BC142" s="191">
        <v>138</v>
      </c>
      <c r="BD142" s="149"/>
      <c r="BE142" s="145"/>
      <c r="BF142" s="150"/>
      <c r="BG142" s="188">
        <v>45931</v>
      </c>
      <c r="BH142" s="153" t="s">
        <v>15</v>
      </c>
      <c r="BI142" s="153" t="s">
        <v>562</v>
      </c>
      <c r="CC142" s="41"/>
      <c r="CD142" s="41"/>
      <c r="CE142" s="41"/>
      <c r="CF142" s="41"/>
      <c r="CG142" s="41"/>
      <c r="CH142" s="41"/>
      <c r="CI142" s="41"/>
      <c r="CJ142" s="41"/>
      <c r="CK142" s="41"/>
      <c r="CL142" s="41"/>
      <c r="CM142" s="41"/>
      <c r="CN142" s="41"/>
      <c r="CO142" s="41"/>
      <c r="CP142" s="41"/>
      <c r="CQ142" s="41"/>
      <c r="CR142" s="41"/>
      <c r="CS142" s="41"/>
      <c r="CT142" s="41"/>
      <c r="CU142" s="41"/>
      <c r="CV142" s="41"/>
      <c r="CW142" s="41"/>
      <c r="CX142" s="41"/>
      <c r="CY142" s="41"/>
      <c r="CZ142" s="41"/>
      <c r="DA142" s="41"/>
      <c r="DB142" s="41"/>
      <c r="DC142" s="41"/>
      <c r="DD142" s="41"/>
      <c r="DE142" s="41"/>
      <c r="DF142" s="41"/>
      <c r="DG142" s="41"/>
      <c r="DH142" s="41"/>
      <c r="DI142" s="41"/>
      <c r="DJ142" s="41"/>
      <c r="DK142" s="41"/>
      <c r="DL142" s="41"/>
      <c r="DM142" s="41"/>
      <c r="DN142" s="41"/>
      <c r="DO142" s="41"/>
      <c r="DP142" s="41"/>
      <c r="DQ142" s="41"/>
      <c r="DR142" s="41"/>
      <c r="DS142" s="41"/>
      <c r="DT142" s="41"/>
      <c r="DU142" s="41"/>
      <c r="DV142" s="41"/>
      <c r="DW142" s="41"/>
      <c r="DX142" s="41"/>
      <c r="DY142" s="41"/>
      <c r="DZ142" s="41"/>
      <c r="EA142" s="41"/>
      <c r="EB142" s="41"/>
      <c r="EC142" s="41"/>
      <c r="ED142" s="41"/>
      <c r="EE142" s="41"/>
      <c r="EF142" s="41"/>
      <c r="EG142" s="41"/>
      <c r="EH142" s="41"/>
      <c r="EI142" s="41"/>
      <c r="EJ142" s="41"/>
      <c r="EK142" s="41"/>
      <c r="EL142" s="41"/>
      <c r="EM142" s="41"/>
      <c r="EN142" s="41"/>
      <c r="EO142" s="41"/>
      <c r="EP142" s="41"/>
      <c r="EQ142" s="41"/>
      <c r="ER142" s="41"/>
      <c r="ES142" s="41"/>
      <c r="ET142" s="41"/>
      <c r="EU142" s="41"/>
      <c r="EV142" s="41"/>
      <c r="EW142" s="41"/>
      <c r="EX142" s="41"/>
      <c r="EY142" s="41"/>
      <c r="EZ142" s="41"/>
      <c r="FA142" s="41"/>
      <c r="FB142" s="41"/>
      <c r="FC142" s="41"/>
      <c r="FD142" s="41"/>
      <c r="FE142" s="41"/>
      <c r="FF142" s="41"/>
      <c r="FG142" s="41"/>
      <c r="FH142" s="41"/>
      <c r="FI142" s="41"/>
      <c r="FJ142" s="41"/>
      <c r="FK142" s="41"/>
      <c r="FL142" s="41"/>
      <c r="FM142" s="41"/>
      <c r="FN142" s="41"/>
      <c r="FO142" s="41"/>
      <c r="FP142" s="41"/>
      <c r="FQ142" s="41"/>
      <c r="FR142" s="41"/>
      <c r="FS142" s="41"/>
      <c r="FT142" s="41"/>
      <c r="FU142" s="41"/>
      <c r="FV142" s="41"/>
      <c r="FW142" s="41"/>
      <c r="FX142" s="41"/>
      <c r="FY142" s="41"/>
      <c r="FZ142" s="41"/>
      <c r="GA142" s="41"/>
      <c r="GB142" s="41"/>
      <c r="GC142" s="41"/>
      <c r="GD142" s="41"/>
      <c r="GE142" s="41"/>
      <c r="GF142" s="41"/>
      <c r="GG142" s="41"/>
      <c r="GH142" s="41"/>
      <c r="GI142" s="41"/>
      <c r="GJ142" s="41"/>
      <c r="GK142" s="41"/>
      <c r="GL142" s="41"/>
      <c r="GM142" s="41"/>
      <c r="GN142" s="41"/>
      <c r="GO142" s="41"/>
      <c r="GP142" s="41"/>
      <c r="GQ142" s="41"/>
      <c r="GR142" s="41"/>
      <c r="GS142" s="41"/>
      <c r="GT142" s="41"/>
      <c r="GU142" s="41"/>
      <c r="GV142" s="41"/>
      <c r="GW142" s="41"/>
      <c r="GX142" s="41"/>
      <c r="GY142" s="41"/>
      <c r="GZ142" s="41"/>
      <c r="HA142" s="41"/>
      <c r="HB142" s="41"/>
      <c r="HC142" s="41"/>
      <c r="HD142" s="41"/>
      <c r="HE142" s="41"/>
      <c r="HF142" s="41"/>
      <c r="HG142" s="41"/>
      <c r="HH142" s="41"/>
      <c r="HI142" s="41"/>
      <c r="HJ142" s="41"/>
      <c r="HK142" s="41"/>
      <c r="HL142" s="41"/>
      <c r="HM142" s="41"/>
      <c r="HN142" s="41"/>
      <c r="HO142" s="41"/>
      <c r="HP142" s="41"/>
      <c r="HQ142" s="41"/>
      <c r="HR142" s="41"/>
      <c r="HS142" s="41"/>
      <c r="HT142" s="41"/>
      <c r="HU142" s="41"/>
      <c r="HV142" s="41"/>
      <c r="HW142" s="41"/>
      <c r="HX142" s="41"/>
      <c r="HY142" s="41"/>
      <c r="HZ142" s="41"/>
      <c r="IA142" s="41"/>
      <c r="IB142" s="41"/>
      <c r="IC142" s="41"/>
      <c r="ID142" s="41"/>
      <c r="IE142" s="41"/>
      <c r="IF142" s="41"/>
      <c r="IG142" s="41"/>
      <c r="IH142" s="41"/>
      <c r="II142" s="41"/>
      <c r="IJ142" s="41"/>
      <c r="IK142" s="41"/>
      <c r="IL142" s="41"/>
      <c r="IM142" s="41"/>
      <c r="IN142" s="41"/>
      <c r="IO142" s="41"/>
      <c r="IP142" s="41"/>
      <c r="IQ142" s="41"/>
      <c r="IR142" s="41"/>
      <c r="IS142" s="41"/>
      <c r="IT142" s="41"/>
      <c r="IU142" s="41"/>
      <c r="IV142" s="41"/>
      <c r="IW142" s="41"/>
      <c r="IX142" s="41"/>
      <c r="IY142" s="41"/>
      <c r="IZ142" s="41"/>
      <c r="JA142" s="41"/>
      <c r="JB142" s="41"/>
      <c r="JC142" s="41"/>
      <c r="JD142" s="41"/>
      <c r="JE142" s="41"/>
      <c r="JF142" s="41"/>
      <c r="JG142" s="41"/>
      <c r="JH142" s="41"/>
      <c r="JI142" s="41"/>
      <c r="JJ142" s="41"/>
      <c r="JK142" s="41"/>
      <c r="JL142" s="41"/>
      <c r="JM142" s="41"/>
      <c r="JN142" s="41"/>
      <c r="JO142" s="41"/>
      <c r="JP142" s="41"/>
      <c r="JQ142" s="41"/>
      <c r="JR142" s="41"/>
      <c r="JS142" s="41"/>
      <c r="JT142" s="41"/>
      <c r="JU142" s="41"/>
      <c r="JV142" s="41"/>
      <c r="JW142" s="41"/>
      <c r="JX142" s="41"/>
      <c r="JY142" s="41"/>
      <c r="JZ142" s="41"/>
      <c r="KA142" s="41"/>
      <c r="KB142" s="41"/>
      <c r="KC142" s="41"/>
      <c r="KD142" s="41"/>
      <c r="KE142" s="41"/>
      <c r="KF142" s="41"/>
      <c r="KG142" s="41"/>
      <c r="KH142" s="41"/>
      <c r="KI142" s="41"/>
      <c r="KJ142" s="41"/>
      <c r="KK142" s="41"/>
      <c r="KL142" s="41"/>
      <c r="KM142" s="41"/>
      <c r="KN142" s="41"/>
      <c r="KO142" s="41"/>
      <c r="KP142" s="41"/>
      <c r="KQ142" s="41"/>
      <c r="KR142" s="41"/>
      <c r="KS142" s="41"/>
      <c r="KT142" s="41"/>
      <c r="KU142" s="41"/>
      <c r="KV142" s="41"/>
      <c r="KW142" s="41"/>
      <c r="KX142" s="41"/>
      <c r="KY142" s="41"/>
      <c r="KZ142" s="41"/>
      <c r="LA142" s="41"/>
      <c r="LB142" s="41"/>
      <c r="LC142" s="41"/>
      <c r="LD142" s="41"/>
      <c r="LE142" s="41"/>
      <c r="LF142" s="41"/>
      <c r="LG142" s="41"/>
      <c r="LH142" s="41"/>
      <c r="LI142" s="41"/>
      <c r="LJ142" s="41"/>
      <c r="LK142" s="41"/>
      <c r="LL142" s="41"/>
      <c r="LM142" s="41"/>
      <c r="LN142" s="41"/>
      <c r="LO142" s="41"/>
      <c r="LP142" s="41"/>
      <c r="LQ142" s="41"/>
      <c r="LR142" s="41"/>
      <c r="LS142" s="41"/>
      <c r="LT142" s="41"/>
      <c r="LU142" s="41"/>
      <c r="LV142" s="41"/>
      <c r="LW142" s="41"/>
      <c r="LX142" s="41"/>
      <c r="LY142" s="41"/>
      <c r="LZ142" s="41"/>
      <c r="MA142" s="41"/>
      <c r="MB142" s="41"/>
      <c r="MC142" s="41"/>
      <c r="MD142" s="41"/>
      <c r="ME142" s="41"/>
      <c r="MF142" s="41"/>
      <c r="MG142" s="41"/>
      <c r="MH142" s="41"/>
      <c r="MI142" s="41"/>
      <c r="MJ142" s="41"/>
      <c r="MK142" s="41"/>
      <c r="ML142" s="41"/>
      <c r="MM142" s="41"/>
      <c r="MN142" s="41"/>
      <c r="MO142" s="41"/>
      <c r="MP142" s="41"/>
      <c r="MQ142" s="41"/>
      <c r="MR142" s="41"/>
      <c r="MS142" s="41"/>
      <c r="MT142" s="41"/>
      <c r="MU142" s="41"/>
      <c r="MV142" s="41"/>
      <c r="MW142" s="41"/>
      <c r="MX142" s="41"/>
      <c r="MY142" s="41"/>
      <c r="MZ142" s="41"/>
      <c r="NA142" s="41"/>
      <c r="NB142" s="41"/>
      <c r="NC142" s="41"/>
      <c r="ND142" s="41"/>
      <c r="NE142" s="41"/>
      <c r="NF142" s="41"/>
      <c r="NG142" s="41"/>
      <c r="NH142" s="41"/>
      <c r="NI142" s="41"/>
      <c r="NJ142" s="41"/>
      <c r="NK142" s="41"/>
      <c r="NL142" s="41"/>
      <c r="NM142" s="41"/>
      <c r="NN142" s="41"/>
      <c r="NO142" s="41"/>
      <c r="NP142" s="41"/>
      <c r="NQ142" s="41"/>
      <c r="NR142" s="41"/>
      <c r="NS142" s="41"/>
      <c r="NT142" s="41"/>
      <c r="NU142" s="41"/>
      <c r="NV142" s="41"/>
      <c r="NW142" s="41"/>
      <c r="NX142" s="41"/>
      <c r="NY142" s="41"/>
      <c r="NZ142" s="41"/>
      <c r="OA142" s="41"/>
      <c r="OB142" s="41"/>
      <c r="OC142" s="41"/>
      <c r="OD142" s="41"/>
      <c r="OE142" s="41"/>
      <c r="OF142" s="41"/>
      <c r="OG142" s="41"/>
      <c r="OH142" s="41"/>
      <c r="OI142" s="41"/>
      <c r="OJ142" s="41"/>
      <c r="OK142" s="41"/>
      <c r="OL142" s="41"/>
      <c r="OM142" s="41"/>
      <c r="ON142" s="41"/>
      <c r="OO142" s="41"/>
      <c r="OP142" s="41"/>
      <c r="OQ142" s="41"/>
      <c r="OR142" s="41"/>
      <c r="OS142" s="41"/>
      <c r="OT142" s="41"/>
      <c r="OU142" s="41"/>
      <c r="OV142" s="41"/>
      <c r="OW142" s="41"/>
      <c r="OX142" s="41"/>
      <c r="OY142" s="41"/>
      <c r="OZ142" s="41"/>
      <c r="PA142" s="41"/>
      <c r="PB142" s="41"/>
      <c r="PC142" s="41"/>
      <c r="PD142" s="41"/>
      <c r="PE142" s="41"/>
      <c r="PF142" s="41"/>
      <c r="PG142" s="41"/>
      <c r="PH142" s="41"/>
      <c r="PI142" s="41"/>
      <c r="PJ142" s="41"/>
      <c r="PK142" s="41"/>
      <c r="PL142" s="41"/>
      <c r="PM142" s="41"/>
      <c r="PN142" s="41"/>
      <c r="PO142" s="41"/>
      <c r="PP142" s="41"/>
      <c r="PQ142" s="41"/>
      <c r="PR142" s="41"/>
      <c r="PS142" s="41"/>
      <c r="PT142" s="41"/>
      <c r="PU142" s="41"/>
      <c r="PV142" s="41"/>
      <c r="PW142" s="41"/>
      <c r="PX142" s="41"/>
      <c r="PY142" s="41"/>
      <c r="PZ142" s="41"/>
      <c r="QA142" s="41"/>
      <c r="QB142" s="41"/>
      <c r="QC142" s="41"/>
      <c r="QD142" s="41"/>
      <c r="QE142" s="41"/>
      <c r="QF142" s="41"/>
      <c r="QG142" s="41"/>
      <c r="QH142" s="41"/>
      <c r="QI142" s="41"/>
      <c r="QJ142" s="41"/>
      <c r="QK142" s="41"/>
      <c r="QL142" s="41"/>
      <c r="QM142" s="41"/>
      <c r="QN142" s="41"/>
      <c r="QO142" s="41"/>
      <c r="QP142" s="41"/>
      <c r="QQ142" s="41"/>
      <c r="QR142" s="41"/>
      <c r="QS142" s="41"/>
      <c r="QT142" s="41"/>
      <c r="QU142" s="41"/>
      <c r="QV142" s="41"/>
      <c r="QW142" s="41"/>
      <c r="QX142" s="41"/>
      <c r="QY142" s="41"/>
      <c r="QZ142" s="41"/>
      <c r="RA142" s="41"/>
      <c r="RB142" s="41"/>
      <c r="RC142" s="41"/>
      <c r="RD142" s="41"/>
      <c r="RE142" s="41"/>
      <c r="RF142" s="41"/>
      <c r="RG142" s="41"/>
      <c r="RH142" s="41"/>
      <c r="RI142" s="41"/>
      <c r="RJ142" s="41"/>
      <c r="RK142" s="41"/>
      <c r="RL142" s="41"/>
      <c r="RM142" s="41"/>
      <c r="RN142" s="41"/>
      <c r="RO142" s="41"/>
      <c r="RP142" s="41"/>
      <c r="RQ142" s="41"/>
      <c r="RR142" s="41"/>
      <c r="RS142" s="41"/>
      <c r="RT142" s="41"/>
      <c r="RU142" s="41"/>
      <c r="RV142" s="41"/>
      <c r="RW142" s="41"/>
      <c r="RX142" s="41"/>
      <c r="RY142" s="41"/>
      <c r="RZ142" s="41"/>
      <c r="SA142" s="41"/>
      <c r="SB142" s="41"/>
      <c r="SC142" s="41"/>
      <c r="SD142" s="41"/>
      <c r="SE142" s="41"/>
      <c r="SF142" s="41"/>
      <c r="SG142" s="41"/>
      <c r="SH142" s="41"/>
      <c r="SI142" s="41"/>
      <c r="SJ142" s="41"/>
      <c r="SK142" s="41"/>
      <c r="SL142" s="41"/>
      <c r="SM142" s="41"/>
      <c r="SN142" s="41"/>
      <c r="SO142" s="41"/>
      <c r="SP142" s="41"/>
      <c r="SQ142" s="41"/>
      <c r="SR142" s="41"/>
      <c r="SS142" s="41"/>
      <c r="ST142" s="41"/>
      <c r="SU142" s="41"/>
      <c r="SV142" s="41"/>
      <c r="SW142" s="41"/>
      <c r="SX142" s="41"/>
      <c r="SY142" s="41"/>
      <c r="SZ142" s="41"/>
      <c r="TA142" s="41"/>
      <c r="TB142" s="41"/>
      <c r="TC142" s="41"/>
      <c r="TD142" s="41"/>
      <c r="TE142" s="41"/>
      <c r="TF142" s="41"/>
      <c r="TG142" s="41"/>
      <c r="TH142" s="41"/>
      <c r="TI142" s="41"/>
      <c r="TJ142" s="41"/>
      <c r="TK142" s="41"/>
      <c r="TL142" s="41"/>
      <c r="TM142" s="41"/>
      <c r="TN142" s="41"/>
      <c r="TO142" s="41"/>
      <c r="TP142" s="41"/>
      <c r="TQ142" s="41"/>
      <c r="TR142" s="41"/>
      <c r="TS142" s="41"/>
      <c r="TT142" s="41"/>
      <c r="TU142" s="41"/>
      <c r="TV142" s="41"/>
      <c r="TW142" s="41"/>
      <c r="TX142" s="41"/>
      <c r="TY142" s="41"/>
      <c r="TZ142" s="41"/>
      <c r="UA142" s="41"/>
      <c r="UB142" s="41"/>
      <c r="UC142" s="41"/>
      <c r="UD142" s="41"/>
      <c r="UE142" s="41"/>
      <c r="UF142" s="41"/>
      <c r="UG142" s="41"/>
      <c r="UH142" s="41"/>
      <c r="UI142" s="41"/>
      <c r="UJ142" s="41"/>
      <c r="UK142" s="41"/>
      <c r="UL142" s="41"/>
      <c r="UM142" s="41"/>
      <c r="UN142" s="41"/>
      <c r="UO142" s="41"/>
      <c r="UP142" s="41"/>
      <c r="UQ142" s="41"/>
      <c r="UR142" s="41"/>
      <c r="US142" s="41"/>
      <c r="UT142" s="41"/>
      <c r="UU142" s="41"/>
      <c r="UV142" s="41"/>
      <c r="UW142" s="41"/>
      <c r="UX142" s="41"/>
      <c r="UY142" s="41"/>
      <c r="UZ142" s="41"/>
      <c r="VA142" s="41"/>
      <c r="VB142" s="41"/>
      <c r="VC142" s="41"/>
      <c r="VD142" s="41"/>
      <c r="VE142" s="41"/>
      <c r="VF142" s="41"/>
      <c r="VG142" s="41"/>
      <c r="VH142" s="41"/>
      <c r="VI142" s="41"/>
      <c r="VJ142" s="41"/>
      <c r="VK142" s="41"/>
      <c r="VL142" s="41"/>
      <c r="VM142" s="41"/>
      <c r="VN142" s="41"/>
      <c r="VO142" s="41"/>
      <c r="VP142" s="41"/>
      <c r="VQ142" s="41"/>
      <c r="VR142" s="41"/>
      <c r="VS142" s="41"/>
      <c r="VT142" s="41"/>
      <c r="VU142" s="41"/>
      <c r="VV142" s="41"/>
      <c r="VW142" s="41"/>
      <c r="VX142" s="41"/>
      <c r="VY142" s="41"/>
      <c r="VZ142" s="41"/>
      <c r="WA142" s="41"/>
      <c r="WB142" s="41"/>
      <c r="WC142" s="41"/>
      <c r="WD142" s="41"/>
      <c r="WE142" s="41"/>
      <c r="WF142" s="41"/>
      <c r="WG142" s="41"/>
      <c r="WH142" s="41"/>
      <c r="WI142" s="41"/>
      <c r="WJ142" s="41"/>
      <c r="WK142" s="41"/>
      <c r="WL142" s="41"/>
      <c r="WM142" s="41"/>
      <c r="WN142" s="41"/>
      <c r="WO142" s="41"/>
      <c r="WP142" s="41"/>
      <c r="WQ142" s="41"/>
      <c r="WR142" s="41"/>
      <c r="WS142" s="41"/>
      <c r="WT142" s="41"/>
      <c r="WU142" s="41"/>
      <c r="WV142" s="41"/>
      <c r="WW142" s="41"/>
      <c r="WX142" s="41"/>
      <c r="WY142" s="41"/>
      <c r="WZ142" s="41"/>
      <c r="XA142" s="41"/>
      <c r="XB142" s="41"/>
      <c r="XC142" s="41"/>
      <c r="XD142" s="41"/>
      <c r="XE142" s="41"/>
      <c r="XF142" s="41"/>
      <c r="XG142" s="41"/>
      <c r="XH142" s="41"/>
      <c r="XI142" s="41"/>
      <c r="XJ142" s="41"/>
      <c r="XK142" s="41"/>
      <c r="XL142" s="41"/>
      <c r="XM142" s="41"/>
      <c r="XN142" s="41"/>
      <c r="XO142" s="41"/>
      <c r="XP142" s="41"/>
      <c r="XQ142" s="41"/>
      <c r="XR142" s="41"/>
      <c r="XS142" s="41"/>
      <c r="XT142" s="41"/>
      <c r="XU142" s="41"/>
      <c r="XV142" s="41"/>
      <c r="XW142" s="41"/>
      <c r="XX142" s="41"/>
      <c r="XY142" s="41"/>
      <c r="XZ142" s="41"/>
      <c r="YA142" s="41"/>
      <c r="YB142" s="41"/>
      <c r="YC142" s="41"/>
      <c r="YD142" s="41"/>
      <c r="YE142" s="41"/>
      <c r="YF142" s="41"/>
      <c r="YG142" s="41"/>
      <c r="YH142" s="41"/>
      <c r="YI142" s="41"/>
      <c r="YJ142" s="41"/>
      <c r="YK142" s="41"/>
      <c r="YL142" s="41"/>
      <c r="YM142" s="41"/>
      <c r="YN142" s="41"/>
      <c r="YO142" s="41"/>
      <c r="YP142" s="41"/>
      <c r="YQ142" s="41"/>
      <c r="YR142" s="41"/>
      <c r="YS142" s="41"/>
      <c r="YT142" s="41"/>
      <c r="YU142" s="41"/>
      <c r="YV142" s="41"/>
      <c r="YW142" s="41"/>
      <c r="YX142" s="41"/>
      <c r="YY142" s="41"/>
      <c r="YZ142" s="41"/>
      <c r="ZA142" s="41"/>
      <c r="ZB142" s="41"/>
      <c r="ZC142" s="41"/>
      <c r="ZD142" s="41"/>
      <c r="ZE142" s="41"/>
      <c r="ZF142" s="41"/>
      <c r="ZG142" s="41"/>
      <c r="ZH142" s="41"/>
      <c r="ZI142" s="41"/>
      <c r="ZJ142" s="41"/>
      <c r="ZK142" s="41"/>
      <c r="ZL142" s="41"/>
      <c r="ZM142" s="41"/>
      <c r="ZN142" s="41"/>
      <c r="ZO142" s="41"/>
      <c r="ZP142" s="41"/>
      <c r="ZQ142" s="41"/>
      <c r="ZR142" s="41"/>
      <c r="ZS142" s="41"/>
      <c r="ZT142" s="41"/>
      <c r="ZU142" s="41"/>
      <c r="ZV142" s="41"/>
      <c r="ZW142" s="41"/>
      <c r="ZX142" s="41"/>
      <c r="ZY142" s="41"/>
      <c r="ZZ142" s="41"/>
      <c r="AAA142" s="41"/>
      <c r="AAB142" s="41"/>
      <c r="AAC142" s="41"/>
    </row>
    <row r="143" spans="1:705" s="41" customFormat="1" ht="44.1" hidden="1" customHeight="1" x14ac:dyDescent="0.3">
      <c r="A143" s="26">
        <v>139</v>
      </c>
      <c r="B143" s="137">
        <v>240466</v>
      </c>
      <c r="C143" s="138">
        <v>139</v>
      </c>
      <c r="D143" s="139">
        <v>45936</v>
      </c>
      <c r="E143" s="139">
        <f t="shared" si="23"/>
        <v>45935</v>
      </c>
      <c r="F143" s="139">
        <f t="shared" si="22"/>
        <v>45946</v>
      </c>
      <c r="G143" s="139">
        <v>45946</v>
      </c>
      <c r="H143" s="139">
        <v>45945</v>
      </c>
      <c r="I143" s="139" t="s">
        <v>75</v>
      </c>
      <c r="J143" s="140" t="s">
        <v>377</v>
      </c>
      <c r="K143" s="141">
        <f t="shared" si="24"/>
        <v>-1</v>
      </c>
      <c r="L143" s="141">
        <v>1151638</v>
      </c>
      <c r="M143" s="140" t="s">
        <v>15</v>
      </c>
      <c r="N143" s="142">
        <v>805130</v>
      </c>
      <c r="O143" s="137" t="s">
        <v>246</v>
      </c>
      <c r="P143" s="190">
        <v>45938</v>
      </c>
      <c r="Q143" s="190">
        <v>45953</v>
      </c>
      <c r="R143" s="157" t="s">
        <v>211</v>
      </c>
      <c r="S143" s="144" t="s">
        <v>378</v>
      </c>
      <c r="T143" s="145">
        <v>1</v>
      </c>
      <c r="U143" s="137" t="s">
        <v>181</v>
      </c>
      <c r="V143" s="146">
        <v>6</v>
      </c>
      <c r="W143" s="146">
        <v>6</v>
      </c>
      <c r="X143" s="147">
        <v>0</v>
      </c>
      <c r="Y143" s="146">
        <v>0</v>
      </c>
      <c r="Z143" s="146">
        <v>0</v>
      </c>
      <c r="AA143" s="146">
        <v>0</v>
      </c>
      <c r="AB143" s="146">
        <v>0</v>
      </c>
      <c r="AC143" s="146"/>
      <c r="AD143" s="146">
        <v>0</v>
      </c>
      <c r="AE143" s="146">
        <v>0</v>
      </c>
      <c r="AF143" s="146">
        <v>0</v>
      </c>
      <c r="AG143" s="146">
        <v>0</v>
      </c>
      <c r="AH143" s="146">
        <v>1</v>
      </c>
      <c r="AI143" s="146">
        <v>1</v>
      </c>
      <c r="AJ143" s="146">
        <v>0</v>
      </c>
      <c r="AK143" s="146">
        <v>0</v>
      </c>
      <c r="AL143" s="146">
        <v>0</v>
      </c>
      <c r="AM143" s="146">
        <v>0</v>
      </c>
      <c r="AN143" s="146">
        <v>0</v>
      </c>
      <c r="AO143" s="146">
        <v>0</v>
      </c>
      <c r="AP143" s="146">
        <v>1</v>
      </c>
      <c r="AQ143" s="146">
        <v>1</v>
      </c>
      <c r="AR143" s="146">
        <v>0</v>
      </c>
      <c r="AS143" s="146">
        <v>0</v>
      </c>
      <c r="AT143" s="146">
        <v>1</v>
      </c>
      <c r="AU143" s="146">
        <v>1</v>
      </c>
      <c r="AV143" s="146">
        <v>0</v>
      </c>
      <c r="AW143" s="146">
        <v>0</v>
      </c>
      <c r="AX143" s="146">
        <f t="shared" si="21"/>
        <v>1510</v>
      </c>
      <c r="AY143" s="146">
        <f t="shared" si="20"/>
        <v>1510</v>
      </c>
      <c r="AZ143" s="140" t="s">
        <v>562</v>
      </c>
      <c r="BA143" s="140" t="s">
        <v>562</v>
      </c>
      <c r="BB143" s="140">
        <v>4</v>
      </c>
      <c r="BC143" s="148">
        <v>139</v>
      </c>
      <c r="BD143" s="149"/>
      <c r="BE143" s="145"/>
      <c r="BF143" s="150"/>
      <c r="BG143" s="151">
        <v>45931</v>
      </c>
      <c r="BH143" s="153" t="s">
        <v>535</v>
      </c>
      <c r="BI143" s="153" t="s">
        <v>562</v>
      </c>
    </row>
    <row r="144" spans="1:705" s="42" customFormat="1" ht="44.1" hidden="1" customHeight="1" x14ac:dyDescent="0.3">
      <c r="A144" s="26">
        <v>140</v>
      </c>
      <c r="B144" s="137">
        <v>240467</v>
      </c>
      <c r="C144" s="138">
        <v>140</v>
      </c>
      <c r="D144" s="139">
        <v>45946</v>
      </c>
      <c r="E144" s="139">
        <f t="shared" si="23"/>
        <v>45945</v>
      </c>
      <c r="F144" s="139">
        <f t="shared" si="22"/>
        <v>45956</v>
      </c>
      <c r="G144" s="139">
        <v>46007</v>
      </c>
      <c r="H144" s="139">
        <v>45977</v>
      </c>
      <c r="I144" s="139" t="s">
        <v>123</v>
      </c>
      <c r="J144" s="140" t="s">
        <v>377</v>
      </c>
      <c r="K144" s="141">
        <f t="shared" si="24"/>
        <v>21</v>
      </c>
      <c r="L144" s="141">
        <v>1151639</v>
      </c>
      <c r="M144" s="140" t="s">
        <v>15</v>
      </c>
      <c r="N144" s="137">
        <v>806342</v>
      </c>
      <c r="O144" s="137" t="s">
        <v>246</v>
      </c>
      <c r="P144" s="190">
        <v>45958</v>
      </c>
      <c r="Q144" s="190">
        <v>46135</v>
      </c>
      <c r="R144" s="157" t="s">
        <v>211</v>
      </c>
      <c r="S144" s="144" t="s">
        <v>379</v>
      </c>
      <c r="T144" s="145">
        <v>1</v>
      </c>
      <c r="U144" s="137" t="s">
        <v>128</v>
      </c>
      <c r="V144" s="146">
        <v>65</v>
      </c>
      <c r="W144" s="146">
        <v>65</v>
      </c>
      <c r="X144" s="147">
        <v>0</v>
      </c>
      <c r="Y144" s="146">
        <v>0</v>
      </c>
      <c r="Z144" s="146">
        <v>0</v>
      </c>
      <c r="AA144" s="146">
        <v>0</v>
      </c>
      <c r="AB144" s="146">
        <v>0</v>
      </c>
      <c r="AC144" s="146"/>
      <c r="AD144" s="146">
        <v>0</v>
      </c>
      <c r="AE144" s="146">
        <v>0</v>
      </c>
      <c r="AF144" s="146">
        <v>0</v>
      </c>
      <c r="AG144" s="146">
        <v>0</v>
      </c>
      <c r="AH144" s="146">
        <v>1</v>
      </c>
      <c r="AI144" s="146">
        <v>1</v>
      </c>
      <c r="AJ144" s="146">
        <v>0</v>
      </c>
      <c r="AK144" s="146">
        <v>0</v>
      </c>
      <c r="AL144" s="146">
        <v>1</v>
      </c>
      <c r="AM144" s="146">
        <v>1</v>
      </c>
      <c r="AN144" s="146">
        <v>1</v>
      </c>
      <c r="AO144" s="146">
        <v>1</v>
      </c>
      <c r="AP144" s="146">
        <v>1</v>
      </c>
      <c r="AQ144" s="146">
        <v>1</v>
      </c>
      <c r="AR144" s="146">
        <v>0</v>
      </c>
      <c r="AS144" s="146">
        <v>0</v>
      </c>
      <c r="AT144" s="146">
        <v>1</v>
      </c>
      <c r="AU144" s="146">
        <v>1</v>
      </c>
      <c r="AV144" s="146">
        <v>0</v>
      </c>
      <c r="AW144" s="146">
        <v>0</v>
      </c>
      <c r="AX144" s="146">
        <f t="shared" si="21"/>
        <v>5700</v>
      </c>
      <c r="AY144" s="146">
        <f t="shared" si="20"/>
        <v>5700</v>
      </c>
      <c r="AZ144" s="140" t="s">
        <v>562</v>
      </c>
      <c r="BA144" s="140" t="s">
        <v>562</v>
      </c>
      <c r="BB144" s="140">
        <v>4</v>
      </c>
      <c r="BC144" s="148">
        <v>140</v>
      </c>
      <c r="BD144" s="149"/>
      <c r="BE144" s="145"/>
      <c r="BF144" s="150"/>
      <c r="BG144" s="151">
        <v>45962</v>
      </c>
      <c r="BH144" s="153" t="s">
        <v>535</v>
      </c>
      <c r="BI144" s="153" t="s">
        <v>562</v>
      </c>
      <c r="CC144" s="41"/>
      <c r="CD144" s="41"/>
      <c r="CE144" s="41"/>
      <c r="CF144" s="41"/>
      <c r="CG144" s="41"/>
      <c r="CH144" s="41"/>
      <c r="CI144" s="41"/>
      <c r="CJ144" s="41"/>
      <c r="CK144" s="41"/>
      <c r="CL144" s="41"/>
      <c r="CM144" s="41"/>
      <c r="CN144" s="41"/>
      <c r="CO144" s="41"/>
      <c r="CP144" s="41"/>
      <c r="CQ144" s="41"/>
      <c r="CR144" s="41"/>
      <c r="CS144" s="41"/>
      <c r="CT144" s="41"/>
      <c r="CU144" s="41"/>
      <c r="CV144" s="41"/>
      <c r="CW144" s="41"/>
      <c r="CX144" s="41"/>
      <c r="CY144" s="41"/>
      <c r="CZ144" s="41"/>
      <c r="DA144" s="41"/>
      <c r="DB144" s="41"/>
      <c r="DC144" s="41"/>
      <c r="DD144" s="41"/>
      <c r="DE144" s="41"/>
      <c r="DF144" s="41"/>
      <c r="DG144" s="41"/>
      <c r="DH144" s="41"/>
      <c r="DI144" s="41"/>
      <c r="DJ144" s="41"/>
      <c r="DK144" s="41"/>
      <c r="DL144" s="41"/>
      <c r="DM144" s="41"/>
      <c r="DN144" s="41"/>
      <c r="DO144" s="41"/>
      <c r="DP144" s="41"/>
      <c r="DQ144" s="41"/>
      <c r="DR144" s="41"/>
      <c r="DS144" s="41"/>
      <c r="DT144" s="41"/>
      <c r="DU144" s="41"/>
      <c r="DV144" s="41"/>
      <c r="DW144" s="41"/>
      <c r="DX144" s="41"/>
      <c r="DY144" s="41"/>
      <c r="DZ144" s="41"/>
      <c r="EA144" s="41"/>
      <c r="EB144" s="41"/>
      <c r="EC144" s="41"/>
      <c r="ED144" s="41"/>
      <c r="EE144" s="41"/>
      <c r="EF144" s="41"/>
      <c r="EG144" s="41"/>
      <c r="EH144" s="41"/>
      <c r="EI144" s="41"/>
      <c r="EJ144" s="41"/>
      <c r="EK144" s="41"/>
      <c r="EL144" s="41"/>
      <c r="EM144" s="41"/>
      <c r="EN144" s="41"/>
      <c r="EO144" s="41"/>
      <c r="EP144" s="41"/>
      <c r="EQ144" s="41"/>
      <c r="ER144" s="41"/>
      <c r="ES144" s="41"/>
      <c r="ET144" s="41"/>
      <c r="EU144" s="41"/>
      <c r="EV144" s="41"/>
      <c r="EW144" s="41"/>
      <c r="EX144" s="41"/>
      <c r="EY144" s="41"/>
      <c r="EZ144" s="41"/>
      <c r="FA144" s="41"/>
      <c r="FB144" s="41"/>
      <c r="FC144" s="41"/>
      <c r="FD144" s="41"/>
      <c r="FE144" s="41"/>
      <c r="FF144" s="41"/>
      <c r="FG144" s="41"/>
      <c r="FH144" s="41"/>
      <c r="FI144" s="41"/>
      <c r="FJ144" s="41"/>
      <c r="FK144" s="41"/>
      <c r="FL144" s="41"/>
      <c r="FM144" s="41"/>
      <c r="FN144" s="41"/>
      <c r="FO144" s="41"/>
      <c r="FP144" s="41"/>
      <c r="FQ144" s="41"/>
      <c r="FR144" s="41"/>
      <c r="FS144" s="41"/>
      <c r="FT144" s="41"/>
      <c r="FU144" s="41"/>
      <c r="FV144" s="41"/>
      <c r="FW144" s="41"/>
      <c r="FX144" s="41"/>
      <c r="FY144" s="41"/>
      <c r="FZ144" s="41"/>
      <c r="GA144" s="41"/>
      <c r="GB144" s="41"/>
      <c r="GC144" s="41"/>
      <c r="GD144" s="41"/>
      <c r="GE144" s="41"/>
      <c r="GF144" s="41"/>
      <c r="GG144" s="41"/>
      <c r="GH144" s="41"/>
      <c r="GI144" s="41"/>
      <c r="GJ144" s="41"/>
      <c r="GK144" s="41"/>
      <c r="GL144" s="41"/>
      <c r="GM144" s="41"/>
      <c r="GN144" s="41"/>
      <c r="GO144" s="41"/>
      <c r="GP144" s="41"/>
      <c r="GQ144" s="41"/>
      <c r="GR144" s="41"/>
      <c r="GS144" s="41"/>
      <c r="GT144" s="41"/>
      <c r="GU144" s="41"/>
      <c r="GV144" s="41"/>
      <c r="GW144" s="41"/>
      <c r="GX144" s="41"/>
      <c r="GY144" s="41"/>
      <c r="GZ144" s="41"/>
      <c r="HA144" s="41"/>
      <c r="HB144" s="41"/>
      <c r="HC144" s="41"/>
      <c r="HD144" s="41"/>
      <c r="HE144" s="41"/>
      <c r="HF144" s="41"/>
      <c r="HG144" s="41"/>
      <c r="HH144" s="41"/>
      <c r="HI144" s="41"/>
      <c r="HJ144" s="41"/>
      <c r="HK144" s="41"/>
      <c r="HL144" s="41"/>
      <c r="HM144" s="41"/>
      <c r="HN144" s="41"/>
      <c r="HO144" s="41"/>
      <c r="HP144" s="41"/>
      <c r="HQ144" s="41"/>
      <c r="HR144" s="41"/>
      <c r="HS144" s="41"/>
      <c r="HT144" s="41"/>
      <c r="HU144" s="41"/>
      <c r="HV144" s="41"/>
      <c r="HW144" s="41"/>
      <c r="HX144" s="41"/>
      <c r="HY144" s="41"/>
      <c r="HZ144" s="41"/>
      <c r="IA144" s="41"/>
      <c r="IB144" s="41"/>
      <c r="IC144" s="41"/>
      <c r="ID144" s="41"/>
      <c r="IE144" s="41"/>
      <c r="IF144" s="41"/>
      <c r="IG144" s="41"/>
      <c r="IH144" s="41"/>
      <c r="II144" s="41"/>
      <c r="IJ144" s="41"/>
      <c r="IK144" s="41"/>
      <c r="IL144" s="41"/>
      <c r="IM144" s="41"/>
      <c r="IN144" s="41"/>
      <c r="IO144" s="41"/>
      <c r="IP144" s="41"/>
      <c r="IQ144" s="41"/>
      <c r="IR144" s="41"/>
      <c r="IS144" s="41"/>
      <c r="IT144" s="41"/>
      <c r="IU144" s="41"/>
      <c r="IV144" s="41"/>
      <c r="IW144" s="41"/>
      <c r="IX144" s="41"/>
      <c r="IY144" s="41"/>
      <c r="IZ144" s="41"/>
      <c r="JA144" s="41"/>
      <c r="JB144" s="41"/>
      <c r="JC144" s="41"/>
      <c r="JD144" s="41"/>
      <c r="JE144" s="41"/>
      <c r="JF144" s="41"/>
      <c r="JG144" s="41"/>
      <c r="JH144" s="41"/>
      <c r="JI144" s="41"/>
      <c r="JJ144" s="41"/>
      <c r="JK144" s="41"/>
      <c r="JL144" s="41"/>
      <c r="JM144" s="41"/>
      <c r="JN144" s="41"/>
      <c r="JO144" s="41"/>
      <c r="JP144" s="41"/>
      <c r="JQ144" s="41"/>
      <c r="JR144" s="41"/>
      <c r="JS144" s="41"/>
      <c r="JT144" s="41"/>
      <c r="JU144" s="41"/>
      <c r="JV144" s="41"/>
      <c r="JW144" s="41"/>
      <c r="JX144" s="41"/>
      <c r="JY144" s="41"/>
      <c r="JZ144" s="41"/>
      <c r="KA144" s="41"/>
      <c r="KB144" s="41"/>
      <c r="KC144" s="41"/>
      <c r="KD144" s="41"/>
      <c r="KE144" s="41"/>
      <c r="KF144" s="41"/>
      <c r="KG144" s="41"/>
      <c r="KH144" s="41"/>
      <c r="KI144" s="41"/>
      <c r="KJ144" s="41"/>
      <c r="KK144" s="41"/>
      <c r="KL144" s="41"/>
      <c r="KM144" s="41"/>
      <c r="KN144" s="41"/>
      <c r="KO144" s="41"/>
      <c r="KP144" s="41"/>
      <c r="KQ144" s="41"/>
      <c r="KR144" s="41"/>
      <c r="KS144" s="41"/>
      <c r="KT144" s="41"/>
      <c r="KU144" s="41"/>
      <c r="KV144" s="41"/>
      <c r="KW144" s="41"/>
      <c r="KX144" s="41"/>
      <c r="KY144" s="41"/>
      <c r="KZ144" s="41"/>
      <c r="LA144" s="41"/>
      <c r="LB144" s="41"/>
      <c r="LC144" s="41"/>
      <c r="LD144" s="41"/>
      <c r="LE144" s="41"/>
      <c r="LF144" s="41"/>
      <c r="LG144" s="41"/>
      <c r="LH144" s="41"/>
      <c r="LI144" s="41"/>
      <c r="LJ144" s="41"/>
      <c r="LK144" s="41"/>
      <c r="LL144" s="41"/>
      <c r="LM144" s="41"/>
      <c r="LN144" s="41"/>
      <c r="LO144" s="41"/>
      <c r="LP144" s="41"/>
      <c r="LQ144" s="41"/>
      <c r="LR144" s="41"/>
      <c r="LS144" s="41"/>
      <c r="LT144" s="41"/>
      <c r="LU144" s="41"/>
      <c r="LV144" s="41"/>
      <c r="LW144" s="41"/>
      <c r="LX144" s="41"/>
      <c r="LY144" s="41"/>
      <c r="LZ144" s="41"/>
      <c r="MA144" s="41"/>
      <c r="MB144" s="41"/>
      <c r="MC144" s="41"/>
      <c r="MD144" s="41"/>
      <c r="ME144" s="41"/>
      <c r="MF144" s="41"/>
      <c r="MG144" s="41"/>
      <c r="MH144" s="41"/>
      <c r="MI144" s="41"/>
      <c r="MJ144" s="41"/>
      <c r="MK144" s="41"/>
      <c r="ML144" s="41"/>
      <c r="MM144" s="41"/>
      <c r="MN144" s="41"/>
      <c r="MO144" s="41"/>
      <c r="MP144" s="41"/>
      <c r="MQ144" s="41"/>
      <c r="MR144" s="41"/>
      <c r="MS144" s="41"/>
      <c r="MT144" s="41"/>
      <c r="MU144" s="41"/>
      <c r="MV144" s="41"/>
      <c r="MW144" s="41"/>
      <c r="MX144" s="41"/>
      <c r="MY144" s="41"/>
      <c r="MZ144" s="41"/>
      <c r="NA144" s="41"/>
      <c r="NB144" s="41"/>
      <c r="NC144" s="41"/>
      <c r="ND144" s="41"/>
      <c r="NE144" s="41"/>
      <c r="NF144" s="41"/>
      <c r="NG144" s="41"/>
      <c r="NH144" s="41"/>
      <c r="NI144" s="41"/>
      <c r="NJ144" s="41"/>
      <c r="NK144" s="41"/>
      <c r="NL144" s="41"/>
      <c r="NM144" s="41"/>
      <c r="NN144" s="41"/>
      <c r="NO144" s="41"/>
      <c r="NP144" s="41"/>
      <c r="NQ144" s="41"/>
      <c r="NR144" s="41"/>
      <c r="NS144" s="41"/>
      <c r="NT144" s="41"/>
      <c r="NU144" s="41"/>
      <c r="NV144" s="41"/>
      <c r="NW144" s="41"/>
      <c r="NX144" s="41"/>
      <c r="NY144" s="41"/>
      <c r="NZ144" s="41"/>
      <c r="OA144" s="41"/>
      <c r="OB144" s="41"/>
      <c r="OC144" s="41"/>
      <c r="OD144" s="41"/>
      <c r="OE144" s="41"/>
      <c r="OF144" s="41"/>
      <c r="OG144" s="41"/>
      <c r="OH144" s="41"/>
      <c r="OI144" s="41"/>
      <c r="OJ144" s="41"/>
      <c r="OK144" s="41"/>
      <c r="OL144" s="41"/>
      <c r="OM144" s="41"/>
      <c r="ON144" s="41"/>
      <c r="OO144" s="41"/>
      <c r="OP144" s="41"/>
      <c r="OQ144" s="41"/>
      <c r="OR144" s="41"/>
      <c r="OS144" s="41"/>
      <c r="OT144" s="41"/>
      <c r="OU144" s="41"/>
      <c r="OV144" s="41"/>
      <c r="OW144" s="41"/>
      <c r="OX144" s="41"/>
      <c r="OY144" s="41"/>
      <c r="OZ144" s="41"/>
      <c r="PA144" s="41"/>
      <c r="PB144" s="41"/>
      <c r="PC144" s="41"/>
      <c r="PD144" s="41"/>
      <c r="PE144" s="41"/>
      <c r="PF144" s="41"/>
      <c r="PG144" s="41"/>
      <c r="PH144" s="41"/>
      <c r="PI144" s="41"/>
      <c r="PJ144" s="41"/>
      <c r="PK144" s="41"/>
      <c r="PL144" s="41"/>
      <c r="PM144" s="41"/>
      <c r="PN144" s="41"/>
      <c r="PO144" s="41"/>
      <c r="PP144" s="41"/>
      <c r="PQ144" s="41"/>
      <c r="PR144" s="41"/>
      <c r="PS144" s="41"/>
      <c r="PT144" s="41"/>
      <c r="PU144" s="41"/>
      <c r="PV144" s="41"/>
      <c r="PW144" s="41"/>
      <c r="PX144" s="41"/>
      <c r="PY144" s="41"/>
      <c r="PZ144" s="41"/>
      <c r="QA144" s="41"/>
      <c r="QB144" s="41"/>
      <c r="QC144" s="41"/>
      <c r="QD144" s="41"/>
      <c r="QE144" s="41"/>
      <c r="QF144" s="41"/>
      <c r="QG144" s="41"/>
      <c r="QH144" s="41"/>
      <c r="QI144" s="41"/>
      <c r="QJ144" s="41"/>
      <c r="QK144" s="41"/>
      <c r="QL144" s="41"/>
      <c r="QM144" s="41"/>
      <c r="QN144" s="41"/>
      <c r="QO144" s="41"/>
      <c r="QP144" s="41"/>
      <c r="QQ144" s="41"/>
      <c r="QR144" s="41"/>
      <c r="QS144" s="41"/>
      <c r="QT144" s="41"/>
      <c r="QU144" s="41"/>
      <c r="QV144" s="41"/>
      <c r="QW144" s="41"/>
      <c r="QX144" s="41"/>
      <c r="QY144" s="41"/>
      <c r="QZ144" s="41"/>
      <c r="RA144" s="41"/>
      <c r="RB144" s="41"/>
      <c r="RC144" s="41"/>
      <c r="RD144" s="41"/>
      <c r="RE144" s="41"/>
      <c r="RF144" s="41"/>
      <c r="RG144" s="41"/>
      <c r="RH144" s="41"/>
      <c r="RI144" s="41"/>
      <c r="RJ144" s="41"/>
      <c r="RK144" s="41"/>
      <c r="RL144" s="41"/>
      <c r="RM144" s="41"/>
      <c r="RN144" s="41"/>
      <c r="RO144" s="41"/>
      <c r="RP144" s="41"/>
      <c r="RQ144" s="41"/>
      <c r="RR144" s="41"/>
      <c r="RS144" s="41"/>
      <c r="RT144" s="41"/>
      <c r="RU144" s="41"/>
      <c r="RV144" s="41"/>
      <c r="RW144" s="41"/>
      <c r="RX144" s="41"/>
      <c r="RY144" s="41"/>
      <c r="RZ144" s="41"/>
      <c r="SA144" s="41"/>
      <c r="SB144" s="41"/>
      <c r="SC144" s="41"/>
      <c r="SD144" s="41"/>
      <c r="SE144" s="41"/>
      <c r="SF144" s="41"/>
      <c r="SG144" s="41"/>
      <c r="SH144" s="41"/>
      <c r="SI144" s="41"/>
      <c r="SJ144" s="41"/>
      <c r="SK144" s="41"/>
      <c r="SL144" s="41"/>
      <c r="SM144" s="41"/>
      <c r="SN144" s="41"/>
      <c r="SO144" s="41"/>
      <c r="SP144" s="41"/>
      <c r="SQ144" s="41"/>
      <c r="SR144" s="41"/>
      <c r="SS144" s="41"/>
      <c r="ST144" s="41"/>
      <c r="SU144" s="41"/>
      <c r="SV144" s="41"/>
      <c r="SW144" s="41"/>
      <c r="SX144" s="41"/>
      <c r="SY144" s="41"/>
      <c r="SZ144" s="41"/>
      <c r="TA144" s="41"/>
      <c r="TB144" s="41"/>
      <c r="TC144" s="41"/>
      <c r="TD144" s="41"/>
      <c r="TE144" s="41"/>
      <c r="TF144" s="41"/>
      <c r="TG144" s="41"/>
      <c r="TH144" s="41"/>
      <c r="TI144" s="41"/>
      <c r="TJ144" s="41"/>
      <c r="TK144" s="41"/>
      <c r="TL144" s="41"/>
      <c r="TM144" s="41"/>
      <c r="TN144" s="41"/>
      <c r="TO144" s="41"/>
      <c r="TP144" s="41"/>
      <c r="TQ144" s="41"/>
      <c r="TR144" s="41"/>
      <c r="TS144" s="41"/>
      <c r="TT144" s="41"/>
      <c r="TU144" s="41"/>
      <c r="TV144" s="41"/>
      <c r="TW144" s="41"/>
      <c r="TX144" s="41"/>
      <c r="TY144" s="41"/>
      <c r="TZ144" s="41"/>
      <c r="UA144" s="41"/>
      <c r="UB144" s="41"/>
      <c r="UC144" s="41"/>
      <c r="UD144" s="41"/>
      <c r="UE144" s="41"/>
      <c r="UF144" s="41"/>
      <c r="UG144" s="41"/>
      <c r="UH144" s="41"/>
      <c r="UI144" s="41"/>
      <c r="UJ144" s="41"/>
      <c r="UK144" s="41"/>
      <c r="UL144" s="41"/>
      <c r="UM144" s="41"/>
      <c r="UN144" s="41"/>
      <c r="UO144" s="41"/>
      <c r="UP144" s="41"/>
      <c r="UQ144" s="41"/>
      <c r="UR144" s="41"/>
      <c r="US144" s="41"/>
      <c r="UT144" s="41"/>
      <c r="UU144" s="41"/>
      <c r="UV144" s="41"/>
      <c r="UW144" s="41"/>
      <c r="UX144" s="41"/>
      <c r="UY144" s="41"/>
      <c r="UZ144" s="41"/>
      <c r="VA144" s="41"/>
      <c r="VB144" s="41"/>
      <c r="VC144" s="41"/>
      <c r="VD144" s="41"/>
      <c r="VE144" s="41"/>
      <c r="VF144" s="41"/>
      <c r="VG144" s="41"/>
      <c r="VH144" s="41"/>
      <c r="VI144" s="41"/>
      <c r="VJ144" s="41"/>
      <c r="VK144" s="41"/>
      <c r="VL144" s="41"/>
      <c r="VM144" s="41"/>
      <c r="VN144" s="41"/>
      <c r="VO144" s="41"/>
      <c r="VP144" s="41"/>
      <c r="VQ144" s="41"/>
      <c r="VR144" s="41"/>
      <c r="VS144" s="41"/>
      <c r="VT144" s="41"/>
      <c r="VU144" s="41"/>
      <c r="VV144" s="41"/>
      <c r="VW144" s="41"/>
      <c r="VX144" s="41"/>
      <c r="VY144" s="41"/>
      <c r="VZ144" s="41"/>
      <c r="WA144" s="41"/>
      <c r="WB144" s="41"/>
      <c r="WC144" s="41"/>
      <c r="WD144" s="41"/>
      <c r="WE144" s="41"/>
      <c r="WF144" s="41"/>
      <c r="WG144" s="41"/>
      <c r="WH144" s="41"/>
      <c r="WI144" s="41"/>
      <c r="WJ144" s="41"/>
      <c r="WK144" s="41"/>
      <c r="WL144" s="41"/>
      <c r="WM144" s="41"/>
      <c r="WN144" s="41"/>
      <c r="WO144" s="41"/>
      <c r="WP144" s="41"/>
      <c r="WQ144" s="41"/>
      <c r="WR144" s="41"/>
      <c r="WS144" s="41"/>
      <c r="WT144" s="41"/>
      <c r="WU144" s="41"/>
      <c r="WV144" s="41"/>
      <c r="WW144" s="41"/>
      <c r="WX144" s="41"/>
      <c r="WY144" s="41"/>
      <c r="WZ144" s="41"/>
      <c r="XA144" s="41"/>
      <c r="XB144" s="41"/>
      <c r="XC144" s="41"/>
      <c r="XD144" s="41"/>
      <c r="XE144" s="41"/>
      <c r="XF144" s="41"/>
      <c r="XG144" s="41"/>
      <c r="XH144" s="41"/>
      <c r="XI144" s="41"/>
      <c r="XJ144" s="41"/>
      <c r="XK144" s="41"/>
      <c r="XL144" s="41"/>
      <c r="XM144" s="41"/>
      <c r="XN144" s="41"/>
      <c r="XO144" s="41"/>
      <c r="XP144" s="41"/>
      <c r="XQ144" s="41"/>
      <c r="XR144" s="41"/>
      <c r="XS144" s="41"/>
      <c r="XT144" s="41"/>
      <c r="XU144" s="41"/>
      <c r="XV144" s="41"/>
      <c r="XW144" s="41"/>
      <c r="XX144" s="41"/>
      <c r="XY144" s="41"/>
      <c r="XZ144" s="41"/>
      <c r="YA144" s="41"/>
      <c r="YB144" s="41"/>
      <c r="YC144" s="41"/>
      <c r="YD144" s="41"/>
      <c r="YE144" s="41"/>
      <c r="YF144" s="41"/>
      <c r="YG144" s="41"/>
      <c r="YH144" s="41"/>
      <c r="YI144" s="41"/>
      <c r="YJ144" s="41"/>
      <c r="YK144" s="41"/>
      <c r="YL144" s="41"/>
      <c r="YM144" s="41"/>
      <c r="YN144" s="41"/>
      <c r="YO144" s="41"/>
      <c r="YP144" s="41"/>
      <c r="YQ144" s="41"/>
      <c r="YR144" s="41"/>
      <c r="YS144" s="41"/>
      <c r="YT144" s="41"/>
      <c r="YU144" s="41"/>
      <c r="YV144" s="41"/>
      <c r="YW144" s="41"/>
      <c r="YX144" s="41"/>
      <c r="YY144" s="41"/>
      <c r="YZ144" s="41"/>
      <c r="ZA144" s="41"/>
      <c r="ZB144" s="41"/>
      <c r="ZC144" s="41"/>
      <c r="ZD144" s="41"/>
      <c r="ZE144" s="41"/>
      <c r="ZF144" s="41"/>
      <c r="ZG144" s="41"/>
      <c r="ZH144" s="41"/>
      <c r="ZI144" s="41"/>
      <c r="ZJ144" s="41"/>
      <c r="ZK144" s="41"/>
      <c r="ZL144" s="41"/>
      <c r="ZM144" s="41"/>
      <c r="ZN144" s="41"/>
      <c r="ZO144" s="41"/>
      <c r="ZP144" s="41"/>
      <c r="ZQ144" s="41"/>
      <c r="ZR144" s="41"/>
      <c r="ZS144" s="41"/>
      <c r="ZT144" s="41"/>
      <c r="ZU144" s="41"/>
      <c r="ZV144" s="41"/>
      <c r="ZW144" s="41"/>
      <c r="ZX144" s="41"/>
      <c r="ZY144" s="41"/>
      <c r="ZZ144" s="41"/>
      <c r="AAA144" s="41"/>
      <c r="AAB144" s="41"/>
      <c r="AAC144" s="41"/>
    </row>
    <row r="145" spans="1:705" s="42" customFormat="1" ht="44.1" hidden="1" customHeight="1" x14ac:dyDescent="0.3">
      <c r="A145" s="26">
        <v>141</v>
      </c>
      <c r="B145" s="137">
        <v>240483</v>
      </c>
      <c r="C145" s="138">
        <v>141</v>
      </c>
      <c r="D145" s="139">
        <v>45937</v>
      </c>
      <c r="E145" s="139">
        <f t="shared" si="23"/>
        <v>45936</v>
      </c>
      <c r="F145" s="139">
        <f t="shared" si="22"/>
        <v>45947</v>
      </c>
      <c r="G145" s="139">
        <v>46028</v>
      </c>
      <c r="H145" s="139">
        <v>45992</v>
      </c>
      <c r="I145" s="139" t="s">
        <v>349</v>
      </c>
      <c r="J145" s="140" t="s">
        <v>382</v>
      </c>
      <c r="K145" s="141">
        <f t="shared" si="24"/>
        <v>45</v>
      </c>
      <c r="L145" s="141">
        <v>1151738</v>
      </c>
      <c r="M145" s="140" t="s">
        <v>15</v>
      </c>
      <c r="N145" s="142">
        <v>805647</v>
      </c>
      <c r="O145" s="137" t="s">
        <v>246</v>
      </c>
      <c r="P145" s="190">
        <v>45966</v>
      </c>
      <c r="Q145" s="190">
        <v>46135</v>
      </c>
      <c r="R145" s="157" t="s">
        <v>211</v>
      </c>
      <c r="S145" s="144" t="s">
        <v>383</v>
      </c>
      <c r="T145" s="145">
        <v>1</v>
      </c>
      <c r="U145" s="137" t="s">
        <v>82</v>
      </c>
      <c r="V145" s="146">
        <v>67</v>
      </c>
      <c r="W145" s="146">
        <v>67</v>
      </c>
      <c r="X145" s="147">
        <v>0</v>
      </c>
      <c r="Y145" s="146">
        <v>0</v>
      </c>
      <c r="Z145" s="146">
        <v>0</v>
      </c>
      <c r="AA145" s="146">
        <v>0</v>
      </c>
      <c r="AB145" s="146">
        <v>65</v>
      </c>
      <c r="AC145" s="146">
        <v>65</v>
      </c>
      <c r="AD145" s="146">
        <v>0</v>
      </c>
      <c r="AE145" s="146">
        <v>0</v>
      </c>
      <c r="AF145" s="146">
        <v>0</v>
      </c>
      <c r="AG145" s="146">
        <v>0</v>
      </c>
      <c r="AH145" s="146">
        <v>0</v>
      </c>
      <c r="AI145" s="146"/>
      <c r="AJ145" s="146">
        <v>0</v>
      </c>
      <c r="AK145" s="146"/>
      <c r="AL145" s="146">
        <v>2</v>
      </c>
      <c r="AM145" s="146">
        <v>2</v>
      </c>
      <c r="AN145" s="146">
        <v>3</v>
      </c>
      <c r="AO145" s="146">
        <v>3</v>
      </c>
      <c r="AP145" s="146">
        <v>1</v>
      </c>
      <c r="AQ145" s="146">
        <v>1</v>
      </c>
      <c r="AR145" s="146">
        <v>0</v>
      </c>
      <c r="AS145" s="146">
        <v>0</v>
      </c>
      <c r="AT145" s="146">
        <v>0</v>
      </c>
      <c r="AU145" s="146">
        <v>0</v>
      </c>
      <c r="AV145" s="146">
        <v>0</v>
      </c>
      <c r="AW145" s="146">
        <v>0</v>
      </c>
      <c r="AX145" s="146">
        <f t="shared" si="21"/>
        <v>9715</v>
      </c>
      <c r="AY145" s="146">
        <f t="shared" si="20"/>
        <v>9715</v>
      </c>
      <c r="AZ145" s="140" t="s">
        <v>562</v>
      </c>
      <c r="BA145" s="140" t="s">
        <v>562</v>
      </c>
      <c r="BB145" s="140">
        <v>5</v>
      </c>
      <c r="BC145" s="148">
        <v>141</v>
      </c>
      <c r="BD145" s="149"/>
      <c r="BE145" s="145"/>
      <c r="BF145" s="150"/>
      <c r="BG145" s="151">
        <v>45992</v>
      </c>
      <c r="BH145" s="153" t="s">
        <v>15</v>
      </c>
      <c r="BI145" s="153" t="s">
        <v>562</v>
      </c>
      <c r="CC145" s="41"/>
      <c r="CD145" s="41"/>
      <c r="CE145" s="41"/>
      <c r="CF145" s="41"/>
      <c r="CG145" s="41"/>
      <c r="CH145" s="41"/>
      <c r="CI145" s="41"/>
      <c r="CJ145" s="41"/>
      <c r="CK145" s="41"/>
      <c r="CL145" s="41"/>
      <c r="CM145" s="41"/>
      <c r="CN145" s="41"/>
      <c r="CO145" s="41"/>
      <c r="CP145" s="41"/>
      <c r="CQ145" s="41"/>
      <c r="CR145" s="41"/>
      <c r="CS145" s="41"/>
      <c r="CT145" s="41"/>
      <c r="CU145" s="41"/>
      <c r="CV145" s="41"/>
      <c r="CW145" s="41"/>
      <c r="CX145" s="41"/>
      <c r="CY145" s="41"/>
      <c r="CZ145" s="41"/>
      <c r="DA145" s="41"/>
      <c r="DB145" s="41"/>
      <c r="DC145" s="41"/>
      <c r="DD145" s="41"/>
      <c r="DE145" s="41"/>
      <c r="DF145" s="41"/>
      <c r="DG145" s="41"/>
      <c r="DH145" s="41"/>
      <c r="DI145" s="41"/>
      <c r="DJ145" s="41"/>
      <c r="DK145" s="41"/>
      <c r="DL145" s="41"/>
      <c r="DM145" s="41"/>
      <c r="DN145" s="41"/>
      <c r="DO145" s="41"/>
      <c r="DP145" s="41"/>
      <c r="DQ145" s="41"/>
      <c r="DR145" s="41"/>
      <c r="DS145" s="41"/>
      <c r="DT145" s="41"/>
      <c r="DU145" s="41"/>
      <c r="DV145" s="41"/>
      <c r="DW145" s="41"/>
      <c r="DX145" s="41"/>
      <c r="DY145" s="41"/>
      <c r="DZ145" s="41"/>
      <c r="EA145" s="41"/>
      <c r="EB145" s="41"/>
      <c r="EC145" s="41"/>
      <c r="ED145" s="41"/>
      <c r="EE145" s="41"/>
      <c r="EF145" s="41"/>
      <c r="EG145" s="41"/>
      <c r="EH145" s="41"/>
      <c r="EI145" s="41"/>
      <c r="EJ145" s="41"/>
      <c r="EK145" s="41"/>
      <c r="EL145" s="41"/>
      <c r="EM145" s="41"/>
      <c r="EN145" s="41"/>
      <c r="EO145" s="41"/>
      <c r="EP145" s="41"/>
      <c r="EQ145" s="41"/>
      <c r="ER145" s="41"/>
      <c r="ES145" s="41"/>
      <c r="ET145" s="41"/>
      <c r="EU145" s="41"/>
      <c r="EV145" s="41"/>
      <c r="EW145" s="41"/>
      <c r="EX145" s="41"/>
      <c r="EY145" s="41"/>
      <c r="EZ145" s="41"/>
      <c r="FA145" s="41"/>
      <c r="FB145" s="41"/>
      <c r="FC145" s="41"/>
      <c r="FD145" s="41"/>
      <c r="FE145" s="41"/>
      <c r="FF145" s="41"/>
      <c r="FG145" s="41"/>
      <c r="FH145" s="41"/>
      <c r="FI145" s="41"/>
      <c r="FJ145" s="41"/>
      <c r="FK145" s="41"/>
      <c r="FL145" s="41"/>
      <c r="FM145" s="41"/>
      <c r="FN145" s="41"/>
      <c r="FO145" s="41"/>
      <c r="FP145" s="41"/>
      <c r="FQ145" s="41"/>
      <c r="FR145" s="41"/>
      <c r="FS145" s="41"/>
      <c r="FT145" s="41"/>
      <c r="FU145" s="41"/>
      <c r="FV145" s="41"/>
      <c r="FW145" s="41"/>
      <c r="FX145" s="41"/>
      <c r="FY145" s="41"/>
      <c r="FZ145" s="41"/>
      <c r="GA145" s="41"/>
      <c r="GB145" s="41"/>
      <c r="GC145" s="41"/>
      <c r="GD145" s="41"/>
      <c r="GE145" s="41"/>
      <c r="GF145" s="41"/>
      <c r="GG145" s="41"/>
      <c r="GH145" s="41"/>
      <c r="GI145" s="41"/>
      <c r="GJ145" s="41"/>
      <c r="GK145" s="41"/>
      <c r="GL145" s="41"/>
      <c r="GM145" s="41"/>
      <c r="GN145" s="41"/>
      <c r="GO145" s="41"/>
      <c r="GP145" s="41"/>
      <c r="GQ145" s="41"/>
      <c r="GR145" s="41"/>
      <c r="GS145" s="41"/>
      <c r="GT145" s="41"/>
      <c r="GU145" s="41"/>
      <c r="GV145" s="41"/>
      <c r="GW145" s="41"/>
      <c r="GX145" s="41"/>
      <c r="GY145" s="41"/>
      <c r="GZ145" s="41"/>
      <c r="HA145" s="41"/>
      <c r="HB145" s="41"/>
      <c r="HC145" s="41"/>
      <c r="HD145" s="41"/>
      <c r="HE145" s="41"/>
      <c r="HF145" s="41"/>
      <c r="HG145" s="41"/>
      <c r="HH145" s="41"/>
      <c r="HI145" s="41"/>
      <c r="HJ145" s="41"/>
      <c r="HK145" s="41"/>
      <c r="HL145" s="41"/>
      <c r="HM145" s="41"/>
      <c r="HN145" s="41"/>
      <c r="HO145" s="41"/>
      <c r="HP145" s="41"/>
      <c r="HQ145" s="41"/>
      <c r="HR145" s="41"/>
      <c r="HS145" s="41"/>
      <c r="HT145" s="41"/>
      <c r="HU145" s="41"/>
      <c r="HV145" s="41"/>
      <c r="HW145" s="41"/>
      <c r="HX145" s="41"/>
      <c r="HY145" s="41"/>
      <c r="HZ145" s="41"/>
      <c r="IA145" s="41"/>
      <c r="IB145" s="41"/>
      <c r="IC145" s="41"/>
      <c r="ID145" s="41"/>
      <c r="IE145" s="41"/>
      <c r="IF145" s="41"/>
      <c r="IG145" s="41"/>
      <c r="IH145" s="41"/>
      <c r="II145" s="41"/>
      <c r="IJ145" s="41"/>
      <c r="IK145" s="41"/>
      <c r="IL145" s="41"/>
      <c r="IM145" s="41"/>
      <c r="IN145" s="41"/>
      <c r="IO145" s="41"/>
      <c r="IP145" s="41"/>
      <c r="IQ145" s="41"/>
      <c r="IR145" s="41"/>
      <c r="IS145" s="41"/>
      <c r="IT145" s="41"/>
      <c r="IU145" s="41"/>
      <c r="IV145" s="41"/>
      <c r="IW145" s="41"/>
      <c r="IX145" s="41"/>
      <c r="IY145" s="41"/>
      <c r="IZ145" s="41"/>
      <c r="JA145" s="41"/>
      <c r="JB145" s="41"/>
      <c r="JC145" s="41"/>
      <c r="JD145" s="41"/>
      <c r="JE145" s="41"/>
      <c r="JF145" s="41"/>
      <c r="JG145" s="41"/>
      <c r="JH145" s="41"/>
      <c r="JI145" s="41"/>
      <c r="JJ145" s="41"/>
      <c r="JK145" s="41"/>
      <c r="JL145" s="41"/>
      <c r="JM145" s="41"/>
      <c r="JN145" s="41"/>
      <c r="JO145" s="41"/>
      <c r="JP145" s="41"/>
      <c r="JQ145" s="41"/>
      <c r="JR145" s="41"/>
      <c r="JS145" s="41"/>
      <c r="JT145" s="41"/>
      <c r="JU145" s="41"/>
      <c r="JV145" s="41"/>
      <c r="JW145" s="41"/>
      <c r="JX145" s="41"/>
      <c r="JY145" s="41"/>
      <c r="JZ145" s="41"/>
      <c r="KA145" s="41"/>
      <c r="KB145" s="41"/>
      <c r="KC145" s="41"/>
      <c r="KD145" s="41"/>
      <c r="KE145" s="41"/>
      <c r="KF145" s="41"/>
      <c r="KG145" s="41"/>
      <c r="KH145" s="41"/>
      <c r="KI145" s="41"/>
      <c r="KJ145" s="41"/>
      <c r="KK145" s="41"/>
      <c r="KL145" s="41"/>
      <c r="KM145" s="41"/>
      <c r="KN145" s="41"/>
      <c r="KO145" s="41"/>
      <c r="KP145" s="41"/>
      <c r="KQ145" s="41"/>
      <c r="KR145" s="41"/>
      <c r="KS145" s="41"/>
      <c r="KT145" s="41"/>
      <c r="KU145" s="41"/>
      <c r="KV145" s="41"/>
      <c r="KW145" s="41"/>
      <c r="KX145" s="41"/>
      <c r="KY145" s="41"/>
      <c r="KZ145" s="41"/>
      <c r="LA145" s="41"/>
      <c r="LB145" s="41"/>
      <c r="LC145" s="41"/>
      <c r="LD145" s="41"/>
      <c r="LE145" s="41"/>
      <c r="LF145" s="41"/>
      <c r="LG145" s="41"/>
      <c r="LH145" s="41"/>
      <c r="LI145" s="41"/>
      <c r="LJ145" s="41"/>
      <c r="LK145" s="41"/>
      <c r="LL145" s="41"/>
      <c r="LM145" s="41"/>
      <c r="LN145" s="41"/>
      <c r="LO145" s="41"/>
      <c r="LP145" s="41"/>
      <c r="LQ145" s="41"/>
      <c r="LR145" s="41"/>
      <c r="LS145" s="41"/>
      <c r="LT145" s="41"/>
      <c r="LU145" s="41"/>
      <c r="LV145" s="41"/>
      <c r="LW145" s="41"/>
      <c r="LX145" s="41"/>
      <c r="LY145" s="41"/>
      <c r="LZ145" s="41"/>
      <c r="MA145" s="41"/>
      <c r="MB145" s="41"/>
      <c r="MC145" s="41"/>
      <c r="MD145" s="41"/>
      <c r="ME145" s="41"/>
      <c r="MF145" s="41"/>
      <c r="MG145" s="41"/>
      <c r="MH145" s="41"/>
      <c r="MI145" s="41"/>
      <c r="MJ145" s="41"/>
      <c r="MK145" s="41"/>
      <c r="ML145" s="41"/>
      <c r="MM145" s="41"/>
      <c r="MN145" s="41"/>
      <c r="MO145" s="41"/>
      <c r="MP145" s="41"/>
      <c r="MQ145" s="41"/>
      <c r="MR145" s="41"/>
      <c r="MS145" s="41"/>
      <c r="MT145" s="41"/>
      <c r="MU145" s="41"/>
      <c r="MV145" s="41"/>
      <c r="MW145" s="41"/>
      <c r="MX145" s="41"/>
      <c r="MY145" s="41"/>
      <c r="MZ145" s="41"/>
      <c r="NA145" s="41"/>
      <c r="NB145" s="41"/>
      <c r="NC145" s="41"/>
      <c r="ND145" s="41"/>
      <c r="NE145" s="41"/>
      <c r="NF145" s="41"/>
      <c r="NG145" s="41"/>
      <c r="NH145" s="41"/>
      <c r="NI145" s="41"/>
      <c r="NJ145" s="41"/>
      <c r="NK145" s="41"/>
      <c r="NL145" s="41"/>
      <c r="NM145" s="41"/>
      <c r="NN145" s="41"/>
      <c r="NO145" s="41"/>
      <c r="NP145" s="41"/>
      <c r="NQ145" s="41"/>
      <c r="NR145" s="41"/>
      <c r="NS145" s="41"/>
      <c r="NT145" s="41"/>
      <c r="NU145" s="41"/>
      <c r="NV145" s="41"/>
      <c r="NW145" s="41"/>
      <c r="NX145" s="41"/>
      <c r="NY145" s="41"/>
      <c r="NZ145" s="41"/>
      <c r="OA145" s="41"/>
      <c r="OB145" s="41"/>
      <c r="OC145" s="41"/>
      <c r="OD145" s="41"/>
      <c r="OE145" s="41"/>
      <c r="OF145" s="41"/>
      <c r="OG145" s="41"/>
      <c r="OH145" s="41"/>
      <c r="OI145" s="41"/>
      <c r="OJ145" s="41"/>
      <c r="OK145" s="41"/>
      <c r="OL145" s="41"/>
      <c r="OM145" s="41"/>
      <c r="ON145" s="41"/>
      <c r="OO145" s="41"/>
      <c r="OP145" s="41"/>
      <c r="OQ145" s="41"/>
      <c r="OR145" s="41"/>
      <c r="OS145" s="41"/>
      <c r="OT145" s="41"/>
      <c r="OU145" s="41"/>
      <c r="OV145" s="41"/>
      <c r="OW145" s="41"/>
      <c r="OX145" s="41"/>
      <c r="OY145" s="41"/>
      <c r="OZ145" s="41"/>
      <c r="PA145" s="41"/>
      <c r="PB145" s="41"/>
      <c r="PC145" s="41"/>
      <c r="PD145" s="41"/>
      <c r="PE145" s="41"/>
      <c r="PF145" s="41"/>
      <c r="PG145" s="41"/>
      <c r="PH145" s="41"/>
      <c r="PI145" s="41"/>
      <c r="PJ145" s="41"/>
      <c r="PK145" s="41"/>
      <c r="PL145" s="41"/>
      <c r="PM145" s="41"/>
      <c r="PN145" s="41"/>
      <c r="PO145" s="41"/>
      <c r="PP145" s="41"/>
      <c r="PQ145" s="41"/>
      <c r="PR145" s="41"/>
      <c r="PS145" s="41"/>
      <c r="PT145" s="41"/>
      <c r="PU145" s="41"/>
      <c r="PV145" s="41"/>
      <c r="PW145" s="41"/>
      <c r="PX145" s="41"/>
      <c r="PY145" s="41"/>
      <c r="PZ145" s="41"/>
      <c r="QA145" s="41"/>
      <c r="QB145" s="41"/>
      <c r="QC145" s="41"/>
      <c r="QD145" s="41"/>
      <c r="QE145" s="41"/>
      <c r="QF145" s="41"/>
      <c r="QG145" s="41"/>
      <c r="QH145" s="41"/>
      <c r="QI145" s="41"/>
      <c r="QJ145" s="41"/>
      <c r="QK145" s="41"/>
      <c r="QL145" s="41"/>
      <c r="QM145" s="41"/>
      <c r="QN145" s="41"/>
      <c r="QO145" s="41"/>
      <c r="QP145" s="41"/>
      <c r="QQ145" s="41"/>
      <c r="QR145" s="41"/>
      <c r="QS145" s="41"/>
      <c r="QT145" s="41"/>
      <c r="QU145" s="41"/>
      <c r="QV145" s="41"/>
      <c r="QW145" s="41"/>
      <c r="QX145" s="41"/>
      <c r="QY145" s="41"/>
      <c r="QZ145" s="41"/>
      <c r="RA145" s="41"/>
      <c r="RB145" s="41"/>
      <c r="RC145" s="41"/>
      <c r="RD145" s="41"/>
      <c r="RE145" s="41"/>
      <c r="RF145" s="41"/>
      <c r="RG145" s="41"/>
      <c r="RH145" s="41"/>
      <c r="RI145" s="41"/>
      <c r="RJ145" s="41"/>
      <c r="RK145" s="41"/>
      <c r="RL145" s="41"/>
      <c r="RM145" s="41"/>
      <c r="RN145" s="41"/>
      <c r="RO145" s="41"/>
      <c r="RP145" s="41"/>
      <c r="RQ145" s="41"/>
      <c r="RR145" s="41"/>
      <c r="RS145" s="41"/>
      <c r="RT145" s="41"/>
      <c r="RU145" s="41"/>
      <c r="RV145" s="41"/>
      <c r="RW145" s="41"/>
      <c r="RX145" s="41"/>
      <c r="RY145" s="41"/>
      <c r="RZ145" s="41"/>
      <c r="SA145" s="41"/>
      <c r="SB145" s="41"/>
      <c r="SC145" s="41"/>
      <c r="SD145" s="41"/>
      <c r="SE145" s="41"/>
      <c r="SF145" s="41"/>
      <c r="SG145" s="41"/>
      <c r="SH145" s="41"/>
      <c r="SI145" s="41"/>
      <c r="SJ145" s="41"/>
      <c r="SK145" s="41"/>
      <c r="SL145" s="41"/>
      <c r="SM145" s="41"/>
      <c r="SN145" s="41"/>
      <c r="SO145" s="41"/>
      <c r="SP145" s="41"/>
      <c r="SQ145" s="41"/>
      <c r="SR145" s="41"/>
      <c r="SS145" s="41"/>
      <c r="ST145" s="41"/>
      <c r="SU145" s="41"/>
      <c r="SV145" s="41"/>
      <c r="SW145" s="41"/>
      <c r="SX145" s="41"/>
      <c r="SY145" s="41"/>
      <c r="SZ145" s="41"/>
      <c r="TA145" s="41"/>
      <c r="TB145" s="41"/>
      <c r="TC145" s="41"/>
      <c r="TD145" s="41"/>
      <c r="TE145" s="41"/>
      <c r="TF145" s="41"/>
      <c r="TG145" s="41"/>
      <c r="TH145" s="41"/>
      <c r="TI145" s="41"/>
      <c r="TJ145" s="41"/>
      <c r="TK145" s="41"/>
      <c r="TL145" s="41"/>
      <c r="TM145" s="41"/>
      <c r="TN145" s="41"/>
      <c r="TO145" s="41"/>
      <c r="TP145" s="41"/>
      <c r="TQ145" s="41"/>
      <c r="TR145" s="41"/>
      <c r="TS145" s="41"/>
      <c r="TT145" s="41"/>
      <c r="TU145" s="41"/>
      <c r="TV145" s="41"/>
      <c r="TW145" s="41"/>
      <c r="TX145" s="41"/>
      <c r="TY145" s="41"/>
      <c r="TZ145" s="41"/>
      <c r="UA145" s="41"/>
      <c r="UB145" s="41"/>
      <c r="UC145" s="41"/>
      <c r="UD145" s="41"/>
      <c r="UE145" s="41"/>
      <c r="UF145" s="41"/>
      <c r="UG145" s="41"/>
      <c r="UH145" s="41"/>
      <c r="UI145" s="41"/>
      <c r="UJ145" s="41"/>
      <c r="UK145" s="41"/>
      <c r="UL145" s="41"/>
      <c r="UM145" s="41"/>
      <c r="UN145" s="41"/>
      <c r="UO145" s="41"/>
      <c r="UP145" s="41"/>
      <c r="UQ145" s="41"/>
      <c r="UR145" s="41"/>
      <c r="US145" s="41"/>
      <c r="UT145" s="41"/>
      <c r="UU145" s="41"/>
      <c r="UV145" s="41"/>
      <c r="UW145" s="41"/>
      <c r="UX145" s="41"/>
      <c r="UY145" s="41"/>
      <c r="UZ145" s="41"/>
      <c r="VA145" s="41"/>
      <c r="VB145" s="41"/>
      <c r="VC145" s="41"/>
      <c r="VD145" s="41"/>
      <c r="VE145" s="41"/>
      <c r="VF145" s="41"/>
      <c r="VG145" s="41"/>
      <c r="VH145" s="41"/>
      <c r="VI145" s="41"/>
      <c r="VJ145" s="41"/>
      <c r="VK145" s="41"/>
      <c r="VL145" s="41"/>
      <c r="VM145" s="41"/>
      <c r="VN145" s="41"/>
      <c r="VO145" s="41"/>
      <c r="VP145" s="41"/>
      <c r="VQ145" s="41"/>
      <c r="VR145" s="41"/>
      <c r="VS145" s="41"/>
      <c r="VT145" s="41"/>
      <c r="VU145" s="41"/>
      <c r="VV145" s="41"/>
      <c r="VW145" s="41"/>
      <c r="VX145" s="41"/>
      <c r="VY145" s="41"/>
      <c r="VZ145" s="41"/>
      <c r="WA145" s="41"/>
      <c r="WB145" s="41"/>
      <c r="WC145" s="41"/>
      <c r="WD145" s="41"/>
      <c r="WE145" s="41"/>
      <c r="WF145" s="41"/>
      <c r="WG145" s="41"/>
      <c r="WH145" s="41"/>
      <c r="WI145" s="41"/>
      <c r="WJ145" s="41"/>
      <c r="WK145" s="41"/>
      <c r="WL145" s="41"/>
      <c r="WM145" s="41"/>
      <c r="WN145" s="41"/>
      <c r="WO145" s="41"/>
      <c r="WP145" s="41"/>
      <c r="WQ145" s="41"/>
      <c r="WR145" s="41"/>
      <c r="WS145" s="41"/>
      <c r="WT145" s="41"/>
      <c r="WU145" s="41"/>
      <c r="WV145" s="41"/>
      <c r="WW145" s="41"/>
      <c r="WX145" s="41"/>
      <c r="WY145" s="41"/>
      <c r="WZ145" s="41"/>
      <c r="XA145" s="41"/>
      <c r="XB145" s="41"/>
      <c r="XC145" s="41"/>
      <c r="XD145" s="41"/>
      <c r="XE145" s="41"/>
      <c r="XF145" s="41"/>
      <c r="XG145" s="41"/>
      <c r="XH145" s="41"/>
      <c r="XI145" s="41"/>
      <c r="XJ145" s="41"/>
      <c r="XK145" s="41"/>
      <c r="XL145" s="41"/>
      <c r="XM145" s="41"/>
      <c r="XN145" s="41"/>
      <c r="XO145" s="41"/>
      <c r="XP145" s="41"/>
      <c r="XQ145" s="41"/>
      <c r="XR145" s="41"/>
      <c r="XS145" s="41"/>
      <c r="XT145" s="41"/>
      <c r="XU145" s="41"/>
      <c r="XV145" s="41"/>
      <c r="XW145" s="41"/>
      <c r="XX145" s="41"/>
      <c r="XY145" s="41"/>
      <c r="XZ145" s="41"/>
      <c r="YA145" s="41"/>
      <c r="YB145" s="41"/>
      <c r="YC145" s="41"/>
      <c r="YD145" s="41"/>
      <c r="YE145" s="41"/>
      <c r="YF145" s="41"/>
      <c r="YG145" s="41"/>
      <c r="YH145" s="41"/>
      <c r="YI145" s="41"/>
      <c r="YJ145" s="41"/>
      <c r="YK145" s="41"/>
      <c r="YL145" s="41"/>
      <c r="YM145" s="41"/>
      <c r="YN145" s="41"/>
      <c r="YO145" s="41"/>
      <c r="YP145" s="41"/>
      <c r="YQ145" s="41"/>
      <c r="YR145" s="41"/>
      <c r="YS145" s="41"/>
      <c r="YT145" s="41"/>
      <c r="YU145" s="41"/>
      <c r="YV145" s="41"/>
      <c r="YW145" s="41"/>
      <c r="YX145" s="41"/>
      <c r="YY145" s="41"/>
      <c r="YZ145" s="41"/>
      <c r="ZA145" s="41"/>
      <c r="ZB145" s="41"/>
      <c r="ZC145" s="41"/>
      <c r="ZD145" s="41"/>
      <c r="ZE145" s="41"/>
      <c r="ZF145" s="41"/>
      <c r="ZG145" s="41"/>
      <c r="ZH145" s="41"/>
      <c r="ZI145" s="41"/>
      <c r="ZJ145" s="41"/>
      <c r="ZK145" s="41"/>
      <c r="ZL145" s="41"/>
      <c r="ZM145" s="41"/>
      <c r="ZN145" s="41"/>
      <c r="ZO145" s="41"/>
      <c r="ZP145" s="41"/>
      <c r="ZQ145" s="41"/>
      <c r="ZR145" s="41"/>
      <c r="ZS145" s="41"/>
      <c r="ZT145" s="41"/>
      <c r="ZU145" s="41"/>
      <c r="ZV145" s="41"/>
      <c r="ZW145" s="41"/>
      <c r="ZX145" s="41"/>
      <c r="ZY145" s="41"/>
      <c r="ZZ145" s="41"/>
      <c r="AAA145" s="41"/>
      <c r="AAB145" s="41"/>
      <c r="AAC145" s="41"/>
    </row>
    <row r="146" spans="1:705" s="42" customFormat="1" ht="44.1" hidden="1" customHeight="1" x14ac:dyDescent="0.3">
      <c r="A146" s="26">
        <v>142</v>
      </c>
      <c r="B146" s="137">
        <v>240485</v>
      </c>
      <c r="C146" s="138">
        <v>142</v>
      </c>
      <c r="D146" s="139">
        <v>45937</v>
      </c>
      <c r="E146" s="139">
        <f t="shared" si="23"/>
        <v>45936</v>
      </c>
      <c r="F146" s="139">
        <f t="shared" si="22"/>
        <v>45947</v>
      </c>
      <c r="G146" s="139">
        <v>46029</v>
      </c>
      <c r="H146" s="139">
        <v>45987</v>
      </c>
      <c r="I146" s="139" t="s">
        <v>349</v>
      </c>
      <c r="J146" s="140" t="s">
        <v>384</v>
      </c>
      <c r="K146" s="141">
        <f t="shared" si="24"/>
        <v>40</v>
      </c>
      <c r="L146" s="141">
        <v>1151740</v>
      </c>
      <c r="M146" s="140" t="s">
        <v>15</v>
      </c>
      <c r="N146" s="142">
        <v>805648</v>
      </c>
      <c r="O146" s="137" t="s">
        <v>246</v>
      </c>
      <c r="P146" s="190">
        <v>45966</v>
      </c>
      <c r="Q146" s="190">
        <v>46128</v>
      </c>
      <c r="R146" s="157" t="s">
        <v>211</v>
      </c>
      <c r="S146" s="144" t="s">
        <v>385</v>
      </c>
      <c r="T146" s="145">
        <v>1</v>
      </c>
      <c r="U146" s="137" t="s">
        <v>106</v>
      </c>
      <c r="V146" s="146">
        <v>11</v>
      </c>
      <c r="W146" s="146">
        <v>11</v>
      </c>
      <c r="X146" s="147">
        <v>0</v>
      </c>
      <c r="Y146" s="146">
        <v>0</v>
      </c>
      <c r="Z146" s="146">
        <v>0</v>
      </c>
      <c r="AA146" s="146">
        <v>0</v>
      </c>
      <c r="AB146" s="146">
        <v>11</v>
      </c>
      <c r="AC146" s="146">
        <v>11</v>
      </c>
      <c r="AD146" s="146">
        <v>0</v>
      </c>
      <c r="AE146" s="146">
        <v>0</v>
      </c>
      <c r="AF146" s="146">
        <v>0</v>
      </c>
      <c r="AG146" s="146">
        <v>0</v>
      </c>
      <c r="AH146" s="146">
        <v>1</v>
      </c>
      <c r="AI146" s="146">
        <v>1</v>
      </c>
      <c r="AJ146" s="146">
        <v>0</v>
      </c>
      <c r="AK146" s="146"/>
      <c r="AL146" s="146">
        <v>0</v>
      </c>
      <c r="AM146" s="146"/>
      <c r="AN146" s="146">
        <v>1</v>
      </c>
      <c r="AO146" s="146">
        <v>1</v>
      </c>
      <c r="AP146" s="146">
        <v>1</v>
      </c>
      <c r="AQ146" s="146">
        <v>1</v>
      </c>
      <c r="AR146" s="146">
        <v>0</v>
      </c>
      <c r="AS146" s="146">
        <v>0</v>
      </c>
      <c r="AT146" s="146">
        <v>0</v>
      </c>
      <c r="AU146" s="146">
        <v>0</v>
      </c>
      <c r="AV146" s="146">
        <v>0</v>
      </c>
      <c r="AW146" s="146">
        <v>0</v>
      </c>
      <c r="AX146" s="146">
        <f t="shared" si="21"/>
        <v>2147</v>
      </c>
      <c r="AY146" s="146">
        <f t="shared" si="20"/>
        <v>2147</v>
      </c>
      <c r="AZ146" s="140" t="s">
        <v>562</v>
      </c>
      <c r="BA146" s="140" t="s">
        <v>562</v>
      </c>
      <c r="BB146" s="140">
        <v>5</v>
      </c>
      <c r="BC146" s="148">
        <v>142</v>
      </c>
      <c r="BD146" s="149"/>
      <c r="BE146" s="145"/>
      <c r="BF146" s="150"/>
      <c r="BG146" s="151">
        <v>45962</v>
      </c>
      <c r="BH146" s="153" t="s">
        <v>15</v>
      </c>
      <c r="BI146" s="153" t="s">
        <v>562</v>
      </c>
      <c r="CC146" s="41"/>
      <c r="CD146" s="41"/>
      <c r="CE146" s="41"/>
      <c r="CF146" s="41"/>
      <c r="CG146" s="41"/>
      <c r="CH146" s="41"/>
      <c r="CI146" s="41"/>
      <c r="CJ146" s="41"/>
      <c r="CK146" s="41"/>
      <c r="CL146" s="41"/>
      <c r="CM146" s="41"/>
      <c r="CN146" s="41"/>
      <c r="CO146" s="41"/>
      <c r="CP146" s="41"/>
      <c r="CQ146" s="41"/>
      <c r="CR146" s="41"/>
      <c r="CS146" s="41"/>
      <c r="CT146" s="41"/>
      <c r="CU146" s="41"/>
      <c r="CV146" s="41"/>
      <c r="CW146" s="41"/>
      <c r="CX146" s="41"/>
      <c r="CY146" s="41"/>
      <c r="CZ146" s="41"/>
      <c r="DA146" s="41"/>
      <c r="DB146" s="41"/>
      <c r="DC146" s="41"/>
      <c r="DD146" s="41"/>
      <c r="DE146" s="41"/>
      <c r="DF146" s="41"/>
      <c r="DG146" s="41"/>
      <c r="DH146" s="41"/>
      <c r="DI146" s="41"/>
      <c r="DJ146" s="41"/>
      <c r="DK146" s="41"/>
      <c r="DL146" s="41"/>
      <c r="DM146" s="41"/>
      <c r="DN146" s="41"/>
      <c r="DO146" s="41"/>
      <c r="DP146" s="41"/>
      <c r="DQ146" s="41"/>
      <c r="DR146" s="41"/>
      <c r="DS146" s="41"/>
      <c r="DT146" s="41"/>
      <c r="DU146" s="41"/>
      <c r="DV146" s="41"/>
      <c r="DW146" s="41"/>
      <c r="DX146" s="41"/>
      <c r="DY146" s="41"/>
      <c r="DZ146" s="41"/>
      <c r="EA146" s="41"/>
      <c r="EB146" s="41"/>
      <c r="EC146" s="41"/>
      <c r="ED146" s="41"/>
      <c r="EE146" s="41"/>
      <c r="EF146" s="41"/>
      <c r="EG146" s="41"/>
      <c r="EH146" s="41"/>
      <c r="EI146" s="41"/>
      <c r="EJ146" s="41"/>
      <c r="EK146" s="41"/>
      <c r="EL146" s="41"/>
      <c r="EM146" s="41"/>
      <c r="EN146" s="41"/>
      <c r="EO146" s="41"/>
      <c r="EP146" s="41"/>
      <c r="EQ146" s="41"/>
      <c r="ER146" s="41"/>
      <c r="ES146" s="41"/>
      <c r="ET146" s="41"/>
      <c r="EU146" s="41"/>
      <c r="EV146" s="41"/>
      <c r="EW146" s="41"/>
      <c r="EX146" s="41"/>
      <c r="EY146" s="41"/>
      <c r="EZ146" s="41"/>
      <c r="FA146" s="41"/>
      <c r="FB146" s="41"/>
      <c r="FC146" s="41"/>
      <c r="FD146" s="41"/>
      <c r="FE146" s="41"/>
      <c r="FF146" s="41"/>
      <c r="FG146" s="41"/>
      <c r="FH146" s="41"/>
      <c r="FI146" s="41"/>
      <c r="FJ146" s="41"/>
      <c r="FK146" s="41"/>
      <c r="FL146" s="41"/>
      <c r="FM146" s="41"/>
      <c r="FN146" s="41"/>
      <c r="FO146" s="41"/>
      <c r="FP146" s="41"/>
      <c r="FQ146" s="41"/>
      <c r="FR146" s="41"/>
      <c r="FS146" s="41"/>
      <c r="FT146" s="41"/>
      <c r="FU146" s="41"/>
      <c r="FV146" s="41"/>
      <c r="FW146" s="41"/>
      <c r="FX146" s="41"/>
      <c r="FY146" s="41"/>
      <c r="FZ146" s="41"/>
      <c r="GA146" s="41"/>
      <c r="GB146" s="41"/>
      <c r="GC146" s="41"/>
      <c r="GD146" s="41"/>
      <c r="GE146" s="41"/>
      <c r="GF146" s="41"/>
      <c r="GG146" s="41"/>
      <c r="GH146" s="41"/>
      <c r="GI146" s="41"/>
      <c r="GJ146" s="41"/>
      <c r="GK146" s="41"/>
      <c r="GL146" s="41"/>
      <c r="GM146" s="41"/>
      <c r="GN146" s="41"/>
      <c r="GO146" s="41"/>
      <c r="GP146" s="41"/>
      <c r="GQ146" s="41"/>
      <c r="GR146" s="41"/>
      <c r="GS146" s="41"/>
      <c r="GT146" s="41"/>
      <c r="GU146" s="41"/>
      <c r="GV146" s="41"/>
      <c r="GW146" s="41"/>
      <c r="GX146" s="41"/>
      <c r="GY146" s="41"/>
      <c r="GZ146" s="41"/>
      <c r="HA146" s="41"/>
      <c r="HB146" s="41"/>
      <c r="HC146" s="41"/>
      <c r="HD146" s="41"/>
      <c r="HE146" s="41"/>
      <c r="HF146" s="41"/>
      <c r="HG146" s="41"/>
      <c r="HH146" s="41"/>
      <c r="HI146" s="41"/>
      <c r="HJ146" s="41"/>
      <c r="HK146" s="41"/>
      <c r="HL146" s="41"/>
      <c r="HM146" s="41"/>
      <c r="HN146" s="41"/>
      <c r="HO146" s="41"/>
      <c r="HP146" s="41"/>
      <c r="HQ146" s="41"/>
      <c r="HR146" s="41"/>
      <c r="HS146" s="41"/>
      <c r="HT146" s="41"/>
      <c r="HU146" s="41"/>
      <c r="HV146" s="41"/>
      <c r="HW146" s="41"/>
      <c r="HX146" s="41"/>
      <c r="HY146" s="41"/>
      <c r="HZ146" s="41"/>
      <c r="IA146" s="41"/>
      <c r="IB146" s="41"/>
      <c r="IC146" s="41"/>
      <c r="ID146" s="41"/>
      <c r="IE146" s="41"/>
      <c r="IF146" s="41"/>
      <c r="IG146" s="41"/>
      <c r="IH146" s="41"/>
      <c r="II146" s="41"/>
      <c r="IJ146" s="41"/>
      <c r="IK146" s="41"/>
      <c r="IL146" s="41"/>
      <c r="IM146" s="41"/>
      <c r="IN146" s="41"/>
      <c r="IO146" s="41"/>
      <c r="IP146" s="41"/>
      <c r="IQ146" s="41"/>
      <c r="IR146" s="41"/>
      <c r="IS146" s="41"/>
      <c r="IT146" s="41"/>
      <c r="IU146" s="41"/>
      <c r="IV146" s="41"/>
      <c r="IW146" s="41"/>
      <c r="IX146" s="41"/>
      <c r="IY146" s="41"/>
      <c r="IZ146" s="41"/>
      <c r="JA146" s="41"/>
      <c r="JB146" s="41"/>
      <c r="JC146" s="41"/>
      <c r="JD146" s="41"/>
      <c r="JE146" s="41"/>
      <c r="JF146" s="41"/>
      <c r="JG146" s="41"/>
      <c r="JH146" s="41"/>
      <c r="JI146" s="41"/>
      <c r="JJ146" s="41"/>
      <c r="JK146" s="41"/>
      <c r="JL146" s="41"/>
      <c r="JM146" s="41"/>
      <c r="JN146" s="41"/>
      <c r="JO146" s="41"/>
      <c r="JP146" s="41"/>
      <c r="JQ146" s="41"/>
      <c r="JR146" s="41"/>
      <c r="JS146" s="41"/>
      <c r="JT146" s="41"/>
      <c r="JU146" s="41"/>
      <c r="JV146" s="41"/>
      <c r="JW146" s="41"/>
      <c r="JX146" s="41"/>
      <c r="JY146" s="41"/>
      <c r="JZ146" s="41"/>
      <c r="KA146" s="41"/>
      <c r="KB146" s="41"/>
      <c r="KC146" s="41"/>
      <c r="KD146" s="41"/>
      <c r="KE146" s="41"/>
      <c r="KF146" s="41"/>
      <c r="KG146" s="41"/>
      <c r="KH146" s="41"/>
      <c r="KI146" s="41"/>
      <c r="KJ146" s="41"/>
      <c r="KK146" s="41"/>
      <c r="KL146" s="41"/>
      <c r="KM146" s="41"/>
      <c r="KN146" s="41"/>
      <c r="KO146" s="41"/>
      <c r="KP146" s="41"/>
      <c r="KQ146" s="41"/>
      <c r="KR146" s="41"/>
      <c r="KS146" s="41"/>
      <c r="KT146" s="41"/>
      <c r="KU146" s="41"/>
      <c r="KV146" s="41"/>
      <c r="KW146" s="41"/>
      <c r="KX146" s="41"/>
      <c r="KY146" s="41"/>
      <c r="KZ146" s="41"/>
      <c r="LA146" s="41"/>
      <c r="LB146" s="41"/>
      <c r="LC146" s="41"/>
      <c r="LD146" s="41"/>
      <c r="LE146" s="41"/>
      <c r="LF146" s="41"/>
      <c r="LG146" s="41"/>
      <c r="LH146" s="41"/>
      <c r="LI146" s="41"/>
      <c r="LJ146" s="41"/>
      <c r="LK146" s="41"/>
      <c r="LL146" s="41"/>
      <c r="LM146" s="41"/>
      <c r="LN146" s="41"/>
      <c r="LO146" s="41"/>
      <c r="LP146" s="41"/>
      <c r="LQ146" s="41"/>
      <c r="LR146" s="41"/>
      <c r="LS146" s="41"/>
      <c r="LT146" s="41"/>
      <c r="LU146" s="41"/>
      <c r="LV146" s="41"/>
      <c r="LW146" s="41"/>
      <c r="LX146" s="41"/>
      <c r="LY146" s="41"/>
      <c r="LZ146" s="41"/>
      <c r="MA146" s="41"/>
      <c r="MB146" s="41"/>
      <c r="MC146" s="41"/>
      <c r="MD146" s="41"/>
      <c r="ME146" s="41"/>
      <c r="MF146" s="41"/>
      <c r="MG146" s="41"/>
      <c r="MH146" s="41"/>
      <c r="MI146" s="41"/>
      <c r="MJ146" s="41"/>
      <c r="MK146" s="41"/>
      <c r="ML146" s="41"/>
      <c r="MM146" s="41"/>
      <c r="MN146" s="41"/>
      <c r="MO146" s="41"/>
      <c r="MP146" s="41"/>
      <c r="MQ146" s="41"/>
      <c r="MR146" s="41"/>
      <c r="MS146" s="41"/>
      <c r="MT146" s="41"/>
      <c r="MU146" s="41"/>
      <c r="MV146" s="41"/>
      <c r="MW146" s="41"/>
      <c r="MX146" s="41"/>
      <c r="MY146" s="41"/>
      <c r="MZ146" s="41"/>
      <c r="NA146" s="41"/>
      <c r="NB146" s="41"/>
      <c r="NC146" s="41"/>
      <c r="ND146" s="41"/>
      <c r="NE146" s="41"/>
      <c r="NF146" s="41"/>
      <c r="NG146" s="41"/>
      <c r="NH146" s="41"/>
      <c r="NI146" s="41"/>
      <c r="NJ146" s="41"/>
      <c r="NK146" s="41"/>
      <c r="NL146" s="41"/>
      <c r="NM146" s="41"/>
      <c r="NN146" s="41"/>
      <c r="NO146" s="41"/>
      <c r="NP146" s="41"/>
      <c r="NQ146" s="41"/>
      <c r="NR146" s="41"/>
      <c r="NS146" s="41"/>
      <c r="NT146" s="41"/>
      <c r="NU146" s="41"/>
      <c r="NV146" s="41"/>
      <c r="NW146" s="41"/>
      <c r="NX146" s="41"/>
      <c r="NY146" s="41"/>
      <c r="NZ146" s="41"/>
      <c r="OA146" s="41"/>
      <c r="OB146" s="41"/>
      <c r="OC146" s="41"/>
      <c r="OD146" s="41"/>
      <c r="OE146" s="41"/>
      <c r="OF146" s="41"/>
      <c r="OG146" s="41"/>
      <c r="OH146" s="41"/>
      <c r="OI146" s="41"/>
      <c r="OJ146" s="41"/>
      <c r="OK146" s="41"/>
      <c r="OL146" s="41"/>
      <c r="OM146" s="41"/>
      <c r="ON146" s="41"/>
      <c r="OO146" s="41"/>
      <c r="OP146" s="41"/>
      <c r="OQ146" s="41"/>
      <c r="OR146" s="41"/>
      <c r="OS146" s="41"/>
      <c r="OT146" s="41"/>
      <c r="OU146" s="41"/>
      <c r="OV146" s="41"/>
      <c r="OW146" s="41"/>
      <c r="OX146" s="41"/>
      <c r="OY146" s="41"/>
      <c r="OZ146" s="41"/>
      <c r="PA146" s="41"/>
      <c r="PB146" s="41"/>
      <c r="PC146" s="41"/>
      <c r="PD146" s="41"/>
      <c r="PE146" s="41"/>
      <c r="PF146" s="41"/>
      <c r="PG146" s="41"/>
      <c r="PH146" s="41"/>
      <c r="PI146" s="41"/>
      <c r="PJ146" s="41"/>
      <c r="PK146" s="41"/>
      <c r="PL146" s="41"/>
      <c r="PM146" s="41"/>
      <c r="PN146" s="41"/>
      <c r="PO146" s="41"/>
      <c r="PP146" s="41"/>
      <c r="PQ146" s="41"/>
      <c r="PR146" s="41"/>
      <c r="PS146" s="41"/>
      <c r="PT146" s="41"/>
      <c r="PU146" s="41"/>
      <c r="PV146" s="41"/>
      <c r="PW146" s="41"/>
      <c r="PX146" s="41"/>
      <c r="PY146" s="41"/>
      <c r="PZ146" s="41"/>
      <c r="QA146" s="41"/>
      <c r="QB146" s="41"/>
      <c r="QC146" s="41"/>
      <c r="QD146" s="41"/>
      <c r="QE146" s="41"/>
      <c r="QF146" s="41"/>
      <c r="QG146" s="41"/>
      <c r="QH146" s="41"/>
      <c r="QI146" s="41"/>
      <c r="QJ146" s="41"/>
      <c r="QK146" s="41"/>
      <c r="QL146" s="41"/>
      <c r="QM146" s="41"/>
      <c r="QN146" s="41"/>
      <c r="QO146" s="41"/>
      <c r="QP146" s="41"/>
      <c r="QQ146" s="41"/>
      <c r="QR146" s="41"/>
      <c r="QS146" s="41"/>
      <c r="QT146" s="41"/>
      <c r="QU146" s="41"/>
      <c r="QV146" s="41"/>
      <c r="QW146" s="41"/>
      <c r="QX146" s="41"/>
      <c r="QY146" s="41"/>
      <c r="QZ146" s="41"/>
      <c r="RA146" s="41"/>
      <c r="RB146" s="41"/>
      <c r="RC146" s="41"/>
      <c r="RD146" s="41"/>
      <c r="RE146" s="41"/>
      <c r="RF146" s="41"/>
      <c r="RG146" s="41"/>
      <c r="RH146" s="41"/>
      <c r="RI146" s="41"/>
      <c r="RJ146" s="41"/>
      <c r="RK146" s="41"/>
      <c r="RL146" s="41"/>
      <c r="RM146" s="41"/>
      <c r="RN146" s="41"/>
      <c r="RO146" s="41"/>
      <c r="RP146" s="41"/>
      <c r="RQ146" s="41"/>
      <c r="RR146" s="41"/>
      <c r="RS146" s="41"/>
      <c r="RT146" s="41"/>
      <c r="RU146" s="41"/>
      <c r="RV146" s="41"/>
      <c r="RW146" s="41"/>
      <c r="RX146" s="41"/>
      <c r="RY146" s="41"/>
      <c r="RZ146" s="41"/>
      <c r="SA146" s="41"/>
      <c r="SB146" s="41"/>
      <c r="SC146" s="41"/>
      <c r="SD146" s="41"/>
      <c r="SE146" s="41"/>
      <c r="SF146" s="41"/>
      <c r="SG146" s="41"/>
      <c r="SH146" s="41"/>
      <c r="SI146" s="41"/>
      <c r="SJ146" s="41"/>
      <c r="SK146" s="41"/>
      <c r="SL146" s="41"/>
      <c r="SM146" s="41"/>
      <c r="SN146" s="41"/>
      <c r="SO146" s="41"/>
      <c r="SP146" s="41"/>
      <c r="SQ146" s="41"/>
      <c r="SR146" s="41"/>
      <c r="SS146" s="41"/>
      <c r="ST146" s="41"/>
      <c r="SU146" s="41"/>
      <c r="SV146" s="41"/>
      <c r="SW146" s="41"/>
      <c r="SX146" s="41"/>
      <c r="SY146" s="41"/>
      <c r="SZ146" s="41"/>
      <c r="TA146" s="41"/>
      <c r="TB146" s="41"/>
      <c r="TC146" s="41"/>
      <c r="TD146" s="41"/>
      <c r="TE146" s="41"/>
      <c r="TF146" s="41"/>
      <c r="TG146" s="41"/>
      <c r="TH146" s="41"/>
      <c r="TI146" s="41"/>
      <c r="TJ146" s="41"/>
      <c r="TK146" s="41"/>
      <c r="TL146" s="41"/>
      <c r="TM146" s="41"/>
      <c r="TN146" s="41"/>
      <c r="TO146" s="41"/>
      <c r="TP146" s="41"/>
      <c r="TQ146" s="41"/>
      <c r="TR146" s="41"/>
      <c r="TS146" s="41"/>
      <c r="TT146" s="41"/>
      <c r="TU146" s="41"/>
      <c r="TV146" s="41"/>
      <c r="TW146" s="41"/>
      <c r="TX146" s="41"/>
      <c r="TY146" s="41"/>
      <c r="TZ146" s="41"/>
      <c r="UA146" s="41"/>
      <c r="UB146" s="41"/>
      <c r="UC146" s="41"/>
      <c r="UD146" s="41"/>
      <c r="UE146" s="41"/>
      <c r="UF146" s="41"/>
      <c r="UG146" s="41"/>
      <c r="UH146" s="41"/>
      <c r="UI146" s="41"/>
      <c r="UJ146" s="41"/>
      <c r="UK146" s="41"/>
      <c r="UL146" s="41"/>
      <c r="UM146" s="41"/>
      <c r="UN146" s="41"/>
      <c r="UO146" s="41"/>
      <c r="UP146" s="41"/>
      <c r="UQ146" s="41"/>
      <c r="UR146" s="41"/>
      <c r="US146" s="41"/>
      <c r="UT146" s="41"/>
      <c r="UU146" s="41"/>
      <c r="UV146" s="41"/>
      <c r="UW146" s="41"/>
      <c r="UX146" s="41"/>
      <c r="UY146" s="41"/>
      <c r="UZ146" s="41"/>
      <c r="VA146" s="41"/>
      <c r="VB146" s="41"/>
      <c r="VC146" s="41"/>
      <c r="VD146" s="41"/>
      <c r="VE146" s="41"/>
      <c r="VF146" s="41"/>
      <c r="VG146" s="41"/>
      <c r="VH146" s="41"/>
      <c r="VI146" s="41"/>
      <c r="VJ146" s="41"/>
      <c r="VK146" s="41"/>
      <c r="VL146" s="41"/>
      <c r="VM146" s="41"/>
      <c r="VN146" s="41"/>
      <c r="VO146" s="41"/>
      <c r="VP146" s="41"/>
      <c r="VQ146" s="41"/>
      <c r="VR146" s="41"/>
      <c r="VS146" s="41"/>
      <c r="VT146" s="41"/>
      <c r="VU146" s="41"/>
      <c r="VV146" s="41"/>
      <c r="VW146" s="41"/>
      <c r="VX146" s="41"/>
      <c r="VY146" s="41"/>
      <c r="VZ146" s="41"/>
      <c r="WA146" s="41"/>
      <c r="WB146" s="41"/>
      <c r="WC146" s="41"/>
      <c r="WD146" s="41"/>
      <c r="WE146" s="41"/>
      <c r="WF146" s="41"/>
      <c r="WG146" s="41"/>
      <c r="WH146" s="41"/>
      <c r="WI146" s="41"/>
      <c r="WJ146" s="41"/>
      <c r="WK146" s="41"/>
      <c r="WL146" s="41"/>
      <c r="WM146" s="41"/>
      <c r="WN146" s="41"/>
      <c r="WO146" s="41"/>
      <c r="WP146" s="41"/>
      <c r="WQ146" s="41"/>
      <c r="WR146" s="41"/>
      <c r="WS146" s="41"/>
      <c r="WT146" s="41"/>
      <c r="WU146" s="41"/>
      <c r="WV146" s="41"/>
      <c r="WW146" s="41"/>
      <c r="WX146" s="41"/>
      <c r="WY146" s="41"/>
      <c r="WZ146" s="41"/>
      <c r="XA146" s="41"/>
      <c r="XB146" s="41"/>
      <c r="XC146" s="41"/>
      <c r="XD146" s="41"/>
      <c r="XE146" s="41"/>
      <c r="XF146" s="41"/>
      <c r="XG146" s="41"/>
      <c r="XH146" s="41"/>
      <c r="XI146" s="41"/>
      <c r="XJ146" s="41"/>
      <c r="XK146" s="41"/>
      <c r="XL146" s="41"/>
      <c r="XM146" s="41"/>
      <c r="XN146" s="41"/>
      <c r="XO146" s="41"/>
      <c r="XP146" s="41"/>
      <c r="XQ146" s="41"/>
      <c r="XR146" s="41"/>
      <c r="XS146" s="41"/>
      <c r="XT146" s="41"/>
      <c r="XU146" s="41"/>
      <c r="XV146" s="41"/>
      <c r="XW146" s="41"/>
      <c r="XX146" s="41"/>
      <c r="XY146" s="41"/>
      <c r="XZ146" s="41"/>
      <c r="YA146" s="41"/>
      <c r="YB146" s="41"/>
      <c r="YC146" s="41"/>
      <c r="YD146" s="41"/>
      <c r="YE146" s="41"/>
      <c r="YF146" s="41"/>
      <c r="YG146" s="41"/>
      <c r="YH146" s="41"/>
      <c r="YI146" s="41"/>
      <c r="YJ146" s="41"/>
      <c r="YK146" s="41"/>
      <c r="YL146" s="41"/>
      <c r="YM146" s="41"/>
      <c r="YN146" s="41"/>
      <c r="YO146" s="41"/>
      <c r="YP146" s="41"/>
      <c r="YQ146" s="41"/>
      <c r="YR146" s="41"/>
      <c r="YS146" s="41"/>
      <c r="YT146" s="41"/>
      <c r="YU146" s="41"/>
      <c r="YV146" s="41"/>
      <c r="YW146" s="41"/>
      <c r="YX146" s="41"/>
      <c r="YY146" s="41"/>
      <c r="YZ146" s="41"/>
      <c r="ZA146" s="41"/>
      <c r="ZB146" s="41"/>
      <c r="ZC146" s="41"/>
      <c r="ZD146" s="41"/>
      <c r="ZE146" s="41"/>
      <c r="ZF146" s="41"/>
      <c r="ZG146" s="41"/>
      <c r="ZH146" s="41"/>
      <c r="ZI146" s="41"/>
      <c r="ZJ146" s="41"/>
      <c r="ZK146" s="41"/>
      <c r="ZL146" s="41"/>
      <c r="ZM146" s="41"/>
      <c r="ZN146" s="41"/>
      <c r="ZO146" s="41"/>
      <c r="ZP146" s="41"/>
      <c r="ZQ146" s="41"/>
      <c r="ZR146" s="41"/>
      <c r="ZS146" s="41"/>
      <c r="ZT146" s="41"/>
      <c r="ZU146" s="41"/>
      <c r="ZV146" s="41"/>
      <c r="ZW146" s="41"/>
      <c r="ZX146" s="41"/>
      <c r="ZY146" s="41"/>
      <c r="ZZ146" s="41"/>
      <c r="AAA146" s="41"/>
      <c r="AAB146" s="41"/>
      <c r="AAC146" s="41"/>
    </row>
    <row r="147" spans="1:705" s="42" customFormat="1" ht="44.1" hidden="1" customHeight="1" x14ac:dyDescent="0.3">
      <c r="A147" s="26">
        <v>143</v>
      </c>
      <c r="B147" s="137">
        <v>240488</v>
      </c>
      <c r="C147" s="138">
        <v>143</v>
      </c>
      <c r="D147" s="139">
        <v>45937</v>
      </c>
      <c r="E147" s="139">
        <f t="shared" si="23"/>
        <v>45936</v>
      </c>
      <c r="F147" s="139">
        <f t="shared" si="22"/>
        <v>45947</v>
      </c>
      <c r="G147" s="139">
        <v>46028</v>
      </c>
      <c r="H147" s="139">
        <v>45992</v>
      </c>
      <c r="I147" s="139" t="s">
        <v>349</v>
      </c>
      <c r="J147" s="140" t="s">
        <v>386</v>
      </c>
      <c r="K147" s="141">
        <f t="shared" si="24"/>
        <v>45</v>
      </c>
      <c r="L147" s="141">
        <v>1151746</v>
      </c>
      <c r="M147" s="140" t="s">
        <v>15</v>
      </c>
      <c r="N147" s="142">
        <v>805648</v>
      </c>
      <c r="O147" s="137" t="s">
        <v>246</v>
      </c>
      <c r="P147" s="190">
        <v>45966</v>
      </c>
      <c r="Q147" s="190">
        <v>46128</v>
      </c>
      <c r="R147" s="157" t="s">
        <v>211</v>
      </c>
      <c r="S147" s="144" t="s">
        <v>387</v>
      </c>
      <c r="T147" s="145">
        <v>1</v>
      </c>
      <c r="U147" s="137" t="s">
        <v>106</v>
      </c>
      <c r="V147" s="146">
        <v>41</v>
      </c>
      <c r="W147" s="146">
        <v>41</v>
      </c>
      <c r="X147" s="147">
        <v>0</v>
      </c>
      <c r="Y147" s="146">
        <v>0</v>
      </c>
      <c r="Z147" s="146">
        <v>0</v>
      </c>
      <c r="AA147" s="146">
        <v>0</v>
      </c>
      <c r="AB147" s="146">
        <v>41</v>
      </c>
      <c r="AC147" s="146">
        <v>41</v>
      </c>
      <c r="AD147" s="146">
        <v>0</v>
      </c>
      <c r="AE147" s="146">
        <v>0</v>
      </c>
      <c r="AF147" s="146">
        <v>0</v>
      </c>
      <c r="AG147" s="146">
        <v>0</v>
      </c>
      <c r="AH147" s="146">
        <v>0</v>
      </c>
      <c r="AI147" s="146"/>
      <c r="AJ147" s="146">
        <v>0</v>
      </c>
      <c r="AK147" s="146">
        <v>0</v>
      </c>
      <c r="AL147" s="146">
        <v>2</v>
      </c>
      <c r="AM147" s="146">
        <v>2</v>
      </c>
      <c r="AN147" s="146">
        <v>1</v>
      </c>
      <c r="AO147" s="146">
        <v>1</v>
      </c>
      <c r="AP147" s="146">
        <v>0</v>
      </c>
      <c r="AQ147" s="146"/>
      <c r="AR147" s="146">
        <v>0</v>
      </c>
      <c r="AS147" s="146">
        <v>0</v>
      </c>
      <c r="AT147" s="146">
        <v>0</v>
      </c>
      <c r="AU147" s="146"/>
      <c r="AV147" s="146">
        <v>0</v>
      </c>
      <c r="AW147" s="146">
        <v>0</v>
      </c>
      <c r="AX147" s="146">
        <f t="shared" si="21"/>
        <v>6037</v>
      </c>
      <c r="AY147" s="146">
        <f t="shared" si="20"/>
        <v>6037</v>
      </c>
      <c r="AZ147" s="140" t="s">
        <v>562</v>
      </c>
      <c r="BA147" s="140" t="s">
        <v>562</v>
      </c>
      <c r="BB147" s="140">
        <v>5</v>
      </c>
      <c r="BC147" s="148">
        <v>143</v>
      </c>
      <c r="BD147" s="149"/>
      <c r="BE147" s="145"/>
      <c r="BF147" s="150"/>
      <c r="BG147" s="151">
        <v>45962</v>
      </c>
      <c r="BH147" s="153" t="s">
        <v>15</v>
      </c>
      <c r="BI147" s="153" t="s">
        <v>562</v>
      </c>
      <c r="CC147" s="41"/>
      <c r="CD147" s="41"/>
      <c r="CE147" s="41"/>
      <c r="CF147" s="41"/>
      <c r="CG147" s="41"/>
      <c r="CH147" s="41"/>
      <c r="CI147" s="41"/>
      <c r="CJ147" s="41"/>
      <c r="CK147" s="41"/>
      <c r="CL147" s="41"/>
      <c r="CM147" s="41"/>
      <c r="CN147" s="41"/>
      <c r="CO147" s="41"/>
      <c r="CP147" s="41"/>
      <c r="CQ147" s="41"/>
      <c r="CR147" s="41"/>
      <c r="CS147" s="41"/>
      <c r="CT147" s="41"/>
      <c r="CU147" s="41"/>
      <c r="CV147" s="41"/>
      <c r="CW147" s="41"/>
      <c r="CX147" s="41"/>
      <c r="CY147" s="41"/>
      <c r="CZ147" s="41"/>
      <c r="DA147" s="41"/>
      <c r="DB147" s="41"/>
      <c r="DC147" s="41"/>
      <c r="DD147" s="41"/>
      <c r="DE147" s="41"/>
      <c r="DF147" s="41"/>
      <c r="DG147" s="41"/>
      <c r="DH147" s="41"/>
      <c r="DI147" s="41"/>
      <c r="DJ147" s="41"/>
      <c r="DK147" s="41"/>
      <c r="DL147" s="41"/>
      <c r="DM147" s="41"/>
      <c r="DN147" s="41"/>
      <c r="DO147" s="41"/>
      <c r="DP147" s="41"/>
      <c r="DQ147" s="41"/>
      <c r="DR147" s="41"/>
      <c r="DS147" s="41"/>
      <c r="DT147" s="41"/>
      <c r="DU147" s="41"/>
      <c r="DV147" s="41"/>
      <c r="DW147" s="41"/>
      <c r="DX147" s="41"/>
      <c r="DY147" s="41"/>
      <c r="DZ147" s="41"/>
      <c r="EA147" s="41"/>
      <c r="EB147" s="41"/>
      <c r="EC147" s="41"/>
      <c r="ED147" s="41"/>
      <c r="EE147" s="41"/>
      <c r="EF147" s="41"/>
      <c r="EG147" s="41"/>
      <c r="EH147" s="41"/>
      <c r="EI147" s="41"/>
      <c r="EJ147" s="41"/>
      <c r="EK147" s="41"/>
      <c r="EL147" s="41"/>
      <c r="EM147" s="41"/>
      <c r="EN147" s="41"/>
      <c r="EO147" s="41"/>
      <c r="EP147" s="41"/>
      <c r="EQ147" s="41"/>
      <c r="ER147" s="41"/>
      <c r="ES147" s="41"/>
      <c r="ET147" s="41"/>
      <c r="EU147" s="41"/>
      <c r="EV147" s="41"/>
      <c r="EW147" s="41"/>
      <c r="EX147" s="41"/>
      <c r="EY147" s="41"/>
      <c r="EZ147" s="41"/>
      <c r="FA147" s="41"/>
      <c r="FB147" s="41"/>
      <c r="FC147" s="41"/>
      <c r="FD147" s="41"/>
      <c r="FE147" s="41"/>
      <c r="FF147" s="41"/>
      <c r="FG147" s="41"/>
      <c r="FH147" s="41"/>
      <c r="FI147" s="41"/>
      <c r="FJ147" s="41"/>
      <c r="FK147" s="41"/>
      <c r="FL147" s="41"/>
      <c r="FM147" s="41"/>
      <c r="FN147" s="41"/>
      <c r="FO147" s="41"/>
      <c r="FP147" s="41"/>
      <c r="FQ147" s="41"/>
      <c r="FR147" s="41"/>
      <c r="FS147" s="41"/>
      <c r="FT147" s="41"/>
      <c r="FU147" s="41"/>
      <c r="FV147" s="41"/>
      <c r="FW147" s="41"/>
      <c r="FX147" s="41"/>
      <c r="FY147" s="41"/>
      <c r="FZ147" s="41"/>
      <c r="GA147" s="41"/>
      <c r="GB147" s="41"/>
      <c r="GC147" s="41"/>
      <c r="GD147" s="41"/>
      <c r="GE147" s="41"/>
      <c r="GF147" s="41"/>
      <c r="GG147" s="41"/>
      <c r="GH147" s="41"/>
      <c r="GI147" s="41"/>
      <c r="GJ147" s="41"/>
      <c r="GK147" s="41"/>
      <c r="GL147" s="41"/>
      <c r="GM147" s="41"/>
      <c r="GN147" s="41"/>
      <c r="GO147" s="41"/>
      <c r="GP147" s="41"/>
      <c r="GQ147" s="41"/>
      <c r="GR147" s="41"/>
      <c r="GS147" s="41"/>
      <c r="GT147" s="41"/>
      <c r="GU147" s="41"/>
      <c r="GV147" s="41"/>
      <c r="GW147" s="41"/>
      <c r="GX147" s="41"/>
      <c r="GY147" s="41"/>
      <c r="GZ147" s="41"/>
      <c r="HA147" s="41"/>
      <c r="HB147" s="41"/>
      <c r="HC147" s="41"/>
      <c r="HD147" s="41"/>
      <c r="HE147" s="41"/>
      <c r="HF147" s="41"/>
      <c r="HG147" s="41"/>
      <c r="HH147" s="41"/>
      <c r="HI147" s="41"/>
      <c r="HJ147" s="41"/>
      <c r="HK147" s="41"/>
      <c r="HL147" s="41"/>
      <c r="HM147" s="41"/>
      <c r="HN147" s="41"/>
      <c r="HO147" s="41"/>
      <c r="HP147" s="41"/>
      <c r="HQ147" s="41"/>
      <c r="HR147" s="41"/>
      <c r="HS147" s="41"/>
      <c r="HT147" s="41"/>
      <c r="HU147" s="41"/>
      <c r="HV147" s="41"/>
      <c r="HW147" s="41"/>
      <c r="HX147" s="41"/>
      <c r="HY147" s="41"/>
      <c r="HZ147" s="41"/>
      <c r="IA147" s="41"/>
      <c r="IB147" s="41"/>
      <c r="IC147" s="41"/>
      <c r="ID147" s="41"/>
      <c r="IE147" s="41"/>
      <c r="IF147" s="41"/>
      <c r="IG147" s="41"/>
      <c r="IH147" s="41"/>
      <c r="II147" s="41"/>
      <c r="IJ147" s="41"/>
      <c r="IK147" s="41"/>
      <c r="IL147" s="41"/>
      <c r="IM147" s="41"/>
      <c r="IN147" s="41"/>
      <c r="IO147" s="41"/>
      <c r="IP147" s="41"/>
      <c r="IQ147" s="41"/>
      <c r="IR147" s="41"/>
      <c r="IS147" s="41"/>
      <c r="IT147" s="41"/>
      <c r="IU147" s="41"/>
      <c r="IV147" s="41"/>
      <c r="IW147" s="41"/>
      <c r="IX147" s="41"/>
      <c r="IY147" s="41"/>
      <c r="IZ147" s="41"/>
      <c r="JA147" s="41"/>
      <c r="JB147" s="41"/>
      <c r="JC147" s="41"/>
      <c r="JD147" s="41"/>
      <c r="JE147" s="41"/>
      <c r="JF147" s="41"/>
      <c r="JG147" s="41"/>
      <c r="JH147" s="41"/>
      <c r="JI147" s="41"/>
      <c r="JJ147" s="41"/>
      <c r="JK147" s="41"/>
      <c r="JL147" s="41"/>
      <c r="JM147" s="41"/>
      <c r="JN147" s="41"/>
      <c r="JO147" s="41"/>
      <c r="JP147" s="41"/>
      <c r="JQ147" s="41"/>
      <c r="JR147" s="41"/>
      <c r="JS147" s="41"/>
      <c r="JT147" s="41"/>
      <c r="JU147" s="41"/>
      <c r="JV147" s="41"/>
      <c r="JW147" s="41"/>
      <c r="JX147" s="41"/>
      <c r="JY147" s="41"/>
      <c r="JZ147" s="41"/>
      <c r="KA147" s="41"/>
      <c r="KB147" s="41"/>
      <c r="KC147" s="41"/>
      <c r="KD147" s="41"/>
      <c r="KE147" s="41"/>
      <c r="KF147" s="41"/>
      <c r="KG147" s="41"/>
      <c r="KH147" s="41"/>
      <c r="KI147" s="41"/>
      <c r="KJ147" s="41"/>
      <c r="KK147" s="41"/>
      <c r="KL147" s="41"/>
      <c r="KM147" s="41"/>
      <c r="KN147" s="41"/>
      <c r="KO147" s="41"/>
      <c r="KP147" s="41"/>
      <c r="KQ147" s="41"/>
      <c r="KR147" s="41"/>
      <c r="KS147" s="41"/>
      <c r="KT147" s="41"/>
      <c r="KU147" s="41"/>
      <c r="KV147" s="41"/>
      <c r="KW147" s="41"/>
      <c r="KX147" s="41"/>
      <c r="KY147" s="41"/>
      <c r="KZ147" s="41"/>
      <c r="LA147" s="41"/>
      <c r="LB147" s="41"/>
      <c r="LC147" s="41"/>
      <c r="LD147" s="41"/>
      <c r="LE147" s="41"/>
      <c r="LF147" s="41"/>
      <c r="LG147" s="41"/>
      <c r="LH147" s="41"/>
      <c r="LI147" s="41"/>
      <c r="LJ147" s="41"/>
      <c r="LK147" s="41"/>
      <c r="LL147" s="41"/>
      <c r="LM147" s="41"/>
      <c r="LN147" s="41"/>
      <c r="LO147" s="41"/>
      <c r="LP147" s="41"/>
      <c r="LQ147" s="41"/>
      <c r="LR147" s="41"/>
      <c r="LS147" s="41"/>
      <c r="LT147" s="41"/>
      <c r="LU147" s="41"/>
      <c r="LV147" s="41"/>
      <c r="LW147" s="41"/>
      <c r="LX147" s="41"/>
      <c r="LY147" s="41"/>
      <c r="LZ147" s="41"/>
      <c r="MA147" s="41"/>
      <c r="MB147" s="41"/>
      <c r="MC147" s="41"/>
      <c r="MD147" s="41"/>
      <c r="ME147" s="41"/>
      <c r="MF147" s="41"/>
      <c r="MG147" s="41"/>
      <c r="MH147" s="41"/>
      <c r="MI147" s="41"/>
      <c r="MJ147" s="41"/>
      <c r="MK147" s="41"/>
      <c r="ML147" s="41"/>
      <c r="MM147" s="41"/>
      <c r="MN147" s="41"/>
      <c r="MO147" s="41"/>
      <c r="MP147" s="41"/>
      <c r="MQ147" s="41"/>
      <c r="MR147" s="41"/>
      <c r="MS147" s="41"/>
      <c r="MT147" s="41"/>
      <c r="MU147" s="41"/>
      <c r="MV147" s="41"/>
      <c r="MW147" s="41"/>
      <c r="MX147" s="41"/>
      <c r="MY147" s="41"/>
      <c r="MZ147" s="41"/>
      <c r="NA147" s="41"/>
      <c r="NB147" s="41"/>
      <c r="NC147" s="41"/>
      <c r="ND147" s="41"/>
      <c r="NE147" s="41"/>
      <c r="NF147" s="41"/>
      <c r="NG147" s="41"/>
      <c r="NH147" s="41"/>
      <c r="NI147" s="41"/>
      <c r="NJ147" s="41"/>
      <c r="NK147" s="41"/>
      <c r="NL147" s="41"/>
      <c r="NM147" s="41"/>
      <c r="NN147" s="41"/>
      <c r="NO147" s="41"/>
      <c r="NP147" s="41"/>
      <c r="NQ147" s="41"/>
      <c r="NR147" s="41"/>
      <c r="NS147" s="41"/>
      <c r="NT147" s="41"/>
      <c r="NU147" s="41"/>
      <c r="NV147" s="41"/>
      <c r="NW147" s="41"/>
      <c r="NX147" s="41"/>
      <c r="NY147" s="41"/>
      <c r="NZ147" s="41"/>
      <c r="OA147" s="41"/>
      <c r="OB147" s="41"/>
      <c r="OC147" s="41"/>
      <c r="OD147" s="41"/>
      <c r="OE147" s="41"/>
      <c r="OF147" s="41"/>
      <c r="OG147" s="41"/>
      <c r="OH147" s="41"/>
      <c r="OI147" s="41"/>
      <c r="OJ147" s="41"/>
      <c r="OK147" s="41"/>
      <c r="OL147" s="41"/>
      <c r="OM147" s="41"/>
      <c r="ON147" s="41"/>
      <c r="OO147" s="41"/>
      <c r="OP147" s="41"/>
      <c r="OQ147" s="41"/>
      <c r="OR147" s="41"/>
      <c r="OS147" s="41"/>
      <c r="OT147" s="41"/>
      <c r="OU147" s="41"/>
      <c r="OV147" s="41"/>
      <c r="OW147" s="41"/>
      <c r="OX147" s="41"/>
      <c r="OY147" s="41"/>
      <c r="OZ147" s="41"/>
      <c r="PA147" s="41"/>
      <c r="PB147" s="41"/>
      <c r="PC147" s="41"/>
      <c r="PD147" s="41"/>
      <c r="PE147" s="41"/>
      <c r="PF147" s="41"/>
      <c r="PG147" s="41"/>
      <c r="PH147" s="41"/>
      <c r="PI147" s="41"/>
      <c r="PJ147" s="41"/>
      <c r="PK147" s="41"/>
      <c r="PL147" s="41"/>
      <c r="PM147" s="41"/>
      <c r="PN147" s="41"/>
      <c r="PO147" s="41"/>
      <c r="PP147" s="41"/>
      <c r="PQ147" s="41"/>
      <c r="PR147" s="41"/>
      <c r="PS147" s="41"/>
      <c r="PT147" s="41"/>
      <c r="PU147" s="41"/>
      <c r="PV147" s="41"/>
      <c r="PW147" s="41"/>
      <c r="PX147" s="41"/>
      <c r="PY147" s="41"/>
      <c r="PZ147" s="41"/>
      <c r="QA147" s="41"/>
      <c r="QB147" s="41"/>
      <c r="QC147" s="41"/>
      <c r="QD147" s="41"/>
      <c r="QE147" s="41"/>
      <c r="QF147" s="41"/>
      <c r="QG147" s="41"/>
      <c r="QH147" s="41"/>
      <c r="QI147" s="41"/>
      <c r="QJ147" s="41"/>
      <c r="QK147" s="41"/>
      <c r="QL147" s="41"/>
      <c r="QM147" s="41"/>
      <c r="QN147" s="41"/>
      <c r="QO147" s="41"/>
      <c r="QP147" s="41"/>
      <c r="QQ147" s="41"/>
      <c r="QR147" s="41"/>
      <c r="QS147" s="41"/>
      <c r="QT147" s="41"/>
      <c r="QU147" s="41"/>
      <c r="QV147" s="41"/>
      <c r="QW147" s="41"/>
      <c r="QX147" s="41"/>
      <c r="QY147" s="41"/>
      <c r="QZ147" s="41"/>
      <c r="RA147" s="41"/>
      <c r="RB147" s="41"/>
      <c r="RC147" s="41"/>
      <c r="RD147" s="41"/>
      <c r="RE147" s="41"/>
      <c r="RF147" s="41"/>
      <c r="RG147" s="41"/>
      <c r="RH147" s="41"/>
      <c r="RI147" s="41"/>
      <c r="RJ147" s="41"/>
      <c r="RK147" s="41"/>
      <c r="RL147" s="41"/>
      <c r="RM147" s="41"/>
      <c r="RN147" s="41"/>
      <c r="RO147" s="41"/>
      <c r="RP147" s="41"/>
      <c r="RQ147" s="41"/>
      <c r="RR147" s="41"/>
      <c r="RS147" s="41"/>
      <c r="RT147" s="41"/>
      <c r="RU147" s="41"/>
      <c r="RV147" s="41"/>
      <c r="RW147" s="41"/>
      <c r="RX147" s="41"/>
      <c r="RY147" s="41"/>
      <c r="RZ147" s="41"/>
      <c r="SA147" s="41"/>
      <c r="SB147" s="41"/>
      <c r="SC147" s="41"/>
      <c r="SD147" s="41"/>
      <c r="SE147" s="41"/>
      <c r="SF147" s="41"/>
      <c r="SG147" s="41"/>
      <c r="SH147" s="41"/>
      <c r="SI147" s="41"/>
      <c r="SJ147" s="41"/>
      <c r="SK147" s="41"/>
      <c r="SL147" s="41"/>
      <c r="SM147" s="41"/>
      <c r="SN147" s="41"/>
      <c r="SO147" s="41"/>
      <c r="SP147" s="41"/>
      <c r="SQ147" s="41"/>
      <c r="SR147" s="41"/>
      <c r="SS147" s="41"/>
      <c r="ST147" s="41"/>
      <c r="SU147" s="41"/>
      <c r="SV147" s="41"/>
      <c r="SW147" s="41"/>
      <c r="SX147" s="41"/>
      <c r="SY147" s="41"/>
      <c r="SZ147" s="41"/>
      <c r="TA147" s="41"/>
      <c r="TB147" s="41"/>
      <c r="TC147" s="41"/>
      <c r="TD147" s="41"/>
      <c r="TE147" s="41"/>
      <c r="TF147" s="41"/>
      <c r="TG147" s="41"/>
      <c r="TH147" s="41"/>
      <c r="TI147" s="41"/>
      <c r="TJ147" s="41"/>
      <c r="TK147" s="41"/>
      <c r="TL147" s="41"/>
      <c r="TM147" s="41"/>
      <c r="TN147" s="41"/>
      <c r="TO147" s="41"/>
      <c r="TP147" s="41"/>
      <c r="TQ147" s="41"/>
      <c r="TR147" s="41"/>
      <c r="TS147" s="41"/>
      <c r="TT147" s="41"/>
      <c r="TU147" s="41"/>
      <c r="TV147" s="41"/>
      <c r="TW147" s="41"/>
      <c r="TX147" s="41"/>
      <c r="TY147" s="41"/>
      <c r="TZ147" s="41"/>
      <c r="UA147" s="41"/>
      <c r="UB147" s="41"/>
      <c r="UC147" s="41"/>
      <c r="UD147" s="41"/>
      <c r="UE147" s="41"/>
      <c r="UF147" s="41"/>
      <c r="UG147" s="41"/>
      <c r="UH147" s="41"/>
      <c r="UI147" s="41"/>
      <c r="UJ147" s="41"/>
      <c r="UK147" s="41"/>
      <c r="UL147" s="41"/>
      <c r="UM147" s="41"/>
      <c r="UN147" s="41"/>
      <c r="UO147" s="41"/>
      <c r="UP147" s="41"/>
      <c r="UQ147" s="41"/>
      <c r="UR147" s="41"/>
      <c r="US147" s="41"/>
      <c r="UT147" s="41"/>
      <c r="UU147" s="41"/>
      <c r="UV147" s="41"/>
      <c r="UW147" s="41"/>
      <c r="UX147" s="41"/>
      <c r="UY147" s="41"/>
      <c r="UZ147" s="41"/>
      <c r="VA147" s="41"/>
      <c r="VB147" s="41"/>
      <c r="VC147" s="41"/>
      <c r="VD147" s="41"/>
      <c r="VE147" s="41"/>
      <c r="VF147" s="41"/>
      <c r="VG147" s="41"/>
      <c r="VH147" s="41"/>
      <c r="VI147" s="41"/>
      <c r="VJ147" s="41"/>
      <c r="VK147" s="41"/>
      <c r="VL147" s="41"/>
      <c r="VM147" s="41"/>
      <c r="VN147" s="41"/>
      <c r="VO147" s="41"/>
      <c r="VP147" s="41"/>
      <c r="VQ147" s="41"/>
      <c r="VR147" s="41"/>
      <c r="VS147" s="41"/>
      <c r="VT147" s="41"/>
      <c r="VU147" s="41"/>
      <c r="VV147" s="41"/>
      <c r="VW147" s="41"/>
      <c r="VX147" s="41"/>
      <c r="VY147" s="41"/>
      <c r="VZ147" s="41"/>
      <c r="WA147" s="41"/>
      <c r="WB147" s="41"/>
      <c r="WC147" s="41"/>
      <c r="WD147" s="41"/>
      <c r="WE147" s="41"/>
      <c r="WF147" s="41"/>
      <c r="WG147" s="41"/>
      <c r="WH147" s="41"/>
      <c r="WI147" s="41"/>
      <c r="WJ147" s="41"/>
      <c r="WK147" s="41"/>
      <c r="WL147" s="41"/>
      <c r="WM147" s="41"/>
      <c r="WN147" s="41"/>
      <c r="WO147" s="41"/>
      <c r="WP147" s="41"/>
      <c r="WQ147" s="41"/>
      <c r="WR147" s="41"/>
      <c r="WS147" s="41"/>
      <c r="WT147" s="41"/>
      <c r="WU147" s="41"/>
      <c r="WV147" s="41"/>
      <c r="WW147" s="41"/>
      <c r="WX147" s="41"/>
      <c r="WY147" s="41"/>
      <c r="WZ147" s="41"/>
      <c r="XA147" s="41"/>
      <c r="XB147" s="41"/>
      <c r="XC147" s="41"/>
      <c r="XD147" s="41"/>
      <c r="XE147" s="41"/>
      <c r="XF147" s="41"/>
      <c r="XG147" s="41"/>
      <c r="XH147" s="41"/>
      <c r="XI147" s="41"/>
      <c r="XJ147" s="41"/>
      <c r="XK147" s="41"/>
      <c r="XL147" s="41"/>
      <c r="XM147" s="41"/>
      <c r="XN147" s="41"/>
      <c r="XO147" s="41"/>
      <c r="XP147" s="41"/>
      <c r="XQ147" s="41"/>
      <c r="XR147" s="41"/>
      <c r="XS147" s="41"/>
      <c r="XT147" s="41"/>
      <c r="XU147" s="41"/>
      <c r="XV147" s="41"/>
      <c r="XW147" s="41"/>
      <c r="XX147" s="41"/>
      <c r="XY147" s="41"/>
      <c r="XZ147" s="41"/>
      <c r="YA147" s="41"/>
      <c r="YB147" s="41"/>
      <c r="YC147" s="41"/>
      <c r="YD147" s="41"/>
      <c r="YE147" s="41"/>
      <c r="YF147" s="41"/>
      <c r="YG147" s="41"/>
      <c r="YH147" s="41"/>
      <c r="YI147" s="41"/>
      <c r="YJ147" s="41"/>
      <c r="YK147" s="41"/>
      <c r="YL147" s="41"/>
      <c r="YM147" s="41"/>
      <c r="YN147" s="41"/>
      <c r="YO147" s="41"/>
      <c r="YP147" s="41"/>
      <c r="YQ147" s="41"/>
      <c r="YR147" s="41"/>
      <c r="YS147" s="41"/>
      <c r="YT147" s="41"/>
      <c r="YU147" s="41"/>
      <c r="YV147" s="41"/>
      <c r="YW147" s="41"/>
      <c r="YX147" s="41"/>
      <c r="YY147" s="41"/>
      <c r="YZ147" s="41"/>
      <c r="ZA147" s="41"/>
      <c r="ZB147" s="41"/>
      <c r="ZC147" s="41"/>
      <c r="ZD147" s="41"/>
      <c r="ZE147" s="41"/>
      <c r="ZF147" s="41"/>
      <c r="ZG147" s="41"/>
      <c r="ZH147" s="41"/>
      <c r="ZI147" s="41"/>
      <c r="ZJ147" s="41"/>
      <c r="ZK147" s="41"/>
      <c r="ZL147" s="41"/>
      <c r="ZM147" s="41"/>
      <c r="ZN147" s="41"/>
      <c r="ZO147" s="41"/>
      <c r="ZP147" s="41"/>
      <c r="ZQ147" s="41"/>
      <c r="ZR147" s="41"/>
      <c r="ZS147" s="41"/>
      <c r="ZT147" s="41"/>
      <c r="ZU147" s="41"/>
      <c r="ZV147" s="41"/>
      <c r="ZW147" s="41"/>
      <c r="ZX147" s="41"/>
      <c r="ZY147" s="41"/>
      <c r="ZZ147" s="41"/>
      <c r="AAA147" s="41"/>
      <c r="AAB147" s="41"/>
      <c r="AAC147" s="41"/>
    </row>
    <row r="148" spans="1:705" s="42" customFormat="1" ht="44.1" hidden="1" customHeight="1" x14ac:dyDescent="0.3">
      <c r="A148" s="26">
        <v>144</v>
      </c>
      <c r="B148" s="137">
        <v>240525</v>
      </c>
      <c r="C148" s="138">
        <v>144</v>
      </c>
      <c r="D148" s="139">
        <v>45937</v>
      </c>
      <c r="E148" s="139">
        <f t="shared" si="23"/>
        <v>45936</v>
      </c>
      <c r="F148" s="139">
        <f t="shared" si="22"/>
        <v>45947</v>
      </c>
      <c r="G148" s="139">
        <v>45947</v>
      </c>
      <c r="H148" s="139">
        <v>45956</v>
      </c>
      <c r="I148" s="139" t="s">
        <v>75</v>
      </c>
      <c r="J148" s="140" t="s">
        <v>389</v>
      </c>
      <c r="K148" s="141">
        <f t="shared" si="24"/>
        <v>9</v>
      </c>
      <c r="L148" s="141">
        <v>1152087</v>
      </c>
      <c r="M148" s="140" t="s">
        <v>15</v>
      </c>
      <c r="N148" s="140">
        <v>805649</v>
      </c>
      <c r="O148" s="137" t="s">
        <v>246</v>
      </c>
      <c r="P148" s="143">
        <v>45944</v>
      </c>
      <c r="Q148" s="143">
        <v>45959</v>
      </c>
      <c r="R148" s="157" t="s">
        <v>211</v>
      </c>
      <c r="S148" s="144" t="s">
        <v>390</v>
      </c>
      <c r="T148" s="145">
        <v>1</v>
      </c>
      <c r="U148" s="137" t="s">
        <v>98</v>
      </c>
      <c r="V148" s="146">
        <v>5</v>
      </c>
      <c r="W148" s="146">
        <v>5</v>
      </c>
      <c r="X148" s="147">
        <v>0</v>
      </c>
      <c r="Y148" s="146">
        <v>0</v>
      </c>
      <c r="Z148" s="146">
        <v>0</v>
      </c>
      <c r="AA148" s="146">
        <v>0</v>
      </c>
      <c r="AB148" s="146">
        <v>5</v>
      </c>
      <c r="AC148" s="146">
        <v>5</v>
      </c>
      <c r="AD148" s="146">
        <v>0</v>
      </c>
      <c r="AE148" s="146">
        <v>0</v>
      </c>
      <c r="AF148" s="146">
        <v>0</v>
      </c>
      <c r="AG148" s="146">
        <v>0</v>
      </c>
      <c r="AH148" s="146">
        <v>1</v>
      </c>
      <c r="AI148" s="146">
        <v>1</v>
      </c>
      <c r="AJ148" s="146">
        <v>0</v>
      </c>
      <c r="AK148" s="146">
        <v>0</v>
      </c>
      <c r="AL148" s="146">
        <v>0</v>
      </c>
      <c r="AM148" s="146"/>
      <c r="AN148" s="146">
        <v>0</v>
      </c>
      <c r="AO148" s="146"/>
      <c r="AP148" s="146">
        <v>1</v>
      </c>
      <c r="AQ148" s="146">
        <v>1</v>
      </c>
      <c r="AR148" s="146">
        <v>0</v>
      </c>
      <c r="AS148" s="146">
        <v>0</v>
      </c>
      <c r="AT148" s="146">
        <v>1</v>
      </c>
      <c r="AU148" s="146">
        <v>1</v>
      </c>
      <c r="AV148" s="146">
        <v>0</v>
      </c>
      <c r="AW148" s="146">
        <v>0</v>
      </c>
      <c r="AX148" s="146">
        <f t="shared" si="21"/>
        <v>1735</v>
      </c>
      <c r="AY148" s="146">
        <f t="shared" si="20"/>
        <v>1735</v>
      </c>
      <c r="AZ148" s="140" t="s">
        <v>562</v>
      </c>
      <c r="BA148" s="140" t="s">
        <v>562</v>
      </c>
      <c r="BB148" s="137">
        <v>3</v>
      </c>
      <c r="BC148" s="148">
        <v>144</v>
      </c>
      <c r="BD148" s="149"/>
      <c r="BE148" s="145"/>
      <c r="BF148" s="150"/>
      <c r="BG148" s="151">
        <v>45931</v>
      </c>
      <c r="BH148" s="153" t="s">
        <v>535</v>
      </c>
      <c r="BI148" s="153" t="s">
        <v>562</v>
      </c>
      <c r="CC148" s="41"/>
      <c r="CD148" s="41"/>
      <c r="CE148" s="41"/>
      <c r="CF148" s="41"/>
      <c r="CG148" s="41"/>
      <c r="CH148" s="41"/>
      <c r="CI148" s="41"/>
      <c r="CJ148" s="41"/>
      <c r="CK148" s="41"/>
      <c r="CL148" s="41"/>
      <c r="CM148" s="41"/>
      <c r="CN148" s="41"/>
      <c r="CO148" s="41"/>
      <c r="CP148" s="41"/>
      <c r="CQ148" s="41"/>
      <c r="CR148" s="41"/>
      <c r="CS148" s="41"/>
      <c r="CT148" s="41"/>
      <c r="CU148" s="41"/>
      <c r="CV148" s="41"/>
      <c r="CW148" s="41"/>
      <c r="CX148" s="41"/>
      <c r="CY148" s="41"/>
      <c r="CZ148" s="41"/>
      <c r="DA148" s="41"/>
      <c r="DB148" s="41"/>
      <c r="DC148" s="41"/>
      <c r="DD148" s="41"/>
      <c r="DE148" s="41"/>
      <c r="DF148" s="41"/>
      <c r="DG148" s="41"/>
      <c r="DH148" s="41"/>
      <c r="DI148" s="41"/>
      <c r="DJ148" s="41"/>
      <c r="DK148" s="41"/>
      <c r="DL148" s="41"/>
      <c r="DM148" s="41"/>
      <c r="DN148" s="41"/>
      <c r="DO148" s="41"/>
      <c r="DP148" s="41"/>
      <c r="DQ148" s="41"/>
      <c r="DR148" s="41"/>
      <c r="DS148" s="41"/>
      <c r="DT148" s="41"/>
      <c r="DU148" s="41"/>
      <c r="DV148" s="41"/>
      <c r="DW148" s="41"/>
      <c r="DX148" s="41"/>
      <c r="DY148" s="41"/>
      <c r="DZ148" s="41"/>
      <c r="EA148" s="41"/>
      <c r="EB148" s="41"/>
      <c r="EC148" s="41"/>
      <c r="ED148" s="41"/>
      <c r="EE148" s="41"/>
      <c r="EF148" s="41"/>
      <c r="EG148" s="41"/>
      <c r="EH148" s="41"/>
      <c r="EI148" s="41"/>
      <c r="EJ148" s="41"/>
      <c r="EK148" s="41"/>
      <c r="EL148" s="41"/>
      <c r="EM148" s="41"/>
      <c r="EN148" s="41"/>
      <c r="EO148" s="41"/>
      <c r="EP148" s="41"/>
      <c r="EQ148" s="41"/>
      <c r="ER148" s="41"/>
      <c r="ES148" s="41"/>
      <c r="ET148" s="41"/>
      <c r="EU148" s="41"/>
      <c r="EV148" s="41"/>
      <c r="EW148" s="41"/>
      <c r="EX148" s="41"/>
      <c r="EY148" s="41"/>
      <c r="EZ148" s="41"/>
      <c r="FA148" s="41"/>
      <c r="FB148" s="41"/>
      <c r="FC148" s="41"/>
      <c r="FD148" s="41"/>
      <c r="FE148" s="41"/>
      <c r="FF148" s="41"/>
      <c r="FG148" s="41"/>
      <c r="FH148" s="41"/>
      <c r="FI148" s="41"/>
      <c r="FJ148" s="41"/>
      <c r="FK148" s="41"/>
      <c r="FL148" s="41"/>
      <c r="FM148" s="41"/>
      <c r="FN148" s="41"/>
      <c r="FO148" s="41"/>
      <c r="FP148" s="41"/>
      <c r="FQ148" s="41"/>
      <c r="FR148" s="41"/>
      <c r="FS148" s="41"/>
      <c r="FT148" s="41"/>
      <c r="FU148" s="41"/>
      <c r="FV148" s="41"/>
      <c r="FW148" s="41"/>
      <c r="FX148" s="41"/>
      <c r="FY148" s="41"/>
      <c r="FZ148" s="41"/>
      <c r="GA148" s="41"/>
      <c r="GB148" s="41"/>
      <c r="GC148" s="41"/>
      <c r="GD148" s="41"/>
      <c r="GE148" s="41"/>
      <c r="GF148" s="41"/>
      <c r="GG148" s="41"/>
      <c r="GH148" s="41"/>
      <c r="GI148" s="41"/>
      <c r="GJ148" s="41"/>
      <c r="GK148" s="41"/>
      <c r="GL148" s="41"/>
      <c r="GM148" s="41"/>
      <c r="GN148" s="41"/>
      <c r="GO148" s="41"/>
      <c r="GP148" s="41"/>
      <c r="GQ148" s="41"/>
      <c r="GR148" s="41"/>
      <c r="GS148" s="41"/>
      <c r="GT148" s="41"/>
      <c r="GU148" s="41"/>
      <c r="GV148" s="41"/>
      <c r="GW148" s="41"/>
      <c r="GX148" s="41"/>
      <c r="GY148" s="41"/>
      <c r="GZ148" s="41"/>
      <c r="HA148" s="41"/>
      <c r="HB148" s="41"/>
      <c r="HC148" s="41"/>
      <c r="HD148" s="41"/>
      <c r="HE148" s="41"/>
      <c r="HF148" s="41"/>
      <c r="HG148" s="41"/>
      <c r="HH148" s="41"/>
      <c r="HI148" s="41"/>
      <c r="HJ148" s="41"/>
      <c r="HK148" s="41"/>
      <c r="HL148" s="41"/>
      <c r="HM148" s="41"/>
      <c r="HN148" s="41"/>
      <c r="HO148" s="41"/>
      <c r="HP148" s="41"/>
      <c r="HQ148" s="41"/>
      <c r="HR148" s="41"/>
      <c r="HS148" s="41"/>
      <c r="HT148" s="41"/>
      <c r="HU148" s="41"/>
      <c r="HV148" s="41"/>
      <c r="HW148" s="41"/>
      <c r="HX148" s="41"/>
      <c r="HY148" s="41"/>
      <c r="HZ148" s="41"/>
      <c r="IA148" s="41"/>
      <c r="IB148" s="41"/>
      <c r="IC148" s="41"/>
      <c r="ID148" s="41"/>
      <c r="IE148" s="41"/>
      <c r="IF148" s="41"/>
      <c r="IG148" s="41"/>
      <c r="IH148" s="41"/>
      <c r="II148" s="41"/>
      <c r="IJ148" s="41"/>
      <c r="IK148" s="41"/>
      <c r="IL148" s="41"/>
      <c r="IM148" s="41"/>
      <c r="IN148" s="41"/>
      <c r="IO148" s="41"/>
      <c r="IP148" s="41"/>
      <c r="IQ148" s="41"/>
      <c r="IR148" s="41"/>
      <c r="IS148" s="41"/>
      <c r="IT148" s="41"/>
      <c r="IU148" s="41"/>
      <c r="IV148" s="41"/>
      <c r="IW148" s="41"/>
      <c r="IX148" s="41"/>
      <c r="IY148" s="41"/>
      <c r="IZ148" s="41"/>
      <c r="JA148" s="41"/>
      <c r="JB148" s="41"/>
      <c r="JC148" s="41"/>
      <c r="JD148" s="41"/>
      <c r="JE148" s="41"/>
      <c r="JF148" s="41"/>
      <c r="JG148" s="41"/>
      <c r="JH148" s="41"/>
      <c r="JI148" s="41"/>
      <c r="JJ148" s="41"/>
      <c r="JK148" s="41"/>
      <c r="JL148" s="41"/>
      <c r="JM148" s="41"/>
      <c r="JN148" s="41"/>
      <c r="JO148" s="41"/>
      <c r="JP148" s="41"/>
      <c r="JQ148" s="41"/>
      <c r="JR148" s="41"/>
      <c r="JS148" s="41"/>
      <c r="JT148" s="41"/>
      <c r="JU148" s="41"/>
      <c r="JV148" s="41"/>
      <c r="JW148" s="41"/>
      <c r="JX148" s="41"/>
      <c r="JY148" s="41"/>
      <c r="JZ148" s="41"/>
      <c r="KA148" s="41"/>
      <c r="KB148" s="41"/>
      <c r="KC148" s="41"/>
      <c r="KD148" s="41"/>
      <c r="KE148" s="41"/>
      <c r="KF148" s="41"/>
      <c r="KG148" s="41"/>
      <c r="KH148" s="41"/>
      <c r="KI148" s="41"/>
      <c r="KJ148" s="41"/>
      <c r="KK148" s="41"/>
      <c r="KL148" s="41"/>
      <c r="KM148" s="41"/>
      <c r="KN148" s="41"/>
      <c r="KO148" s="41"/>
      <c r="KP148" s="41"/>
      <c r="KQ148" s="41"/>
      <c r="KR148" s="41"/>
      <c r="KS148" s="41"/>
      <c r="KT148" s="41"/>
      <c r="KU148" s="41"/>
      <c r="KV148" s="41"/>
      <c r="KW148" s="41"/>
      <c r="KX148" s="41"/>
      <c r="KY148" s="41"/>
      <c r="KZ148" s="41"/>
      <c r="LA148" s="41"/>
      <c r="LB148" s="41"/>
      <c r="LC148" s="41"/>
      <c r="LD148" s="41"/>
      <c r="LE148" s="41"/>
      <c r="LF148" s="41"/>
      <c r="LG148" s="41"/>
      <c r="LH148" s="41"/>
      <c r="LI148" s="41"/>
      <c r="LJ148" s="41"/>
      <c r="LK148" s="41"/>
      <c r="LL148" s="41"/>
      <c r="LM148" s="41"/>
      <c r="LN148" s="41"/>
      <c r="LO148" s="41"/>
      <c r="LP148" s="41"/>
      <c r="LQ148" s="41"/>
      <c r="LR148" s="41"/>
      <c r="LS148" s="41"/>
      <c r="LT148" s="41"/>
      <c r="LU148" s="41"/>
      <c r="LV148" s="41"/>
      <c r="LW148" s="41"/>
      <c r="LX148" s="41"/>
      <c r="LY148" s="41"/>
      <c r="LZ148" s="41"/>
      <c r="MA148" s="41"/>
      <c r="MB148" s="41"/>
      <c r="MC148" s="41"/>
      <c r="MD148" s="41"/>
      <c r="ME148" s="41"/>
      <c r="MF148" s="41"/>
      <c r="MG148" s="41"/>
      <c r="MH148" s="41"/>
      <c r="MI148" s="41"/>
      <c r="MJ148" s="41"/>
      <c r="MK148" s="41"/>
      <c r="ML148" s="41"/>
      <c r="MM148" s="41"/>
      <c r="MN148" s="41"/>
      <c r="MO148" s="41"/>
      <c r="MP148" s="41"/>
      <c r="MQ148" s="41"/>
      <c r="MR148" s="41"/>
      <c r="MS148" s="41"/>
      <c r="MT148" s="41"/>
      <c r="MU148" s="41"/>
      <c r="MV148" s="41"/>
      <c r="MW148" s="41"/>
      <c r="MX148" s="41"/>
      <c r="MY148" s="41"/>
      <c r="MZ148" s="41"/>
      <c r="NA148" s="41"/>
      <c r="NB148" s="41"/>
      <c r="NC148" s="41"/>
      <c r="ND148" s="41"/>
      <c r="NE148" s="41"/>
      <c r="NF148" s="41"/>
      <c r="NG148" s="41"/>
      <c r="NH148" s="41"/>
      <c r="NI148" s="41"/>
      <c r="NJ148" s="41"/>
      <c r="NK148" s="41"/>
      <c r="NL148" s="41"/>
      <c r="NM148" s="41"/>
      <c r="NN148" s="41"/>
      <c r="NO148" s="41"/>
      <c r="NP148" s="41"/>
      <c r="NQ148" s="41"/>
      <c r="NR148" s="41"/>
      <c r="NS148" s="41"/>
      <c r="NT148" s="41"/>
      <c r="NU148" s="41"/>
      <c r="NV148" s="41"/>
      <c r="NW148" s="41"/>
      <c r="NX148" s="41"/>
      <c r="NY148" s="41"/>
      <c r="NZ148" s="41"/>
      <c r="OA148" s="41"/>
      <c r="OB148" s="41"/>
      <c r="OC148" s="41"/>
      <c r="OD148" s="41"/>
      <c r="OE148" s="41"/>
      <c r="OF148" s="41"/>
      <c r="OG148" s="41"/>
      <c r="OH148" s="41"/>
      <c r="OI148" s="41"/>
      <c r="OJ148" s="41"/>
      <c r="OK148" s="41"/>
      <c r="OL148" s="41"/>
      <c r="OM148" s="41"/>
      <c r="ON148" s="41"/>
      <c r="OO148" s="41"/>
      <c r="OP148" s="41"/>
      <c r="OQ148" s="41"/>
      <c r="OR148" s="41"/>
      <c r="OS148" s="41"/>
      <c r="OT148" s="41"/>
      <c r="OU148" s="41"/>
      <c r="OV148" s="41"/>
      <c r="OW148" s="41"/>
      <c r="OX148" s="41"/>
      <c r="OY148" s="41"/>
      <c r="OZ148" s="41"/>
      <c r="PA148" s="41"/>
      <c r="PB148" s="41"/>
      <c r="PC148" s="41"/>
      <c r="PD148" s="41"/>
      <c r="PE148" s="41"/>
      <c r="PF148" s="41"/>
      <c r="PG148" s="41"/>
      <c r="PH148" s="41"/>
      <c r="PI148" s="41"/>
      <c r="PJ148" s="41"/>
      <c r="PK148" s="41"/>
      <c r="PL148" s="41"/>
      <c r="PM148" s="41"/>
      <c r="PN148" s="41"/>
      <c r="PO148" s="41"/>
      <c r="PP148" s="41"/>
      <c r="PQ148" s="41"/>
      <c r="PR148" s="41"/>
      <c r="PS148" s="41"/>
      <c r="PT148" s="41"/>
      <c r="PU148" s="41"/>
      <c r="PV148" s="41"/>
      <c r="PW148" s="41"/>
      <c r="PX148" s="41"/>
      <c r="PY148" s="41"/>
      <c r="PZ148" s="41"/>
      <c r="QA148" s="41"/>
      <c r="QB148" s="41"/>
      <c r="QC148" s="41"/>
      <c r="QD148" s="41"/>
      <c r="QE148" s="41"/>
      <c r="QF148" s="41"/>
      <c r="QG148" s="41"/>
      <c r="QH148" s="41"/>
      <c r="QI148" s="41"/>
      <c r="QJ148" s="41"/>
      <c r="QK148" s="41"/>
      <c r="QL148" s="41"/>
      <c r="QM148" s="41"/>
      <c r="QN148" s="41"/>
      <c r="QO148" s="41"/>
      <c r="QP148" s="41"/>
      <c r="QQ148" s="41"/>
      <c r="QR148" s="41"/>
      <c r="QS148" s="41"/>
      <c r="QT148" s="41"/>
      <c r="QU148" s="41"/>
      <c r="QV148" s="41"/>
      <c r="QW148" s="41"/>
      <c r="QX148" s="41"/>
      <c r="QY148" s="41"/>
      <c r="QZ148" s="41"/>
      <c r="RA148" s="41"/>
      <c r="RB148" s="41"/>
      <c r="RC148" s="41"/>
      <c r="RD148" s="41"/>
      <c r="RE148" s="41"/>
      <c r="RF148" s="41"/>
      <c r="RG148" s="41"/>
      <c r="RH148" s="41"/>
      <c r="RI148" s="41"/>
      <c r="RJ148" s="41"/>
      <c r="RK148" s="41"/>
      <c r="RL148" s="41"/>
      <c r="RM148" s="41"/>
      <c r="RN148" s="41"/>
      <c r="RO148" s="41"/>
      <c r="RP148" s="41"/>
      <c r="RQ148" s="41"/>
      <c r="RR148" s="41"/>
      <c r="RS148" s="41"/>
      <c r="RT148" s="41"/>
      <c r="RU148" s="41"/>
      <c r="RV148" s="41"/>
      <c r="RW148" s="41"/>
      <c r="RX148" s="41"/>
      <c r="RY148" s="41"/>
      <c r="RZ148" s="41"/>
      <c r="SA148" s="41"/>
      <c r="SB148" s="41"/>
      <c r="SC148" s="41"/>
      <c r="SD148" s="41"/>
      <c r="SE148" s="41"/>
      <c r="SF148" s="41"/>
      <c r="SG148" s="41"/>
      <c r="SH148" s="41"/>
      <c r="SI148" s="41"/>
      <c r="SJ148" s="41"/>
      <c r="SK148" s="41"/>
      <c r="SL148" s="41"/>
      <c r="SM148" s="41"/>
      <c r="SN148" s="41"/>
      <c r="SO148" s="41"/>
      <c r="SP148" s="41"/>
      <c r="SQ148" s="41"/>
      <c r="SR148" s="41"/>
      <c r="SS148" s="41"/>
      <c r="ST148" s="41"/>
      <c r="SU148" s="41"/>
      <c r="SV148" s="41"/>
      <c r="SW148" s="41"/>
      <c r="SX148" s="41"/>
      <c r="SY148" s="41"/>
      <c r="SZ148" s="41"/>
      <c r="TA148" s="41"/>
      <c r="TB148" s="41"/>
      <c r="TC148" s="41"/>
      <c r="TD148" s="41"/>
      <c r="TE148" s="41"/>
      <c r="TF148" s="41"/>
      <c r="TG148" s="41"/>
      <c r="TH148" s="41"/>
      <c r="TI148" s="41"/>
      <c r="TJ148" s="41"/>
      <c r="TK148" s="41"/>
      <c r="TL148" s="41"/>
      <c r="TM148" s="41"/>
      <c r="TN148" s="41"/>
      <c r="TO148" s="41"/>
      <c r="TP148" s="41"/>
      <c r="TQ148" s="41"/>
      <c r="TR148" s="41"/>
      <c r="TS148" s="41"/>
      <c r="TT148" s="41"/>
      <c r="TU148" s="41"/>
      <c r="TV148" s="41"/>
      <c r="TW148" s="41"/>
      <c r="TX148" s="41"/>
      <c r="TY148" s="41"/>
      <c r="TZ148" s="41"/>
      <c r="UA148" s="41"/>
      <c r="UB148" s="41"/>
      <c r="UC148" s="41"/>
      <c r="UD148" s="41"/>
      <c r="UE148" s="41"/>
      <c r="UF148" s="41"/>
      <c r="UG148" s="41"/>
      <c r="UH148" s="41"/>
      <c r="UI148" s="41"/>
      <c r="UJ148" s="41"/>
      <c r="UK148" s="41"/>
      <c r="UL148" s="41"/>
      <c r="UM148" s="41"/>
      <c r="UN148" s="41"/>
      <c r="UO148" s="41"/>
      <c r="UP148" s="41"/>
      <c r="UQ148" s="41"/>
      <c r="UR148" s="41"/>
      <c r="US148" s="41"/>
      <c r="UT148" s="41"/>
      <c r="UU148" s="41"/>
      <c r="UV148" s="41"/>
      <c r="UW148" s="41"/>
      <c r="UX148" s="41"/>
      <c r="UY148" s="41"/>
      <c r="UZ148" s="41"/>
      <c r="VA148" s="41"/>
      <c r="VB148" s="41"/>
      <c r="VC148" s="41"/>
      <c r="VD148" s="41"/>
      <c r="VE148" s="41"/>
      <c r="VF148" s="41"/>
      <c r="VG148" s="41"/>
      <c r="VH148" s="41"/>
      <c r="VI148" s="41"/>
      <c r="VJ148" s="41"/>
      <c r="VK148" s="41"/>
      <c r="VL148" s="41"/>
      <c r="VM148" s="41"/>
      <c r="VN148" s="41"/>
      <c r="VO148" s="41"/>
      <c r="VP148" s="41"/>
      <c r="VQ148" s="41"/>
      <c r="VR148" s="41"/>
      <c r="VS148" s="41"/>
      <c r="VT148" s="41"/>
      <c r="VU148" s="41"/>
      <c r="VV148" s="41"/>
      <c r="VW148" s="41"/>
      <c r="VX148" s="41"/>
      <c r="VY148" s="41"/>
      <c r="VZ148" s="41"/>
      <c r="WA148" s="41"/>
      <c r="WB148" s="41"/>
      <c r="WC148" s="41"/>
      <c r="WD148" s="41"/>
      <c r="WE148" s="41"/>
      <c r="WF148" s="41"/>
      <c r="WG148" s="41"/>
      <c r="WH148" s="41"/>
      <c r="WI148" s="41"/>
      <c r="WJ148" s="41"/>
      <c r="WK148" s="41"/>
      <c r="WL148" s="41"/>
      <c r="WM148" s="41"/>
      <c r="WN148" s="41"/>
      <c r="WO148" s="41"/>
      <c r="WP148" s="41"/>
      <c r="WQ148" s="41"/>
      <c r="WR148" s="41"/>
      <c r="WS148" s="41"/>
      <c r="WT148" s="41"/>
      <c r="WU148" s="41"/>
      <c r="WV148" s="41"/>
      <c r="WW148" s="41"/>
      <c r="WX148" s="41"/>
      <c r="WY148" s="41"/>
      <c r="WZ148" s="41"/>
      <c r="XA148" s="41"/>
      <c r="XB148" s="41"/>
      <c r="XC148" s="41"/>
      <c r="XD148" s="41"/>
      <c r="XE148" s="41"/>
      <c r="XF148" s="41"/>
      <c r="XG148" s="41"/>
      <c r="XH148" s="41"/>
      <c r="XI148" s="41"/>
      <c r="XJ148" s="41"/>
      <c r="XK148" s="41"/>
      <c r="XL148" s="41"/>
      <c r="XM148" s="41"/>
      <c r="XN148" s="41"/>
      <c r="XO148" s="41"/>
      <c r="XP148" s="41"/>
      <c r="XQ148" s="41"/>
      <c r="XR148" s="41"/>
      <c r="XS148" s="41"/>
      <c r="XT148" s="41"/>
      <c r="XU148" s="41"/>
      <c r="XV148" s="41"/>
      <c r="XW148" s="41"/>
      <c r="XX148" s="41"/>
      <c r="XY148" s="41"/>
      <c r="XZ148" s="41"/>
      <c r="YA148" s="41"/>
      <c r="YB148" s="41"/>
      <c r="YC148" s="41"/>
      <c r="YD148" s="41"/>
      <c r="YE148" s="41"/>
      <c r="YF148" s="41"/>
      <c r="YG148" s="41"/>
      <c r="YH148" s="41"/>
      <c r="YI148" s="41"/>
      <c r="YJ148" s="41"/>
      <c r="YK148" s="41"/>
      <c r="YL148" s="41"/>
      <c r="YM148" s="41"/>
      <c r="YN148" s="41"/>
      <c r="YO148" s="41"/>
      <c r="YP148" s="41"/>
      <c r="YQ148" s="41"/>
      <c r="YR148" s="41"/>
      <c r="YS148" s="41"/>
      <c r="YT148" s="41"/>
      <c r="YU148" s="41"/>
      <c r="YV148" s="41"/>
      <c r="YW148" s="41"/>
      <c r="YX148" s="41"/>
      <c r="YY148" s="41"/>
      <c r="YZ148" s="41"/>
      <c r="ZA148" s="41"/>
      <c r="ZB148" s="41"/>
      <c r="ZC148" s="41"/>
      <c r="ZD148" s="41"/>
      <c r="ZE148" s="41"/>
      <c r="ZF148" s="41"/>
      <c r="ZG148" s="41"/>
      <c r="ZH148" s="41"/>
      <c r="ZI148" s="41"/>
      <c r="ZJ148" s="41"/>
      <c r="ZK148" s="41"/>
      <c r="ZL148" s="41"/>
      <c r="ZM148" s="41"/>
      <c r="ZN148" s="41"/>
      <c r="ZO148" s="41"/>
      <c r="ZP148" s="41"/>
      <c r="ZQ148" s="41"/>
      <c r="ZR148" s="41"/>
      <c r="ZS148" s="41"/>
      <c r="ZT148" s="41"/>
      <c r="ZU148" s="41"/>
      <c r="ZV148" s="41"/>
      <c r="ZW148" s="41"/>
      <c r="ZX148" s="41"/>
      <c r="ZY148" s="41"/>
      <c r="ZZ148" s="41"/>
      <c r="AAA148" s="41"/>
      <c r="AAB148" s="41"/>
      <c r="AAC148" s="41"/>
    </row>
    <row r="149" spans="1:705" s="42" customFormat="1" ht="44.1" hidden="1" customHeight="1" x14ac:dyDescent="0.3">
      <c r="A149" s="26">
        <v>145</v>
      </c>
      <c r="B149" s="137">
        <v>240526</v>
      </c>
      <c r="C149" s="138">
        <v>145</v>
      </c>
      <c r="D149" s="139">
        <v>45937</v>
      </c>
      <c r="E149" s="139">
        <f t="shared" si="23"/>
        <v>45936</v>
      </c>
      <c r="F149" s="139">
        <f t="shared" si="22"/>
        <v>45947</v>
      </c>
      <c r="G149" s="139">
        <v>45947</v>
      </c>
      <c r="H149" s="139">
        <v>45957</v>
      </c>
      <c r="I149" s="139" t="s">
        <v>75</v>
      </c>
      <c r="J149" s="140" t="s">
        <v>391</v>
      </c>
      <c r="K149" s="141">
        <f t="shared" si="24"/>
        <v>10</v>
      </c>
      <c r="L149" s="141">
        <v>1152088</v>
      </c>
      <c r="M149" s="140" t="s">
        <v>15</v>
      </c>
      <c r="N149" s="142">
        <v>805649</v>
      </c>
      <c r="O149" s="137" t="s">
        <v>246</v>
      </c>
      <c r="P149" s="190">
        <v>45944</v>
      </c>
      <c r="Q149" s="190">
        <v>45959</v>
      </c>
      <c r="R149" s="157" t="s">
        <v>211</v>
      </c>
      <c r="S149" s="144" t="s">
        <v>392</v>
      </c>
      <c r="T149" s="145">
        <v>1</v>
      </c>
      <c r="U149" s="137" t="s">
        <v>98</v>
      </c>
      <c r="V149" s="146">
        <v>6</v>
      </c>
      <c r="W149" s="146">
        <v>6</v>
      </c>
      <c r="X149" s="147">
        <v>0</v>
      </c>
      <c r="Y149" s="146">
        <v>0</v>
      </c>
      <c r="Z149" s="146">
        <v>0</v>
      </c>
      <c r="AA149" s="146">
        <v>0</v>
      </c>
      <c r="AB149" s="146">
        <v>0</v>
      </c>
      <c r="AC149" s="146"/>
      <c r="AD149" s="146">
        <v>0</v>
      </c>
      <c r="AE149" s="146">
        <v>0</v>
      </c>
      <c r="AF149" s="146">
        <v>0</v>
      </c>
      <c r="AG149" s="146">
        <v>0</v>
      </c>
      <c r="AH149" s="146">
        <v>1</v>
      </c>
      <c r="AI149" s="146">
        <v>1</v>
      </c>
      <c r="AJ149" s="146">
        <v>0</v>
      </c>
      <c r="AK149" s="146">
        <v>0</v>
      </c>
      <c r="AL149" s="146">
        <v>0</v>
      </c>
      <c r="AM149" s="146"/>
      <c r="AN149" s="146">
        <v>0</v>
      </c>
      <c r="AO149" s="146"/>
      <c r="AP149" s="146">
        <v>1</v>
      </c>
      <c r="AQ149" s="146">
        <v>1</v>
      </c>
      <c r="AR149" s="146">
        <v>0</v>
      </c>
      <c r="AS149" s="146">
        <v>0</v>
      </c>
      <c r="AT149" s="146">
        <v>1</v>
      </c>
      <c r="AU149" s="146">
        <v>1</v>
      </c>
      <c r="AV149" s="146">
        <v>0</v>
      </c>
      <c r="AW149" s="146">
        <v>0</v>
      </c>
      <c r="AX149" s="146">
        <f t="shared" si="21"/>
        <v>1510</v>
      </c>
      <c r="AY149" s="146">
        <f t="shared" si="20"/>
        <v>1510</v>
      </c>
      <c r="AZ149" s="140" t="s">
        <v>562</v>
      </c>
      <c r="BA149" s="140" t="s">
        <v>562</v>
      </c>
      <c r="BB149" s="140">
        <v>2</v>
      </c>
      <c r="BC149" s="148">
        <v>145</v>
      </c>
      <c r="BD149" s="149"/>
      <c r="BE149" s="145"/>
      <c r="BF149" s="150"/>
      <c r="BG149" s="151">
        <v>45931</v>
      </c>
      <c r="BH149" s="153" t="s">
        <v>535</v>
      </c>
      <c r="BI149" s="153" t="s">
        <v>562</v>
      </c>
      <c r="CC149" s="41"/>
      <c r="CD149" s="41"/>
      <c r="CE149" s="41"/>
      <c r="CF149" s="41"/>
      <c r="CG149" s="41"/>
      <c r="CH149" s="41"/>
      <c r="CI149" s="41"/>
      <c r="CJ149" s="41"/>
      <c r="CK149" s="41"/>
      <c r="CL149" s="41"/>
      <c r="CM149" s="41"/>
      <c r="CN149" s="41"/>
      <c r="CO149" s="41"/>
      <c r="CP149" s="41"/>
      <c r="CQ149" s="41"/>
      <c r="CR149" s="41"/>
      <c r="CS149" s="41"/>
      <c r="CT149" s="41"/>
      <c r="CU149" s="41"/>
      <c r="CV149" s="41"/>
      <c r="CW149" s="41"/>
      <c r="CX149" s="41"/>
      <c r="CY149" s="41"/>
      <c r="CZ149" s="41"/>
      <c r="DA149" s="41"/>
      <c r="DB149" s="41"/>
      <c r="DC149" s="41"/>
      <c r="DD149" s="41"/>
      <c r="DE149" s="41"/>
      <c r="DF149" s="41"/>
      <c r="DG149" s="41"/>
      <c r="DH149" s="41"/>
      <c r="DI149" s="41"/>
      <c r="DJ149" s="41"/>
      <c r="DK149" s="41"/>
      <c r="DL149" s="41"/>
      <c r="DM149" s="41"/>
      <c r="DN149" s="41"/>
      <c r="DO149" s="41"/>
      <c r="DP149" s="41"/>
      <c r="DQ149" s="41"/>
      <c r="DR149" s="41"/>
      <c r="DS149" s="41"/>
      <c r="DT149" s="41"/>
      <c r="DU149" s="41"/>
      <c r="DV149" s="41"/>
      <c r="DW149" s="41"/>
      <c r="DX149" s="41"/>
      <c r="DY149" s="41"/>
      <c r="DZ149" s="41"/>
      <c r="EA149" s="41"/>
      <c r="EB149" s="41"/>
      <c r="EC149" s="41"/>
      <c r="ED149" s="41"/>
      <c r="EE149" s="41"/>
      <c r="EF149" s="41"/>
      <c r="EG149" s="41"/>
      <c r="EH149" s="41"/>
      <c r="EI149" s="41"/>
      <c r="EJ149" s="41"/>
      <c r="EK149" s="41"/>
      <c r="EL149" s="41"/>
      <c r="EM149" s="41"/>
      <c r="EN149" s="41"/>
      <c r="EO149" s="41"/>
      <c r="EP149" s="41"/>
      <c r="EQ149" s="41"/>
      <c r="ER149" s="41"/>
      <c r="ES149" s="41"/>
      <c r="ET149" s="41"/>
      <c r="EU149" s="41"/>
      <c r="EV149" s="41"/>
      <c r="EW149" s="41"/>
      <c r="EX149" s="41"/>
      <c r="EY149" s="41"/>
      <c r="EZ149" s="41"/>
      <c r="FA149" s="41"/>
      <c r="FB149" s="41"/>
      <c r="FC149" s="41"/>
      <c r="FD149" s="41"/>
      <c r="FE149" s="41"/>
      <c r="FF149" s="41"/>
      <c r="FG149" s="41"/>
      <c r="FH149" s="41"/>
      <c r="FI149" s="41"/>
      <c r="FJ149" s="41"/>
      <c r="FK149" s="41"/>
      <c r="FL149" s="41"/>
      <c r="FM149" s="41"/>
      <c r="FN149" s="41"/>
      <c r="FO149" s="41"/>
      <c r="FP149" s="41"/>
      <c r="FQ149" s="41"/>
      <c r="FR149" s="41"/>
      <c r="FS149" s="41"/>
      <c r="FT149" s="41"/>
      <c r="FU149" s="41"/>
      <c r="FV149" s="41"/>
      <c r="FW149" s="41"/>
      <c r="FX149" s="41"/>
      <c r="FY149" s="41"/>
      <c r="FZ149" s="41"/>
      <c r="GA149" s="41"/>
      <c r="GB149" s="41"/>
      <c r="GC149" s="41"/>
      <c r="GD149" s="41"/>
      <c r="GE149" s="41"/>
      <c r="GF149" s="41"/>
      <c r="GG149" s="41"/>
      <c r="GH149" s="41"/>
      <c r="GI149" s="41"/>
      <c r="GJ149" s="41"/>
      <c r="GK149" s="41"/>
      <c r="GL149" s="41"/>
      <c r="GM149" s="41"/>
      <c r="GN149" s="41"/>
      <c r="GO149" s="41"/>
      <c r="GP149" s="41"/>
      <c r="GQ149" s="41"/>
      <c r="GR149" s="41"/>
      <c r="GS149" s="41"/>
      <c r="GT149" s="41"/>
      <c r="GU149" s="41"/>
      <c r="GV149" s="41"/>
      <c r="GW149" s="41"/>
      <c r="GX149" s="41"/>
      <c r="GY149" s="41"/>
      <c r="GZ149" s="41"/>
      <c r="HA149" s="41"/>
      <c r="HB149" s="41"/>
      <c r="HC149" s="41"/>
      <c r="HD149" s="41"/>
      <c r="HE149" s="41"/>
      <c r="HF149" s="41"/>
      <c r="HG149" s="41"/>
      <c r="HH149" s="41"/>
      <c r="HI149" s="41"/>
      <c r="HJ149" s="41"/>
      <c r="HK149" s="41"/>
      <c r="HL149" s="41"/>
      <c r="HM149" s="41"/>
      <c r="HN149" s="41"/>
      <c r="HO149" s="41"/>
      <c r="HP149" s="41"/>
      <c r="HQ149" s="41"/>
      <c r="HR149" s="41"/>
      <c r="HS149" s="41"/>
      <c r="HT149" s="41"/>
      <c r="HU149" s="41"/>
      <c r="HV149" s="41"/>
      <c r="HW149" s="41"/>
      <c r="HX149" s="41"/>
      <c r="HY149" s="41"/>
      <c r="HZ149" s="41"/>
      <c r="IA149" s="41"/>
      <c r="IB149" s="41"/>
      <c r="IC149" s="41"/>
      <c r="ID149" s="41"/>
      <c r="IE149" s="41"/>
      <c r="IF149" s="41"/>
      <c r="IG149" s="41"/>
      <c r="IH149" s="41"/>
      <c r="II149" s="41"/>
      <c r="IJ149" s="41"/>
      <c r="IK149" s="41"/>
      <c r="IL149" s="41"/>
      <c r="IM149" s="41"/>
      <c r="IN149" s="41"/>
      <c r="IO149" s="41"/>
      <c r="IP149" s="41"/>
      <c r="IQ149" s="41"/>
      <c r="IR149" s="41"/>
      <c r="IS149" s="41"/>
      <c r="IT149" s="41"/>
      <c r="IU149" s="41"/>
      <c r="IV149" s="41"/>
      <c r="IW149" s="41"/>
      <c r="IX149" s="41"/>
      <c r="IY149" s="41"/>
      <c r="IZ149" s="41"/>
      <c r="JA149" s="41"/>
      <c r="JB149" s="41"/>
      <c r="JC149" s="41"/>
      <c r="JD149" s="41"/>
      <c r="JE149" s="41"/>
      <c r="JF149" s="41"/>
      <c r="JG149" s="41"/>
      <c r="JH149" s="41"/>
      <c r="JI149" s="41"/>
      <c r="JJ149" s="41"/>
      <c r="JK149" s="41"/>
      <c r="JL149" s="41"/>
      <c r="JM149" s="41"/>
      <c r="JN149" s="41"/>
      <c r="JO149" s="41"/>
      <c r="JP149" s="41"/>
      <c r="JQ149" s="41"/>
      <c r="JR149" s="41"/>
      <c r="JS149" s="41"/>
      <c r="JT149" s="41"/>
      <c r="JU149" s="41"/>
      <c r="JV149" s="41"/>
      <c r="JW149" s="41"/>
      <c r="JX149" s="41"/>
      <c r="JY149" s="41"/>
      <c r="JZ149" s="41"/>
      <c r="KA149" s="41"/>
      <c r="KB149" s="41"/>
      <c r="KC149" s="41"/>
      <c r="KD149" s="41"/>
      <c r="KE149" s="41"/>
      <c r="KF149" s="41"/>
      <c r="KG149" s="41"/>
      <c r="KH149" s="41"/>
      <c r="KI149" s="41"/>
      <c r="KJ149" s="41"/>
      <c r="KK149" s="41"/>
      <c r="KL149" s="41"/>
      <c r="KM149" s="41"/>
      <c r="KN149" s="41"/>
      <c r="KO149" s="41"/>
      <c r="KP149" s="41"/>
      <c r="KQ149" s="41"/>
      <c r="KR149" s="41"/>
      <c r="KS149" s="41"/>
      <c r="KT149" s="41"/>
      <c r="KU149" s="41"/>
      <c r="KV149" s="41"/>
      <c r="KW149" s="41"/>
      <c r="KX149" s="41"/>
      <c r="KY149" s="41"/>
      <c r="KZ149" s="41"/>
      <c r="LA149" s="41"/>
      <c r="LB149" s="41"/>
      <c r="LC149" s="41"/>
      <c r="LD149" s="41"/>
      <c r="LE149" s="41"/>
      <c r="LF149" s="41"/>
      <c r="LG149" s="41"/>
      <c r="LH149" s="41"/>
      <c r="LI149" s="41"/>
      <c r="LJ149" s="41"/>
      <c r="LK149" s="41"/>
      <c r="LL149" s="41"/>
      <c r="LM149" s="41"/>
      <c r="LN149" s="41"/>
      <c r="LO149" s="41"/>
      <c r="LP149" s="41"/>
      <c r="LQ149" s="41"/>
      <c r="LR149" s="41"/>
      <c r="LS149" s="41"/>
      <c r="LT149" s="41"/>
      <c r="LU149" s="41"/>
      <c r="LV149" s="41"/>
      <c r="LW149" s="41"/>
      <c r="LX149" s="41"/>
      <c r="LY149" s="41"/>
      <c r="LZ149" s="41"/>
      <c r="MA149" s="41"/>
      <c r="MB149" s="41"/>
      <c r="MC149" s="41"/>
      <c r="MD149" s="41"/>
      <c r="ME149" s="41"/>
      <c r="MF149" s="41"/>
      <c r="MG149" s="41"/>
      <c r="MH149" s="41"/>
      <c r="MI149" s="41"/>
      <c r="MJ149" s="41"/>
      <c r="MK149" s="41"/>
      <c r="ML149" s="41"/>
      <c r="MM149" s="41"/>
      <c r="MN149" s="41"/>
      <c r="MO149" s="41"/>
      <c r="MP149" s="41"/>
      <c r="MQ149" s="41"/>
      <c r="MR149" s="41"/>
      <c r="MS149" s="41"/>
      <c r="MT149" s="41"/>
      <c r="MU149" s="41"/>
      <c r="MV149" s="41"/>
      <c r="MW149" s="41"/>
      <c r="MX149" s="41"/>
      <c r="MY149" s="41"/>
      <c r="MZ149" s="41"/>
      <c r="NA149" s="41"/>
      <c r="NB149" s="41"/>
      <c r="NC149" s="41"/>
      <c r="ND149" s="41"/>
      <c r="NE149" s="41"/>
      <c r="NF149" s="41"/>
      <c r="NG149" s="41"/>
      <c r="NH149" s="41"/>
      <c r="NI149" s="41"/>
      <c r="NJ149" s="41"/>
      <c r="NK149" s="41"/>
      <c r="NL149" s="41"/>
      <c r="NM149" s="41"/>
      <c r="NN149" s="41"/>
      <c r="NO149" s="41"/>
      <c r="NP149" s="41"/>
      <c r="NQ149" s="41"/>
      <c r="NR149" s="41"/>
      <c r="NS149" s="41"/>
      <c r="NT149" s="41"/>
      <c r="NU149" s="41"/>
      <c r="NV149" s="41"/>
      <c r="NW149" s="41"/>
      <c r="NX149" s="41"/>
      <c r="NY149" s="41"/>
      <c r="NZ149" s="41"/>
      <c r="OA149" s="41"/>
      <c r="OB149" s="41"/>
      <c r="OC149" s="41"/>
      <c r="OD149" s="41"/>
      <c r="OE149" s="41"/>
      <c r="OF149" s="41"/>
      <c r="OG149" s="41"/>
      <c r="OH149" s="41"/>
      <c r="OI149" s="41"/>
      <c r="OJ149" s="41"/>
      <c r="OK149" s="41"/>
      <c r="OL149" s="41"/>
      <c r="OM149" s="41"/>
      <c r="ON149" s="41"/>
      <c r="OO149" s="41"/>
      <c r="OP149" s="41"/>
      <c r="OQ149" s="41"/>
      <c r="OR149" s="41"/>
      <c r="OS149" s="41"/>
      <c r="OT149" s="41"/>
      <c r="OU149" s="41"/>
      <c r="OV149" s="41"/>
      <c r="OW149" s="41"/>
      <c r="OX149" s="41"/>
      <c r="OY149" s="41"/>
      <c r="OZ149" s="41"/>
      <c r="PA149" s="41"/>
      <c r="PB149" s="41"/>
      <c r="PC149" s="41"/>
      <c r="PD149" s="41"/>
      <c r="PE149" s="41"/>
      <c r="PF149" s="41"/>
      <c r="PG149" s="41"/>
      <c r="PH149" s="41"/>
      <c r="PI149" s="41"/>
      <c r="PJ149" s="41"/>
      <c r="PK149" s="41"/>
      <c r="PL149" s="41"/>
      <c r="PM149" s="41"/>
      <c r="PN149" s="41"/>
      <c r="PO149" s="41"/>
      <c r="PP149" s="41"/>
      <c r="PQ149" s="41"/>
      <c r="PR149" s="41"/>
      <c r="PS149" s="41"/>
      <c r="PT149" s="41"/>
      <c r="PU149" s="41"/>
      <c r="PV149" s="41"/>
      <c r="PW149" s="41"/>
      <c r="PX149" s="41"/>
      <c r="PY149" s="41"/>
      <c r="PZ149" s="41"/>
      <c r="QA149" s="41"/>
      <c r="QB149" s="41"/>
      <c r="QC149" s="41"/>
      <c r="QD149" s="41"/>
      <c r="QE149" s="41"/>
      <c r="QF149" s="41"/>
      <c r="QG149" s="41"/>
      <c r="QH149" s="41"/>
      <c r="QI149" s="41"/>
      <c r="QJ149" s="41"/>
      <c r="QK149" s="41"/>
      <c r="QL149" s="41"/>
      <c r="QM149" s="41"/>
      <c r="QN149" s="41"/>
      <c r="QO149" s="41"/>
      <c r="QP149" s="41"/>
      <c r="QQ149" s="41"/>
      <c r="QR149" s="41"/>
      <c r="QS149" s="41"/>
      <c r="QT149" s="41"/>
      <c r="QU149" s="41"/>
      <c r="QV149" s="41"/>
      <c r="QW149" s="41"/>
      <c r="QX149" s="41"/>
      <c r="QY149" s="41"/>
      <c r="QZ149" s="41"/>
      <c r="RA149" s="41"/>
      <c r="RB149" s="41"/>
      <c r="RC149" s="41"/>
      <c r="RD149" s="41"/>
      <c r="RE149" s="41"/>
      <c r="RF149" s="41"/>
      <c r="RG149" s="41"/>
      <c r="RH149" s="41"/>
      <c r="RI149" s="41"/>
      <c r="RJ149" s="41"/>
      <c r="RK149" s="41"/>
      <c r="RL149" s="41"/>
      <c r="RM149" s="41"/>
      <c r="RN149" s="41"/>
      <c r="RO149" s="41"/>
      <c r="RP149" s="41"/>
      <c r="RQ149" s="41"/>
      <c r="RR149" s="41"/>
      <c r="RS149" s="41"/>
      <c r="RT149" s="41"/>
      <c r="RU149" s="41"/>
      <c r="RV149" s="41"/>
      <c r="RW149" s="41"/>
      <c r="RX149" s="41"/>
      <c r="RY149" s="41"/>
      <c r="RZ149" s="41"/>
      <c r="SA149" s="41"/>
      <c r="SB149" s="41"/>
      <c r="SC149" s="41"/>
      <c r="SD149" s="41"/>
      <c r="SE149" s="41"/>
      <c r="SF149" s="41"/>
      <c r="SG149" s="41"/>
      <c r="SH149" s="41"/>
      <c r="SI149" s="41"/>
      <c r="SJ149" s="41"/>
      <c r="SK149" s="41"/>
      <c r="SL149" s="41"/>
      <c r="SM149" s="41"/>
      <c r="SN149" s="41"/>
      <c r="SO149" s="41"/>
      <c r="SP149" s="41"/>
      <c r="SQ149" s="41"/>
      <c r="SR149" s="41"/>
      <c r="SS149" s="41"/>
      <c r="ST149" s="41"/>
      <c r="SU149" s="41"/>
      <c r="SV149" s="41"/>
      <c r="SW149" s="41"/>
      <c r="SX149" s="41"/>
      <c r="SY149" s="41"/>
      <c r="SZ149" s="41"/>
      <c r="TA149" s="41"/>
      <c r="TB149" s="41"/>
      <c r="TC149" s="41"/>
      <c r="TD149" s="41"/>
      <c r="TE149" s="41"/>
      <c r="TF149" s="41"/>
      <c r="TG149" s="41"/>
      <c r="TH149" s="41"/>
      <c r="TI149" s="41"/>
      <c r="TJ149" s="41"/>
      <c r="TK149" s="41"/>
      <c r="TL149" s="41"/>
      <c r="TM149" s="41"/>
      <c r="TN149" s="41"/>
      <c r="TO149" s="41"/>
      <c r="TP149" s="41"/>
      <c r="TQ149" s="41"/>
      <c r="TR149" s="41"/>
      <c r="TS149" s="41"/>
      <c r="TT149" s="41"/>
      <c r="TU149" s="41"/>
      <c r="TV149" s="41"/>
      <c r="TW149" s="41"/>
      <c r="TX149" s="41"/>
      <c r="TY149" s="41"/>
      <c r="TZ149" s="41"/>
      <c r="UA149" s="41"/>
      <c r="UB149" s="41"/>
      <c r="UC149" s="41"/>
      <c r="UD149" s="41"/>
      <c r="UE149" s="41"/>
      <c r="UF149" s="41"/>
      <c r="UG149" s="41"/>
      <c r="UH149" s="41"/>
      <c r="UI149" s="41"/>
      <c r="UJ149" s="41"/>
      <c r="UK149" s="41"/>
      <c r="UL149" s="41"/>
      <c r="UM149" s="41"/>
      <c r="UN149" s="41"/>
      <c r="UO149" s="41"/>
      <c r="UP149" s="41"/>
      <c r="UQ149" s="41"/>
      <c r="UR149" s="41"/>
      <c r="US149" s="41"/>
      <c r="UT149" s="41"/>
      <c r="UU149" s="41"/>
      <c r="UV149" s="41"/>
      <c r="UW149" s="41"/>
      <c r="UX149" s="41"/>
      <c r="UY149" s="41"/>
      <c r="UZ149" s="41"/>
      <c r="VA149" s="41"/>
      <c r="VB149" s="41"/>
      <c r="VC149" s="41"/>
      <c r="VD149" s="41"/>
      <c r="VE149" s="41"/>
      <c r="VF149" s="41"/>
      <c r="VG149" s="41"/>
      <c r="VH149" s="41"/>
      <c r="VI149" s="41"/>
      <c r="VJ149" s="41"/>
      <c r="VK149" s="41"/>
      <c r="VL149" s="41"/>
      <c r="VM149" s="41"/>
      <c r="VN149" s="41"/>
      <c r="VO149" s="41"/>
      <c r="VP149" s="41"/>
      <c r="VQ149" s="41"/>
      <c r="VR149" s="41"/>
      <c r="VS149" s="41"/>
      <c r="VT149" s="41"/>
      <c r="VU149" s="41"/>
      <c r="VV149" s="41"/>
      <c r="VW149" s="41"/>
      <c r="VX149" s="41"/>
      <c r="VY149" s="41"/>
      <c r="VZ149" s="41"/>
      <c r="WA149" s="41"/>
      <c r="WB149" s="41"/>
      <c r="WC149" s="41"/>
      <c r="WD149" s="41"/>
      <c r="WE149" s="41"/>
      <c r="WF149" s="41"/>
      <c r="WG149" s="41"/>
      <c r="WH149" s="41"/>
      <c r="WI149" s="41"/>
      <c r="WJ149" s="41"/>
      <c r="WK149" s="41"/>
      <c r="WL149" s="41"/>
      <c r="WM149" s="41"/>
      <c r="WN149" s="41"/>
      <c r="WO149" s="41"/>
      <c r="WP149" s="41"/>
      <c r="WQ149" s="41"/>
      <c r="WR149" s="41"/>
      <c r="WS149" s="41"/>
      <c r="WT149" s="41"/>
      <c r="WU149" s="41"/>
      <c r="WV149" s="41"/>
      <c r="WW149" s="41"/>
      <c r="WX149" s="41"/>
      <c r="WY149" s="41"/>
      <c r="WZ149" s="41"/>
      <c r="XA149" s="41"/>
      <c r="XB149" s="41"/>
      <c r="XC149" s="41"/>
      <c r="XD149" s="41"/>
      <c r="XE149" s="41"/>
      <c r="XF149" s="41"/>
      <c r="XG149" s="41"/>
      <c r="XH149" s="41"/>
      <c r="XI149" s="41"/>
      <c r="XJ149" s="41"/>
      <c r="XK149" s="41"/>
      <c r="XL149" s="41"/>
      <c r="XM149" s="41"/>
      <c r="XN149" s="41"/>
      <c r="XO149" s="41"/>
      <c r="XP149" s="41"/>
      <c r="XQ149" s="41"/>
      <c r="XR149" s="41"/>
      <c r="XS149" s="41"/>
      <c r="XT149" s="41"/>
      <c r="XU149" s="41"/>
      <c r="XV149" s="41"/>
      <c r="XW149" s="41"/>
      <c r="XX149" s="41"/>
      <c r="XY149" s="41"/>
      <c r="XZ149" s="41"/>
      <c r="YA149" s="41"/>
      <c r="YB149" s="41"/>
      <c r="YC149" s="41"/>
      <c r="YD149" s="41"/>
      <c r="YE149" s="41"/>
      <c r="YF149" s="41"/>
      <c r="YG149" s="41"/>
      <c r="YH149" s="41"/>
      <c r="YI149" s="41"/>
      <c r="YJ149" s="41"/>
      <c r="YK149" s="41"/>
      <c r="YL149" s="41"/>
      <c r="YM149" s="41"/>
      <c r="YN149" s="41"/>
      <c r="YO149" s="41"/>
      <c r="YP149" s="41"/>
      <c r="YQ149" s="41"/>
      <c r="YR149" s="41"/>
      <c r="YS149" s="41"/>
      <c r="YT149" s="41"/>
      <c r="YU149" s="41"/>
      <c r="YV149" s="41"/>
      <c r="YW149" s="41"/>
      <c r="YX149" s="41"/>
      <c r="YY149" s="41"/>
      <c r="YZ149" s="41"/>
      <c r="ZA149" s="41"/>
      <c r="ZB149" s="41"/>
      <c r="ZC149" s="41"/>
      <c r="ZD149" s="41"/>
      <c r="ZE149" s="41"/>
      <c r="ZF149" s="41"/>
      <c r="ZG149" s="41"/>
      <c r="ZH149" s="41"/>
      <c r="ZI149" s="41"/>
      <c r="ZJ149" s="41"/>
      <c r="ZK149" s="41"/>
      <c r="ZL149" s="41"/>
      <c r="ZM149" s="41"/>
      <c r="ZN149" s="41"/>
      <c r="ZO149" s="41"/>
      <c r="ZP149" s="41"/>
      <c r="ZQ149" s="41"/>
      <c r="ZR149" s="41"/>
      <c r="ZS149" s="41"/>
      <c r="ZT149" s="41"/>
      <c r="ZU149" s="41"/>
      <c r="ZV149" s="41"/>
      <c r="ZW149" s="41"/>
      <c r="ZX149" s="41"/>
      <c r="ZY149" s="41"/>
      <c r="ZZ149" s="41"/>
      <c r="AAA149" s="41"/>
      <c r="AAB149" s="41"/>
      <c r="AAC149" s="41"/>
    </row>
    <row r="150" spans="1:705" s="42" customFormat="1" ht="44.1" hidden="1" customHeight="1" x14ac:dyDescent="0.3">
      <c r="A150" s="26">
        <v>146</v>
      </c>
      <c r="B150" s="137">
        <v>240527</v>
      </c>
      <c r="C150" s="138">
        <v>146</v>
      </c>
      <c r="D150" s="139">
        <v>45937</v>
      </c>
      <c r="E150" s="139">
        <f t="shared" si="23"/>
        <v>45936</v>
      </c>
      <c r="F150" s="139">
        <f t="shared" si="22"/>
        <v>45947</v>
      </c>
      <c r="G150" s="139">
        <v>45947</v>
      </c>
      <c r="H150" s="139">
        <v>45958</v>
      </c>
      <c r="I150" s="139" t="s">
        <v>75</v>
      </c>
      <c r="J150" s="140" t="s">
        <v>393</v>
      </c>
      <c r="K150" s="141">
        <f t="shared" si="24"/>
        <v>11</v>
      </c>
      <c r="L150" s="141">
        <v>1152089</v>
      </c>
      <c r="M150" s="140" t="s">
        <v>15</v>
      </c>
      <c r="N150" s="142">
        <v>805335</v>
      </c>
      <c r="O150" s="137" t="s">
        <v>246</v>
      </c>
      <c r="P150" s="190">
        <v>45946</v>
      </c>
      <c r="Q150" s="190">
        <v>45961</v>
      </c>
      <c r="R150" s="157" t="s">
        <v>211</v>
      </c>
      <c r="S150" s="144" t="s">
        <v>394</v>
      </c>
      <c r="T150" s="145">
        <v>1</v>
      </c>
      <c r="U150" s="137" t="s">
        <v>106</v>
      </c>
      <c r="V150" s="146">
        <v>7</v>
      </c>
      <c r="W150" s="146">
        <v>7</v>
      </c>
      <c r="X150" s="147">
        <v>0</v>
      </c>
      <c r="Y150" s="146">
        <v>0</v>
      </c>
      <c r="Z150" s="146">
        <v>0</v>
      </c>
      <c r="AA150" s="146">
        <v>0</v>
      </c>
      <c r="AB150" s="146">
        <v>0</v>
      </c>
      <c r="AC150" s="146"/>
      <c r="AD150" s="146">
        <v>0</v>
      </c>
      <c r="AE150" s="146">
        <v>0</v>
      </c>
      <c r="AF150" s="146">
        <v>0</v>
      </c>
      <c r="AG150" s="146">
        <v>0</v>
      </c>
      <c r="AH150" s="146">
        <v>1</v>
      </c>
      <c r="AI150" s="146">
        <v>1</v>
      </c>
      <c r="AJ150" s="146">
        <v>0</v>
      </c>
      <c r="AK150" s="146">
        <v>0</v>
      </c>
      <c r="AL150" s="146">
        <v>0</v>
      </c>
      <c r="AM150" s="146">
        <v>0</v>
      </c>
      <c r="AN150" s="146">
        <v>0</v>
      </c>
      <c r="AO150" s="146">
        <v>0</v>
      </c>
      <c r="AP150" s="146">
        <v>1</v>
      </c>
      <c r="AQ150" s="146">
        <v>1</v>
      </c>
      <c r="AR150" s="146">
        <v>0</v>
      </c>
      <c r="AS150" s="146">
        <v>0</v>
      </c>
      <c r="AT150" s="146">
        <v>1</v>
      </c>
      <c r="AU150" s="146">
        <v>1</v>
      </c>
      <c r="AV150" s="146">
        <v>0</v>
      </c>
      <c r="AW150" s="146">
        <v>0</v>
      </c>
      <c r="AX150" s="146">
        <f t="shared" ref="AX150:AX181" si="25">(V150*60)+(X150*80)+(Z150*38)+(AB150*57)+(AD150*75)+(AF150*155)+(AH150*170)+(AJ150*375)+(AL150*590)+(AN150*60)+(AP150*630)+(AR150*400)+(AT150*350)+(AV150*950)</f>
        <v>1570</v>
      </c>
      <c r="AY150" s="146">
        <f t="shared" si="20"/>
        <v>1570</v>
      </c>
      <c r="AZ150" s="140" t="s">
        <v>562</v>
      </c>
      <c r="BA150" s="140" t="s">
        <v>562</v>
      </c>
      <c r="BB150" s="140">
        <v>2</v>
      </c>
      <c r="BC150" s="148">
        <v>146</v>
      </c>
      <c r="BD150" s="149"/>
      <c r="BE150" s="145"/>
      <c r="BF150" s="150"/>
      <c r="BG150" s="151">
        <v>45931</v>
      </c>
      <c r="BH150" s="153" t="s">
        <v>535</v>
      </c>
      <c r="BI150" s="153" t="s">
        <v>562</v>
      </c>
      <c r="CC150" s="41"/>
      <c r="CD150" s="41"/>
      <c r="CE150" s="41"/>
      <c r="CF150" s="41"/>
      <c r="CG150" s="41"/>
      <c r="CH150" s="41"/>
      <c r="CI150" s="41"/>
      <c r="CJ150" s="41"/>
      <c r="CK150" s="41"/>
      <c r="CL150" s="41"/>
      <c r="CM150" s="41"/>
      <c r="CN150" s="41"/>
      <c r="CO150" s="41"/>
      <c r="CP150" s="41"/>
      <c r="CQ150" s="41"/>
      <c r="CR150" s="41"/>
      <c r="CS150" s="41"/>
      <c r="CT150" s="41"/>
      <c r="CU150" s="41"/>
      <c r="CV150" s="41"/>
      <c r="CW150" s="41"/>
      <c r="CX150" s="41"/>
      <c r="CY150" s="41"/>
      <c r="CZ150" s="41"/>
      <c r="DA150" s="41"/>
      <c r="DB150" s="41"/>
      <c r="DC150" s="41"/>
      <c r="DD150" s="41"/>
      <c r="DE150" s="41"/>
      <c r="DF150" s="41"/>
      <c r="DG150" s="41"/>
      <c r="DH150" s="41"/>
      <c r="DI150" s="41"/>
      <c r="DJ150" s="41"/>
      <c r="DK150" s="41"/>
      <c r="DL150" s="41"/>
      <c r="DM150" s="41"/>
      <c r="DN150" s="41"/>
      <c r="DO150" s="41"/>
      <c r="DP150" s="41"/>
      <c r="DQ150" s="41"/>
      <c r="DR150" s="41"/>
      <c r="DS150" s="41"/>
      <c r="DT150" s="41"/>
      <c r="DU150" s="41"/>
      <c r="DV150" s="41"/>
      <c r="DW150" s="41"/>
      <c r="DX150" s="41"/>
      <c r="DY150" s="41"/>
      <c r="DZ150" s="41"/>
      <c r="EA150" s="41"/>
      <c r="EB150" s="41"/>
      <c r="EC150" s="41"/>
      <c r="ED150" s="41"/>
      <c r="EE150" s="41"/>
      <c r="EF150" s="41"/>
      <c r="EG150" s="41"/>
      <c r="EH150" s="41"/>
      <c r="EI150" s="41"/>
      <c r="EJ150" s="41"/>
      <c r="EK150" s="41"/>
      <c r="EL150" s="41"/>
      <c r="EM150" s="41"/>
      <c r="EN150" s="41"/>
      <c r="EO150" s="41"/>
      <c r="EP150" s="41"/>
      <c r="EQ150" s="41"/>
      <c r="ER150" s="41"/>
      <c r="ES150" s="41"/>
      <c r="ET150" s="41"/>
      <c r="EU150" s="41"/>
      <c r="EV150" s="41"/>
      <c r="EW150" s="41"/>
      <c r="EX150" s="41"/>
      <c r="EY150" s="41"/>
      <c r="EZ150" s="41"/>
      <c r="FA150" s="41"/>
      <c r="FB150" s="41"/>
      <c r="FC150" s="41"/>
      <c r="FD150" s="41"/>
      <c r="FE150" s="41"/>
      <c r="FF150" s="41"/>
      <c r="FG150" s="41"/>
      <c r="FH150" s="41"/>
      <c r="FI150" s="41"/>
      <c r="FJ150" s="41"/>
      <c r="FK150" s="41"/>
      <c r="FL150" s="41"/>
      <c r="FM150" s="41"/>
      <c r="FN150" s="41"/>
      <c r="FO150" s="41"/>
      <c r="FP150" s="41"/>
      <c r="FQ150" s="41"/>
      <c r="FR150" s="41"/>
      <c r="FS150" s="41"/>
      <c r="FT150" s="41"/>
      <c r="FU150" s="41"/>
      <c r="FV150" s="41"/>
      <c r="FW150" s="41"/>
      <c r="FX150" s="41"/>
      <c r="FY150" s="41"/>
      <c r="FZ150" s="41"/>
      <c r="GA150" s="41"/>
      <c r="GB150" s="41"/>
      <c r="GC150" s="41"/>
      <c r="GD150" s="41"/>
      <c r="GE150" s="41"/>
      <c r="GF150" s="41"/>
      <c r="GG150" s="41"/>
      <c r="GH150" s="41"/>
      <c r="GI150" s="41"/>
      <c r="GJ150" s="41"/>
      <c r="GK150" s="41"/>
      <c r="GL150" s="41"/>
      <c r="GM150" s="41"/>
      <c r="GN150" s="41"/>
      <c r="GO150" s="41"/>
      <c r="GP150" s="41"/>
      <c r="GQ150" s="41"/>
      <c r="GR150" s="41"/>
      <c r="GS150" s="41"/>
      <c r="GT150" s="41"/>
      <c r="GU150" s="41"/>
      <c r="GV150" s="41"/>
      <c r="GW150" s="41"/>
      <c r="GX150" s="41"/>
      <c r="GY150" s="41"/>
      <c r="GZ150" s="41"/>
      <c r="HA150" s="41"/>
      <c r="HB150" s="41"/>
      <c r="HC150" s="41"/>
      <c r="HD150" s="41"/>
      <c r="HE150" s="41"/>
      <c r="HF150" s="41"/>
      <c r="HG150" s="41"/>
      <c r="HH150" s="41"/>
      <c r="HI150" s="41"/>
      <c r="HJ150" s="41"/>
      <c r="HK150" s="41"/>
      <c r="HL150" s="41"/>
      <c r="HM150" s="41"/>
      <c r="HN150" s="41"/>
      <c r="HO150" s="41"/>
      <c r="HP150" s="41"/>
      <c r="HQ150" s="41"/>
      <c r="HR150" s="41"/>
      <c r="HS150" s="41"/>
      <c r="HT150" s="41"/>
      <c r="HU150" s="41"/>
      <c r="HV150" s="41"/>
      <c r="HW150" s="41"/>
      <c r="HX150" s="41"/>
      <c r="HY150" s="41"/>
      <c r="HZ150" s="41"/>
      <c r="IA150" s="41"/>
      <c r="IB150" s="41"/>
      <c r="IC150" s="41"/>
      <c r="ID150" s="41"/>
      <c r="IE150" s="41"/>
      <c r="IF150" s="41"/>
      <c r="IG150" s="41"/>
      <c r="IH150" s="41"/>
      <c r="II150" s="41"/>
      <c r="IJ150" s="41"/>
      <c r="IK150" s="41"/>
      <c r="IL150" s="41"/>
      <c r="IM150" s="41"/>
      <c r="IN150" s="41"/>
      <c r="IO150" s="41"/>
      <c r="IP150" s="41"/>
      <c r="IQ150" s="41"/>
      <c r="IR150" s="41"/>
      <c r="IS150" s="41"/>
      <c r="IT150" s="41"/>
      <c r="IU150" s="41"/>
      <c r="IV150" s="41"/>
      <c r="IW150" s="41"/>
      <c r="IX150" s="41"/>
      <c r="IY150" s="41"/>
      <c r="IZ150" s="41"/>
      <c r="JA150" s="41"/>
      <c r="JB150" s="41"/>
      <c r="JC150" s="41"/>
      <c r="JD150" s="41"/>
      <c r="JE150" s="41"/>
      <c r="JF150" s="41"/>
      <c r="JG150" s="41"/>
      <c r="JH150" s="41"/>
      <c r="JI150" s="41"/>
      <c r="JJ150" s="41"/>
      <c r="JK150" s="41"/>
      <c r="JL150" s="41"/>
      <c r="JM150" s="41"/>
      <c r="JN150" s="41"/>
      <c r="JO150" s="41"/>
      <c r="JP150" s="41"/>
      <c r="JQ150" s="41"/>
      <c r="JR150" s="41"/>
      <c r="JS150" s="41"/>
      <c r="JT150" s="41"/>
      <c r="JU150" s="41"/>
      <c r="JV150" s="41"/>
      <c r="JW150" s="41"/>
      <c r="JX150" s="41"/>
      <c r="JY150" s="41"/>
      <c r="JZ150" s="41"/>
      <c r="KA150" s="41"/>
      <c r="KB150" s="41"/>
      <c r="KC150" s="41"/>
      <c r="KD150" s="41"/>
      <c r="KE150" s="41"/>
      <c r="KF150" s="41"/>
      <c r="KG150" s="41"/>
      <c r="KH150" s="41"/>
      <c r="KI150" s="41"/>
      <c r="KJ150" s="41"/>
      <c r="KK150" s="41"/>
      <c r="KL150" s="41"/>
      <c r="KM150" s="41"/>
      <c r="KN150" s="41"/>
      <c r="KO150" s="41"/>
      <c r="KP150" s="41"/>
      <c r="KQ150" s="41"/>
      <c r="KR150" s="41"/>
      <c r="KS150" s="41"/>
      <c r="KT150" s="41"/>
      <c r="KU150" s="41"/>
      <c r="KV150" s="41"/>
      <c r="KW150" s="41"/>
      <c r="KX150" s="41"/>
      <c r="KY150" s="41"/>
      <c r="KZ150" s="41"/>
      <c r="LA150" s="41"/>
      <c r="LB150" s="41"/>
      <c r="LC150" s="41"/>
      <c r="LD150" s="41"/>
      <c r="LE150" s="41"/>
      <c r="LF150" s="41"/>
      <c r="LG150" s="41"/>
      <c r="LH150" s="41"/>
      <c r="LI150" s="41"/>
      <c r="LJ150" s="41"/>
      <c r="LK150" s="41"/>
      <c r="LL150" s="41"/>
      <c r="LM150" s="41"/>
      <c r="LN150" s="41"/>
      <c r="LO150" s="41"/>
      <c r="LP150" s="41"/>
      <c r="LQ150" s="41"/>
      <c r="LR150" s="41"/>
      <c r="LS150" s="41"/>
      <c r="LT150" s="41"/>
      <c r="LU150" s="41"/>
      <c r="LV150" s="41"/>
      <c r="LW150" s="41"/>
      <c r="LX150" s="41"/>
      <c r="LY150" s="41"/>
      <c r="LZ150" s="41"/>
      <c r="MA150" s="41"/>
      <c r="MB150" s="41"/>
      <c r="MC150" s="41"/>
      <c r="MD150" s="41"/>
      <c r="ME150" s="41"/>
      <c r="MF150" s="41"/>
      <c r="MG150" s="41"/>
      <c r="MH150" s="41"/>
      <c r="MI150" s="41"/>
      <c r="MJ150" s="41"/>
      <c r="MK150" s="41"/>
      <c r="ML150" s="41"/>
      <c r="MM150" s="41"/>
      <c r="MN150" s="41"/>
      <c r="MO150" s="41"/>
      <c r="MP150" s="41"/>
      <c r="MQ150" s="41"/>
      <c r="MR150" s="41"/>
      <c r="MS150" s="41"/>
      <c r="MT150" s="41"/>
      <c r="MU150" s="41"/>
      <c r="MV150" s="41"/>
      <c r="MW150" s="41"/>
      <c r="MX150" s="41"/>
      <c r="MY150" s="41"/>
      <c r="MZ150" s="41"/>
      <c r="NA150" s="41"/>
      <c r="NB150" s="41"/>
      <c r="NC150" s="41"/>
      <c r="ND150" s="41"/>
      <c r="NE150" s="41"/>
      <c r="NF150" s="41"/>
      <c r="NG150" s="41"/>
      <c r="NH150" s="41"/>
      <c r="NI150" s="41"/>
      <c r="NJ150" s="41"/>
      <c r="NK150" s="41"/>
      <c r="NL150" s="41"/>
      <c r="NM150" s="41"/>
      <c r="NN150" s="41"/>
      <c r="NO150" s="41"/>
      <c r="NP150" s="41"/>
      <c r="NQ150" s="41"/>
      <c r="NR150" s="41"/>
      <c r="NS150" s="41"/>
      <c r="NT150" s="41"/>
      <c r="NU150" s="41"/>
      <c r="NV150" s="41"/>
      <c r="NW150" s="41"/>
      <c r="NX150" s="41"/>
      <c r="NY150" s="41"/>
      <c r="NZ150" s="41"/>
      <c r="OA150" s="41"/>
      <c r="OB150" s="41"/>
      <c r="OC150" s="41"/>
      <c r="OD150" s="41"/>
      <c r="OE150" s="41"/>
      <c r="OF150" s="41"/>
      <c r="OG150" s="41"/>
      <c r="OH150" s="41"/>
      <c r="OI150" s="41"/>
      <c r="OJ150" s="41"/>
      <c r="OK150" s="41"/>
      <c r="OL150" s="41"/>
      <c r="OM150" s="41"/>
      <c r="ON150" s="41"/>
      <c r="OO150" s="41"/>
      <c r="OP150" s="41"/>
      <c r="OQ150" s="41"/>
      <c r="OR150" s="41"/>
      <c r="OS150" s="41"/>
      <c r="OT150" s="41"/>
      <c r="OU150" s="41"/>
      <c r="OV150" s="41"/>
      <c r="OW150" s="41"/>
      <c r="OX150" s="41"/>
      <c r="OY150" s="41"/>
      <c r="OZ150" s="41"/>
      <c r="PA150" s="41"/>
      <c r="PB150" s="41"/>
      <c r="PC150" s="41"/>
      <c r="PD150" s="41"/>
      <c r="PE150" s="41"/>
      <c r="PF150" s="41"/>
      <c r="PG150" s="41"/>
      <c r="PH150" s="41"/>
      <c r="PI150" s="41"/>
      <c r="PJ150" s="41"/>
      <c r="PK150" s="41"/>
      <c r="PL150" s="41"/>
      <c r="PM150" s="41"/>
      <c r="PN150" s="41"/>
      <c r="PO150" s="41"/>
      <c r="PP150" s="41"/>
      <c r="PQ150" s="41"/>
      <c r="PR150" s="41"/>
      <c r="PS150" s="41"/>
      <c r="PT150" s="41"/>
      <c r="PU150" s="41"/>
      <c r="PV150" s="41"/>
      <c r="PW150" s="41"/>
      <c r="PX150" s="41"/>
      <c r="PY150" s="41"/>
      <c r="PZ150" s="41"/>
      <c r="QA150" s="41"/>
      <c r="QB150" s="41"/>
      <c r="QC150" s="41"/>
      <c r="QD150" s="41"/>
      <c r="QE150" s="41"/>
      <c r="QF150" s="41"/>
      <c r="QG150" s="41"/>
      <c r="QH150" s="41"/>
      <c r="QI150" s="41"/>
      <c r="QJ150" s="41"/>
      <c r="QK150" s="41"/>
      <c r="QL150" s="41"/>
      <c r="QM150" s="41"/>
      <c r="QN150" s="41"/>
      <c r="QO150" s="41"/>
      <c r="QP150" s="41"/>
      <c r="QQ150" s="41"/>
      <c r="QR150" s="41"/>
      <c r="QS150" s="41"/>
      <c r="QT150" s="41"/>
      <c r="QU150" s="41"/>
      <c r="QV150" s="41"/>
      <c r="QW150" s="41"/>
      <c r="QX150" s="41"/>
      <c r="QY150" s="41"/>
      <c r="QZ150" s="41"/>
      <c r="RA150" s="41"/>
      <c r="RB150" s="41"/>
      <c r="RC150" s="41"/>
      <c r="RD150" s="41"/>
      <c r="RE150" s="41"/>
      <c r="RF150" s="41"/>
      <c r="RG150" s="41"/>
      <c r="RH150" s="41"/>
      <c r="RI150" s="41"/>
      <c r="RJ150" s="41"/>
      <c r="RK150" s="41"/>
      <c r="RL150" s="41"/>
      <c r="RM150" s="41"/>
      <c r="RN150" s="41"/>
      <c r="RO150" s="41"/>
      <c r="RP150" s="41"/>
      <c r="RQ150" s="41"/>
      <c r="RR150" s="41"/>
      <c r="RS150" s="41"/>
      <c r="RT150" s="41"/>
      <c r="RU150" s="41"/>
      <c r="RV150" s="41"/>
      <c r="RW150" s="41"/>
      <c r="RX150" s="41"/>
      <c r="RY150" s="41"/>
      <c r="RZ150" s="41"/>
      <c r="SA150" s="41"/>
      <c r="SB150" s="41"/>
      <c r="SC150" s="41"/>
      <c r="SD150" s="41"/>
      <c r="SE150" s="41"/>
      <c r="SF150" s="41"/>
      <c r="SG150" s="41"/>
      <c r="SH150" s="41"/>
      <c r="SI150" s="41"/>
      <c r="SJ150" s="41"/>
      <c r="SK150" s="41"/>
      <c r="SL150" s="41"/>
      <c r="SM150" s="41"/>
      <c r="SN150" s="41"/>
      <c r="SO150" s="41"/>
      <c r="SP150" s="41"/>
      <c r="SQ150" s="41"/>
      <c r="SR150" s="41"/>
      <c r="SS150" s="41"/>
      <c r="ST150" s="41"/>
      <c r="SU150" s="41"/>
      <c r="SV150" s="41"/>
      <c r="SW150" s="41"/>
      <c r="SX150" s="41"/>
      <c r="SY150" s="41"/>
      <c r="SZ150" s="41"/>
      <c r="TA150" s="41"/>
      <c r="TB150" s="41"/>
      <c r="TC150" s="41"/>
      <c r="TD150" s="41"/>
      <c r="TE150" s="41"/>
      <c r="TF150" s="41"/>
      <c r="TG150" s="41"/>
      <c r="TH150" s="41"/>
      <c r="TI150" s="41"/>
      <c r="TJ150" s="41"/>
      <c r="TK150" s="41"/>
      <c r="TL150" s="41"/>
      <c r="TM150" s="41"/>
      <c r="TN150" s="41"/>
      <c r="TO150" s="41"/>
      <c r="TP150" s="41"/>
      <c r="TQ150" s="41"/>
      <c r="TR150" s="41"/>
      <c r="TS150" s="41"/>
      <c r="TT150" s="41"/>
      <c r="TU150" s="41"/>
      <c r="TV150" s="41"/>
      <c r="TW150" s="41"/>
      <c r="TX150" s="41"/>
      <c r="TY150" s="41"/>
      <c r="TZ150" s="41"/>
      <c r="UA150" s="41"/>
      <c r="UB150" s="41"/>
      <c r="UC150" s="41"/>
      <c r="UD150" s="41"/>
      <c r="UE150" s="41"/>
      <c r="UF150" s="41"/>
      <c r="UG150" s="41"/>
      <c r="UH150" s="41"/>
      <c r="UI150" s="41"/>
      <c r="UJ150" s="41"/>
      <c r="UK150" s="41"/>
      <c r="UL150" s="41"/>
      <c r="UM150" s="41"/>
      <c r="UN150" s="41"/>
      <c r="UO150" s="41"/>
      <c r="UP150" s="41"/>
      <c r="UQ150" s="41"/>
      <c r="UR150" s="41"/>
      <c r="US150" s="41"/>
      <c r="UT150" s="41"/>
      <c r="UU150" s="41"/>
      <c r="UV150" s="41"/>
      <c r="UW150" s="41"/>
      <c r="UX150" s="41"/>
      <c r="UY150" s="41"/>
      <c r="UZ150" s="41"/>
      <c r="VA150" s="41"/>
      <c r="VB150" s="41"/>
      <c r="VC150" s="41"/>
      <c r="VD150" s="41"/>
      <c r="VE150" s="41"/>
      <c r="VF150" s="41"/>
      <c r="VG150" s="41"/>
      <c r="VH150" s="41"/>
      <c r="VI150" s="41"/>
      <c r="VJ150" s="41"/>
      <c r="VK150" s="41"/>
      <c r="VL150" s="41"/>
      <c r="VM150" s="41"/>
      <c r="VN150" s="41"/>
      <c r="VO150" s="41"/>
      <c r="VP150" s="41"/>
      <c r="VQ150" s="41"/>
      <c r="VR150" s="41"/>
      <c r="VS150" s="41"/>
      <c r="VT150" s="41"/>
      <c r="VU150" s="41"/>
      <c r="VV150" s="41"/>
      <c r="VW150" s="41"/>
      <c r="VX150" s="41"/>
      <c r="VY150" s="41"/>
      <c r="VZ150" s="41"/>
      <c r="WA150" s="41"/>
      <c r="WB150" s="41"/>
      <c r="WC150" s="41"/>
      <c r="WD150" s="41"/>
      <c r="WE150" s="41"/>
      <c r="WF150" s="41"/>
      <c r="WG150" s="41"/>
      <c r="WH150" s="41"/>
      <c r="WI150" s="41"/>
      <c r="WJ150" s="41"/>
      <c r="WK150" s="41"/>
      <c r="WL150" s="41"/>
      <c r="WM150" s="41"/>
      <c r="WN150" s="41"/>
      <c r="WO150" s="41"/>
      <c r="WP150" s="41"/>
      <c r="WQ150" s="41"/>
      <c r="WR150" s="41"/>
      <c r="WS150" s="41"/>
      <c r="WT150" s="41"/>
      <c r="WU150" s="41"/>
      <c r="WV150" s="41"/>
      <c r="WW150" s="41"/>
      <c r="WX150" s="41"/>
      <c r="WY150" s="41"/>
      <c r="WZ150" s="41"/>
      <c r="XA150" s="41"/>
      <c r="XB150" s="41"/>
      <c r="XC150" s="41"/>
      <c r="XD150" s="41"/>
      <c r="XE150" s="41"/>
      <c r="XF150" s="41"/>
      <c r="XG150" s="41"/>
      <c r="XH150" s="41"/>
      <c r="XI150" s="41"/>
      <c r="XJ150" s="41"/>
      <c r="XK150" s="41"/>
      <c r="XL150" s="41"/>
      <c r="XM150" s="41"/>
      <c r="XN150" s="41"/>
      <c r="XO150" s="41"/>
      <c r="XP150" s="41"/>
      <c r="XQ150" s="41"/>
      <c r="XR150" s="41"/>
      <c r="XS150" s="41"/>
      <c r="XT150" s="41"/>
      <c r="XU150" s="41"/>
      <c r="XV150" s="41"/>
      <c r="XW150" s="41"/>
      <c r="XX150" s="41"/>
      <c r="XY150" s="41"/>
      <c r="XZ150" s="41"/>
      <c r="YA150" s="41"/>
      <c r="YB150" s="41"/>
      <c r="YC150" s="41"/>
      <c r="YD150" s="41"/>
      <c r="YE150" s="41"/>
      <c r="YF150" s="41"/>
      <c r="YG150" s="41"/>
      <c r="YH150" s="41"/>
      <c r="YI150" s="41"/>
      <c r="YJ150" s="41"/>
      <c r="YK150" s="41"/>
      <c r="YL150" s="41"/>
      <c r="YM150" s="41"/>
      <c r="YN150" s="41"/>
      <c r="YO150" s="41"/>
      <c r="YP150" s="41"/>
      <c r="YQ150" s="41"/>
      <c r="YR150" s="41"/>
      <c r="YS150" s="41"/>
      <c r="YT150" s="41"/>
      <c r="YU150" s="41"/>
      <c r="YV150" s="41"/>
      <c r="YW150" s="41"/>
      <c r="YX150" s="41"/>
      <c r="YY150" s="41"/>
      <c r="YZ150" s="41"/>
      <c r="ZA150" s="41"/>
      <c r="ZB150" s="41"/>
      <c r="ZC150" s="41"/>
      <c r="ZD150" s="41"/>
      <c r="ZE150" s="41"/>
      <c r="ZF150" s="41"/>
      <c r="ZG150" s="41"/>
      <c r="ZH150" s="41"/>
      <c r="ZI150" s="41"/>
      <c r="ZJ150" s="41"/>
      <c r="ZK150" s="41"/>
      <c r="ZL150" s="41"/>
      <c r="ZM150" s="41"/>
      <c r="ZN150" s="41"/>
      <c r="ZO150" s="41"/>
      <c r="ZP150" s="41"/>
      <c r="ZQ150" s="41"/>
      <c r="ZR150" s="41"/>
      <c r="ZS150" s="41"/>
      <c r="ZT150" s="41"/>
      <c r="ZU150" s="41"/>
      <c r="ZV150" s="41"/>
      <c r="ZW150" s="41"/>
      <c r="ZX150" s="41"/>
      <c r="ZY150" s="41"/>
      <c r="ZZ150" s="41"/>
      <c r="AAA150" s="41"/>
      <c r="AAB150" s="41"/>
      <c r="AAC150" s="41"/>
    </row>
    <row r="151" spans="1:705" s="42" customFormat="1" ht="44.1" hidden="1" customHeight="1" x14ac:dyDescent="0.3">
      <c r="A151" s="26">
        <v>147</v>
      </c>
      <c r="B151" s="137">
        <v>240528</v>
      </c>
      <c r="C151" s="138">
        <v>147</v>
      </c>
      <c r="D151" s="139">
        <v>45937</v>
      </c>
      <c r="E151" s="139">
        <f t="shared" si="23"/>
        <v>45936</v>
      </c>
      <c r="F151" s="139">
        <f t="shared" si="22"/>
        <v>45947</v>
      </c>
      <c r="G151" s="139">
        <v>45947</v>
      </c>
      <c r="H151" s="139">
        <v>45957</v>
      </c>
      <c r="I151" s="139" t="s">
        <v>75</v>
      </c>
      <c r="J151" s="140" t="s">
        <v>395</v>
      </c>
      <c r="K151" s="141">
        <f t="shared" si="24"/>
        <v>10</v>
      </c>
      <c r="L151" s="141">
        <v>1152090</v>
      </c>
      <c r="M151" s="140" t="s">
        <v>15</v>
      </c>
      <c r="N151" s="142">
        <v>805738</v>
      </c>
      <c r="O151" s="137" t="s">
        <v>246</v>
      </c>
      <c r="P151" s="190">
        <v>45945</v>
      </c>
      <c r="Q151" s="190">
        <v>45960</v>
      </c>
      <c r="R151" s="157" t="s">
        <v>211</v>
      </c>
      <c r="S151" s="144" t="s">
        <v>396</v>
      </c>
      <c r="T151" s="145">
        <v>1</v>
      </c>
      <c r="U151" s="137" t="s">
        <v>128</v>
      </c>
      <c r="V151" s="146">
        <v>6</v>
      </c>
      <c r="W151" s="146">
        <v>6</v>
      </c>
      <c r="X151" s="147">
        <v>0</v>
      </c>
      <c r="Y151" s="146">
        <v>0</v>
      </c>
      <c r="Z151" s="146">
        <v>0</v>
      </c>
      <c r="AA151" s="146">
        <v>0</v>
      </c>
      <c r="AB151" s="146">
        <v>0</v>
      </c>
      <c r="AC151" s="146"/>
      <c r="AD151" s="146">
        <v>0</v>
      </c>
      <c r="AE151" s="146">
        <v>0</v>
      </c>
      <c r="AF151" s="146">
        <v>0</v>
      </c>
      <c r="AG151" s="146">
        <v>0</v>
      </c>
      <c r="AH151" s="146">
        <v>0</v>
      </c>
      <c r="AI151" s="146"/>
      <c r="AJ151" s="146">
        <v>0</v>
      </c>
      <c r="AK151" s="146">
        <v>0</v>
      </c>
      <c r="AL151" s="146">
        <v>0</v>
      </c>
      <c r="AM151" s="146">
        <v>0</v>
      </c>
      <c r="AN151" s="146">
        <v>0</v>
      </c>
      <c r="AO151" s="146"/>
      <c r="AP151" s="146">
        <v>1</v>
      </c>
      <c r="AQ151" s="146">
        <v>1</v>
      </c>
      <c r="AR151" s="146">
        <v>0</v>
      </c>
      <c r="AS151" s="146">
        <v>0</v>
      </c>
      <c r="AT151" s="146">
        <v>1</v>
      </c>
      <c r="AU151" s="146">
        <v>1</v>
      </c>
      <c r="AV151" s="146">
        <v>0</v>
      </c>
      <c r="AW151" s="146">
        <v>0</v>
      </c>
      <c r="AX151" s="146">
        <f t="shared" si="25"/>
        <v>1340</v>
      </c>
      <c r="AY151" s="146">
        <f t="shared" si="20"/>
        <v>1340</v>
      </c>
      <c r="AZ151" s="140" t="s">
        <v>562</v>
      </c>
      <c r="BA151" s="140" t="s">
        <v>562</v>
      </c>
      <c r="BB151" s="140">
        <v>4</v>
      </c>
      <c r="BC151" s="148">
        <v>147</v>
      </c>
      <c r="BD151" s="149"/>
      <c r="BE151" s="145"/>
      <c r="BF151" s="150"/>
      <c r="BG151" s="151">
        <v>45931</v>
      </c>
      <c r="BH151" s="153" t="s">
        <v>535</v>
      </c>
      <c r="BI151" s="153" t="s">
        <v>562</v>
      </c>
      <c r="CC151" s="41"/>
      <c r="CD151" s="41"/>
      <c r="CE151" s="41"/>
      <c r="CF151" s="41"/>
      <c r="CG151" s="41"/>
      <c r="CH151" s="41"/>
      <c r="CI151" s="41"/>
      <c r="CJ151" s="41"/>
      <c r="CK151" s="41"/>
      <c r="CL151" s="41"/>
      <c r="CM151" s="41"/>
      <c r="CN151" s="41"/>
      <c r="CO151" s="41"/>
      <c r="CP151" s="41"/>
      <c r="CQ151" s="41"/>
      <c r="CR151" s="41"/>
      <c r="CS151" s="41"/>
      <c r="CT151" s="41"/>
      <c r="CU151" s="41"/>
      <c r="CV151" s="41"/>
      <c r="CW151" s="41"/>
      <c r="CX151" s="41"/>
      <c r="CY151" s="41"/>
      <c r="CZ151" s="41"/>
      <c r="DA151" s="41"/>
      <c r="DB151" s="41"/>
      <c r="DC151" s="41"/>
      <c r="DD151" s="41"/>
      <c r="DE151" s="41"/>
      <c r="DF151" s="41"/>
      <c r="DG151" s="41"/>
      <c r="DH151" s="41"/>
      <c r="DI151" s="41"/>
      <c r="DJ151" s="41"/>
      <c r="DK151" s="41"/>
      <c r="DL151" s="41"/>
      <c r="DM151" s="41"/>
      <c r="DN151" s="41"/>
      <c r="DO151" s="41"/>
      <c r="DP151" s="41"/>
      <c r="DQ151" s="41"/>
      <c r="DR151" s="41"/>
      <c r="DS151" s="41"/>
      <c r="DT151" s="41"/>
      <c r="DU151" s="41"/>
      <c r="DV151" s="41"/>
      <c r="DW151" s="41"/>
      <c r="DX151" s="41"/>
      <c r="DY151" s="41"/>
      <c r="DZ151" s="41"/>
      <c r="EA151" s="41"/>
      <c r="EB151" s="41"/>
      <c r="EC151" s="41"/>
      <c r="ED151" s="41"/>
      <c r="EE151" s="41"/>
      <c r="EF151" s="41"/>
      <c r="EG151" s="41"/>
      <c r="EH151" s="41"/>
      <c r="EI151" s="41"/>
      <c r="EJ151" s="41"/>
      <c r="EK151" s="41"/>
      <c r="EL151" s="41"/>
      <c r="EM151" s="41"/>
      <c r="EN151" s="41"/>
      <c r="EO151" s="41"/>
      <c r="EP151" s="41"/>
      <c r="EQ151" s="41"/>
      <c r="ER151" s="41"/>
      <c r="ES151" s="41"/>
      <c r="ET151" s="41"/>
      <c r="EU151" s="41"/>
      <c r="EV151" s="41"/>
      <c r="EW151" s="41"/>
      <c r="EX151" s="41"/>
      <c r="EY151" s="41"/>
      <c r="EZ151" s="41"/>
      <c r="FA151" s="41"/>
      <c r="FB151" s="41"/>
      <c r="FC151" s="41"/>
      <c r="FD151" s="41"/>
      <c r="FE151" s="41"/>
      <c r="FF151" s="41"/>
      <c r="FG151" s="41"/>
      <c r="FH151" s="41"/>
      <c r="FI151" s="41"/>
      <c r="FJ151" s="41"/>
      <c r="FK151" s="41"/>
      <c r="FL151" s="41"/>
      <c r="FM151" s="41"/>
      <c r="FN151" s="41"/>
      <c r="FO151" s="41"/>
      <c r="FP151" s="41"/>
      <c r="FQ151" s="41"/>
      <c r="FR151" s="41"/>
      <c r="FS151" s="41"/>
      <c r="FT151" s="41"/>
      <c r="FU151" s="41"/>
      <c r="FV151" s="41"/>
      <c r="FW151" s="41"/>
      <c r="FX151" s="41"/>
      <c r="FY151" s="41"/>
      <c r="FZ151" s="41"/>
      <c r="GA151" s="41"/>
      <c r="GB151" s="41"/>
      <c r="GC151" s="41"/>
      <c r="GD151" s="41"/>
      <c r="GE151" s="41"/>
      <c r="GF151" s="41"/>
      <c r="GG151" s="41"/>
      <c r="GH151" s="41"/>
      <c r="GI151" s="41"/>
      <c r="GJ151" s="41"/>
      <c r="GK151" s="41"/>
      <c r="GL151" s="41"/>
      <c r="GM151" s="41"/>
      <c r="GN151" s="41"/>
      <c r="GO151" s="41"/>
      <c r="GP151" s="41"/>
      <c r="GQ151" s="41"/>
      <c r="GR151" s="41"/>
      <c r="GS151" s="41"/>
      <c r="GT151" s="41"/>
      <c r="GU151" s="41"/>
      <c r="GV151" s="41"/>
      <c r="GW151" s="41"/>
      <c r="GX151" s="41"/>
      <c r="GY151" s="41"/>
      <c r="GZ151" s="41"/>
      <c r="HA151" s="41"/>
      <c r="HB151" s="41"/>
      <c r="HC151" s="41"/>
      <c r="HD151" s="41"/>
      <c r="HE151" s="41"/>
      <c r="HF151" s="41"/>
      <c r="HG151" s="41"/>
      <c r="HH151" s="41"/>
      <c r="HI151" s="41"/>
      <c r="HJ151" s="41"/>
      <c r="HK151" s="41"/>
      <c r="HL151" s="41"/>
      <c r="HM151" s="41"/>
      <c r="HN151" s="41"/>
      <c r="HO151" s="41"/>
      <c r="HP151" s="41"/>
      <c r="HQ151" s="41"/>
      <c r="HR151" s="41"/>
      <c r="HS151" s="41"/>
      <c r="HT151" s="41"/>
      <c r="HU151" s="41"/>
      <c r="HV151" s="41"/>
      <c r="HW151" s="41"/>
      <c r="HX151" s="41"/>
      <c r="HY151" s="41"/>
      <c r="HZ151" s="41"/>
      <c r="IA151" s="41"/>
      <c r="IB151" s="41"/>
      <c r="IC151" s="41"/>
      <c r="ID151" s="41"/>
      <c r="IE151" s="41"/>
      <c r="IF151" s="41"/>
      <c r="IG151" s="41"/>
      <c r="IH151" s="41"/>
      <c r="II151" s="41"/>
      <c r="IJ151" s="41"/>
      <c r="IK151" s="41"/>
      <c r="IL151" s="41"/>
      <c r="IM151" s="41"/>
      <c r="IN151" s="41"/>
      <c r="IO151" s="41"/>
      <c r="IP151" s="41"/>
      <c r="IQ151" s="41"/>
      <c r="IR151" s="41"/>
      <c r="IS151" s="41"/>
      <c r="IT151" s="41"/>
      <c r="IU151" s="41"/>
      <c r="IV151" s="41"/>
      <c r="IW151" s="41"/>
      <c r="IX151" s="41"/>
      <c r="IY151" s="41"/>
      <c r="IZ151" s="41"/>
      <c r="JA151" s="41"/>
      <c r="JB151" s="41"/>
      <c r="JC151" s="41"/>
      <c r="JD151" s="41"/>
      <c r="JE151" s="41"/>
      <c r="JF151" s="41"/>
      <c r="JG151" s="41"/>
      <c r="JH151" s="41"/>
      <c r="JI151" s="41"/>
      <c r="JJ151" s="41"/>
      <c r="JK151" s="41"/>
      <c r="JL151" s="41"/>
      <c r="JM151" s="41"/>
      <c r="JN151" s="41"/>
      <c r="JO151" s="41"/>
      <c r="JP151" s="41"/>
      <c r="JQ151" s="41"/>
      <c r="JR151" s="41"/>
      <c r="JS151" s="41"/>
      <c r="JT151" s="41"/>
      <c r="JU151" s="41"/>
      <c r="JV151" s="41"/>
      <c r="JW151" s="41"/>
      <c r="JX151" s="41"/>
      <c r="JY151" s="41"/>
      <c r="JZ151" s="41"/>
      <c r="KA151" s="41"/>
      <c r="KB151" s="41"/>
      <c r="KC151" s="41"/>
      <c r="KD151" s="41"/>
      <c r="KE151" s="41"/>
      <c r="KF151" s="41"/>
      <c r="KG151" s="41"/>
      <c r="KH151" s="41"/>
      <c r="KI151" s="41"/>
      <c r="KJ151" s="41"/>
      <c r="KK151" s="41"/>
      <c r="KL151" s="41"/>
      <c r="KM151" s="41"/>
      <c r="KN151" s="41"/>
      <c r="KO151" s="41"/>
      <c r="KP151" s="41"/>
      <c r="KQ151" s="41"/>
      <c r="KR151" s="41"/>
      <c r="KS151" s="41"/>
      <c r="KT151" s="41"/>
      <c r="KU151" s="41"/>
      <c r="KV151" s="41"/>
      <c r="KW151" s="41"/>
      <c r="KX151" s="41"/>
      <c r="KY151" s="41"/>
      <c r="KZ151" s="41"/>
      <c r="LA151" s="41"/>
      <c r="LB151" s="41"/>
      <c r="LC151" s="41"/>
      <c r="LD151" s="41"/>
      <c r="LE151" s="41"/>
      <c r="LF151" s="41"/>
      <c r="LG151" s="41"/>
      <c r="LH151" s="41"/>
      <c r="LI151" s="41"/>
      <c r="LJ151" s="41"/>
      <c r="LK151" s="41"/>
      <c r="LL151" s="41"/>
      <c r="LM151" s="41"/>
      <c r="LN151" s="41"/>
      <c r="LO151" s="41"/>
      <c r="LP151" s="41"/>
      <c r="LQ151" s="41"/>
      <c r="LR151" s="41"/>
      <c r="LS151" s="41"/>
      <c r="LT151" s="41"/>
      <c r="LU151" s="41"/>
      <c r="LV151" s="41"/>
      <c r="LW151" s="41"/>
      <c r="LX151" s="41"/>
      <c r="LY151" s="41"/>
      <c r="LZ151" s="41"/>
      <c r="MA151" s="41"/>
      <c r="MB151" s="41"/>
      <c r="MC151" s="41"/>
      <c r="MD151" s="41"/>
      <c r="ME151" s="41"/>
      <c r="MF151" s="41"/>
      <c r="MG151" s="41"/>
      <c r="MH151" s="41"/>
      <c r="MI151" s="41"/>
      <c r="MJ151" s="41"/>
      <c r="MK151" s="41"/>
      <c r="ML151" s="41"/>
      <c r="MM151" s="41"/>
      <c r="MN151" s="41"/>
      <c r="MO151" s="41"/>
      <c r="MP151" s="41"/>
      <c r="MQ151" s="41"/>
      <c r="MR151" s="41"/>
      <c r="MS151" s="41"/>
      <c r="MT151" s="41"/>
      <c r="MU151" s="41"/>
      <c r="MV151" s="41"/>
      <c r="MW151" s="41"/>
      <c r="MX151" s="41"/>
      <c r="MY151" s="41"/>
      <c r="MZ151" s="41"/>
      <c r="NA151" s="41"/>
      <c r="NB151" s="41"/>
      <c r="NC151" s="41"/>
      <c r="ND151" s="41"/>
      <c r="NE151" s="41"/>
      <c r="NF151" s="41"/>
      <c r="NG151" s="41"/>
      <c r="NH151" s="41"/>
      <c r="NI151" s="41"/>
      <c r="NJ151" s="41"/>
      <c r="NK151" s="41"/>
      <c r="NL151" s="41"/>
      <c r="NM151" s="41"/>
      <c r="NN151" s="41"/>
      <c r="NO151" s="41"/>
      <c r="NP151" s="41"/>
      <c r="NQ151" s="41"/>
      <c r="NR151" s="41"/>
      <c r="NS151" s="41"/>
      <c r="NT151" s="41"/>
      <c r="NU151" s="41"/>
      <c r="NV151" s="41"/>
      <c r="NW151" s="41"/>
      <c r="NX151" s="41"/>
      <c r="NY151" s="41"/>
      <c r="NZ151" s="41"/>
      <c r="OA151" s="41"/>
      <c r="OB151" s="41"/>
      <c r="OC151" s="41"/>
      <c r="OD151" s="41"/>
      <c r="OE151" s="41"/>
      <c r="OF151" s="41"/>
      <c r="OG151" s="41"/>
      <c r="OH151" s="41"/>
      <c r="OI151" s="41"/>
      <c r="OJ151" s="41"/>
      <c r="OK151" s="41"/>
      <c r="OL151" s="41"/>
      <c r="OM151" s="41"/>
      <c r="ON151" s="41"/>
      <c r="OO151" s="41"/>
      <c r="OP151" s="41"/>
      <c r="OQ151" s="41"/>
      <c r="OR151" s="41"/>
      <c r="OS151" s="41"/>
      <c r="OT151" s="41"/>
      <c r="OU151" s="41"/>
      <c r="OV151" s="41"/>
      <c r="OW151" s="41"/>
      <c r="OX151" s="41"/>
      <c r="OY151" s="41"/>
      <c r="OZ151" s="41"/>
      <c r="PA151" s="41"/>
      <c r="PB151" s="41"/>
      <c r="PC151" s="41"/>
      <c r="PD151" s="41"/>
      <c r="PE151" s="41"/>
      <c r="PF151" s="41"/>
      <c r="PG151" s="41"/>
      <c r="PH151" s="41"/>
      <c r="PI151" s="41"/>
      <c r="PJ151" s="41"/>
      <c r="PK151" s="41"/>
      <c r="PL151" s="41"/>
      <c r="PM151" s="41"/>
      <c r="PN151" s="41"/>
      <c r="PO151" s="41"/>
      <c r="PP151" s="41"/>
      <c r="PQ151" s="41"/>
      <c r="PR151" s="41"/>
      <c r="PS151" s="41"/>
      <c r="PT151" s="41"/>
      <c r="PU151" s="41"/>
      <c r="PV151" s="41"/>
      <c r="PW151" s="41"/>
      <c r="PX151" s="41"/>
      <c r="PY151" s="41"/>
      <c r="PZ151" s="41"/>
      <c r="QA151" s="41"/>
      <c r="QB151" s="41"/>
      <c r="QC151" s="41"/>
      <c r="QD151" s="41"/>
      <c r="QE151" s="41"/>
      <c r="QF151" s="41"/>
      <c r="QG151" s="41"/>
      <c r="QH151" s="41"/>
      <c r="QI151" s="41"/>
      <c r="QJ151" s="41"/>
      <c r="QK151" s="41"/>
      <c r="QL151" s="41"/>
      <c r="QM151" s="41"/>
      <c r="QN151" s="41"/>
      <c r="QO151" s="41"/>
      <c r="QP151" s="41"/>
      <c r="QQ151" s="41"/>
      <c r="QR151" s="41"/>
      <c r="QS151" s="41"/>
      <c r="QT151" s="41"/>
      <c r="QU151" s="41"/>
      <c r="QV151" s="41"/>
      <c r="QW151" s="41"/>
      <c r="QX151" s="41"/>
      <c r="QY151" s="41"/>
      <c r="QZ151" s="41"/>
      <c r="RA151" s="41"/>
      <c r="RB151" s="41"/>
      <c r="RC151" s="41"/>
      <c r="RD151" s="41"/>
      <c r="RE151" s="41"/>
      <c r="RF151" s="41"/>
      <c r="RG151" s="41"/>
      <c r="RH151" s="41"/>
      <c r="RI151" s="41"/>
      <c r="RJ151" s="41"/>
      <c r="RK151" s="41"/>
      <c r="RL151" s="41"/>
      <c r="RM151" s="41"/>
      <c r="RN151" s="41"/>
      <c r="RO151" s="41"/>
      <c r="RP151" s="41"/>
      <c r="RQ151" s="41"/>
      <c r="RR151" s="41"/>
      <c r="RS151" s="41"/>
      <c r="RT151" s="41"/>
      <c r="RU151" s="41"/>
      <c r="RV151" s="41"/>
      <c r="RW151" s="41"/>
      <c r="RX151" s="41"/>
      <c r="RY151" s="41"/>
      <c r="RZ151" s="41"/>
      <c r="SA151" s="41"/>
      <c r="SB151" s="41"/>
      <c r="SC151" s="41"/>
      <c r="SD151" s="41"/>
      <c r="SE151" s="41"/>
      <c r="SF151" s="41"/>
      <c r="SG151" s="41"/>
      <c r="SH151" s="41"/>
      <c r="SI151" s="41"/>
      <c r="SJ151" s="41"/>
      <c r="SK151" s="41"/>
      <c r="SL151" s="41"/>
      <c r="SM151" s="41"/>
      <c r="SN151" s="41"/>
      <c r="SO151" s="41"/>
      <c r="SP151" s="41"/>
      <c r="SQ151" s="41"/>
      <c r="SR151" s="41"/>
      <c r="SS151" s="41"/>
      <c r="ST151" s="41"/>
      <c r="SU151" s="41"/>
      <c r="SV151" s="41"/>
      <c r="SW151" s="41"/>
      <c r="SX151" s="41"/>
      <c r="SY151" s="41"/>
      <c r="SZ151" s="41"/>
      <c r="TA151" s="41"/>
      <c r="TB151" s="41"/>
      <c r="TC151" s="41"/>
      <c r="TD151" s="41"/>
      <c r="TE151" s="41"/>
      <c r="TF151" s="41"/>
      <c r="TG151" s="41"/>
      <c r="TH151" s="41"/>
      <c r="TI151" s="41"/>
      <c r="TJ151" s="41"/>
      <c r="TK151" s="41"/>
      <c r="TL151" s="41"/>
      <c r="TM151" s="41"/>
      <c r="TN151" s="41"/>
      <c r="TO151" s="41"/>
      <c r="TP151" s="41"/>
      <c r="TQ151" s="41"/>
      <c r="TR151" s="41"/>
      <c r="TS151" s="41"/>
      <c r="TT151" s="41"/>
      <c r="TU151" s="41"/>
      <c r="TV151" s="41"/>
      <c r="TW151" s="41"/>
      <c r="TX151" s="41"/>
      <c r="TY151" s="41"/>
      <c r="TZ151" s="41"/>
      <c r="UA151" s="41"/>
      <c r="UB151" s="41"/>
      <c r="UC151" s="41"/>
      <c r="UD151" s="41"/>
      <c r="UE151" s="41"/>
      <c r="UF151" s="41"/>
      <c r="UG151" s="41"/>
      <c r="UH151" s="41"/>
      <c r="UI151" s="41"/>
      <c r="UJ151" s="41"/>
      <c r="UK151" s="41"/>
      <c r="UL151" s="41"/>
      <c r="UM151" s="41"/>
      <c r="UN151" s="41"/>
      <c r="UO151" s="41"/>
      <c r="UP151" s="41"/>
      <c r="UQ151" s="41"/>
      <c r="UR151" s="41"/>
      <c r="US151" s="41"/>
      <c r="UT151" s="41"/>
      <c r="UU151" s="41"/>
      <c r="UV151" s="41"/>
      <c r="UW151" s="41"/>
      <c r="UX151" s="41"/>
      <c r="UY151" s="41"/>
      <c r="UZ151" s="41"/>
      <c r="VA151" s="41"/>
      <c r="VB151" s="41"/>
      <c r="VC151" s="41"/>
      <c r="VD151" s="41"/>
      <c r="VE151" s="41"/>
      <c r="VF151" s="41"/>
      <c r="VG151" s="41"/>
      <c r="VH151" s="41"/>
      <c r="VI151" s="41"/>
      <c r="VJ151" s="41"/>
      <c r="VK151" s="41"/>
      <c r="VL151" s="41"/>
      <c r="VM151" s="41"/>
      <c r="VN151" s="41"/>
      <c r="VO151" s="41"/>
      <c r="VP151" s="41"/>
      <c r="VQ151" s="41"/>
      <c r="VR151" s="41"/>
      <c r="VS151" s="41"/>
      <c r="VT151" s="41"/>
      <c r="VU151" s="41"/>
      <c r="VV151" s="41"/>
      <c r="VW151" s="41"/>
      <c r="VX151" s="41"/>
      <c r="VY151" s="41"/>
      <c r="VZ151" s="41"/>
      <c r="WA151" s="41"/>
      <c r="WB151" s="41"/>
      <c r="WC151" s="41"/>
      <c r="WD151" s="41"/>
      <c r="WE151" s="41"/>
      <c r="WF151" s="41"/>
      <c r="WG151" s="41"/>
      <c r="WH151" s="41"/>
      <c r="WI151" s="41"/>
      <c r="WJ151" s="41"/>
      <c r="WK151" s="41"/>
      <c r="WL151" s="41"/>
      <c r="WM151" s="41"/>
      <c r="WN151" s="41"/>
      <c r="WO151" s="41"/>
      <c r="WP151" s="41"/>
      <c r="WQ151" s="41"/>
      <c r="WR151" s="41"/>
      <c r="WS151" s="41"/>
      <c r="WT151" s="41"/>
      <c r="WU151" s="41"/>
      <c r="WV151" s="41"/>
      <c r="WW151" s="41"/>
      <c r="WX151" s="41"/>
      <c r="WY151" s="41"/>
      <c r="WZ151" s="41"/>
      <c r="XA151" s="41"/>
      <c r="XB151" s="41"/>
      <c r="XC151" s="41"/>
      <c r="XD151" s="41"/>
      <c r="XE151" s="41"/>
      <c r="XF151" s="41"/>
      <c r="XG151" s="41"/>
      <c r="XH151" s="41"/>
      <c r="XI151" s="41"/>
      <c r="XJ151" s="41"/>
      <c r="XK151" s="41"/>
      <c r="XL151" s="41"/>
      <c r="XM151" s="41"/>
      <c r="XN151" s="41"/>
      <c r="XO151" s="41"/>
      <c r="XP151" s="41"/>
      <c r="XQ151" s="41"/>
      <c r="XR151" s="41"/>
      <c r="XS151" s="41"/>
      <c r="XT151" s="41"/>
      <c r="XU151" s="41"/>
      <c r="XV151" s="41"/>
      <c r="XW151" s="41"/>
      <c r="XX151" s="41"/>
      <c r="XY151" s="41"/>
      <c r="XZ151" s="41"/>
      <c r="YA151" s="41"/>
      <c r="YB151" s="41"/>
      <c r="YC151" s="41"/>
      <c r="YD151" s="41"/>
      <c r="YE151" s="41"/>
      <c r="YF151" s="41"/>
      <c r="YG151" s="41"/>
      <c r="YH151" s="41"/>
      <c r="YI151" s="41"/>
      <c r="YJ151" s="41"/>
      <c r="YK151" s="41"/>
      <c r="YL151" s="41"/>
      <c r="YM151" s="41"/>
      <c r="YN151" s="41"/>
      <c r="YO151" s="41"/>
      <c r="YP151" s="41"/>
      <c r="YQ151" s="41"/>
      <c r="YR151" s="41"/>
      <c r="YS151" s="41"/>
      <c r="YT151" s="41"/>
      <c r="YU151" s="41"/>
      <c r="YV151" s="41"/>
      <c r="YW151" s="41"/>
      <c r="YX151" s="41"/>
      <c r="YY151" s="41"/>
      <c r="YZ151" s="41"/>
      <c r="ZA151" s="41"/>
      <c r="ZB151" s="41"/>
      <c r="ZC151" s="41"/>
      <c r="ZD151" s="41"/>
      <c r="ZE151" s="41"/>
      <c r="ZF151" s="41"/>
      <c r="ZG151" s="41"/>
      <c r="ZH151" s="41"/>
      <c r="ZI151" s="41"/>
      <c r="ZJ151" s="41"/>
      <c r="ZK151" s="41"/>
      <c r="ZL151" s="41"/>
      <c r="ZM151" s="41"/>
      <c r="ZN151" s="41"/>
      <c r="ZO151" s="41"/>
      <c r="ZP151" s="41"/>
      <c r="ZQ151" s="41"/>
      <c r="ZR151" s="41"/>
      <c r="ZS151" s="41"/>
      <c r="ZT151" s="41"/>
      <c r="ZU151" s="41"/>
      <c r="ZV151" s="41"/>
      <c r="ZW151" s="41"/>
      <c r="ZX151" s="41"/>
      <c r="ZY151" s="41"/>
      <c r="ZZ151" s="41"/>
      <c r="AAA151" s="41"/>
      <c r="AAB151" s="41"/>
      <c r="AAC151" s="41"/>
    </row>
    <row r="152" spans="1:705" s="42" customFormat="1" ht="44.1" hidden="1" customHeight="1" x14ac:dyDescent="0.3">
      <c r="A152" s="26">
        <v>148</v>
      </c>
      <c r="B152" s="137">
        <v>240580</v>
      </c>
      <c r="C152" s="138">
        <v>148</v>
      </c>
      <c r="D152" s="139">
        <v>45937</v>
      </c>
      <c r="E152" s="139">
        <f t="shared" si="23"/>
        <v>45936</v>
      </c>
      <c r="F152" s="139">
        <f t="shared" si="22"/>
        <v>45947</v>
      </c>
      <c r="G152" s="139">
        <v>45948</v>
      </c>
      <c r="H152" s="139">
        <v>45958</v>
      </c>
      <c r="I152" s="139" t="s">
        <v>75</v>
      </c>
      <c r="J152" s="140" t="s">
        <v>397</v>
      </c>
      <c r="K152" s="141">
        <f t="shared" si="24"/>
        <v>11</v>
      </c>
      <c r="L152" s="141">
        <v>1152474</v>
      </c>
      <c r="M152" s="140" t="s">
        <v>15</v>
      </c>
      <c r="N152" s="142">
        <v>805583</v>
      </c>
      <c r="O152" s="137" t="s">
        <v>246</v>
      </c>
      <c r="P152" s="190">
        <v>45943</v>
      </c>
      <c r="Q152" s="190">
        <v>45958</v>
      </c>
      <c r="R152" s="157" t="s">
        <v>211</v>
      </c>
      <c r="S152" s="144" t="s">
        <v>398</v>
      </c>
      <c r="T152" s="145">
        <v>1</v>
      </c>
      <c r="U152" s="137" t="s">
        <v>82</v>
      </c>
      <c r="V152" s="146">
        <v>16</v>
      </c>
      <c r="W152" s="146">
        <v>16</v>
      </c>
      <c r="X152" s="147">
        <v>0</v>
      </c>
      <c r="Y152" s="146">
        <v>0</v>
      </c>
      <c r="Z152" s="146">
        <v>0</v>
      </c>
      <c r="AA152" s="146">
        <v>0</v>
      </c>
      <c r="AB152" s="146">
        <v>6</v>
      </c>
      <c r="AC152" s="146">
        <v>6</v>
      </c>
      <c r="AD152" s="146">
        <v>0</v>
      </c>
      <c r="AE152" s="146">
        <v>0</v>
      </c>
      <c r="AF152" s="146">
        <v>0</v>
      </c>
      <c r="AG152" s="146">
        <v>0</v>
      </c>
      <c r="AH152" s="146">
        <v>1</v>
      </c>
      <c r="AI152" s="146">
        <v>1</v>
      </c>
      <c r="AJ152" s="146">
        <v>0</v>
      </c>
      <c r="AK152" s="146">
        <v>0</v>
      </c>
      <c r="AL152" s="146">
        <v>2</v>
      </c>
      <c r="AM152" s="146">
        <v>2</v>
      </c>
      <c r="AN152" s="146">
        <v>1</v>
      </c>
      <c r="AO152" s="146">
        <v>1</v>
      </c>
      <c r="AP152" s="146">
        <v>1</v>
      </c>
      <c r="AQ152" s="146">
        <v>1</v>
      </c>
      <c r="AR152" s="146">
        <v>0</v>
      </c>
      <c r="AS152" s="146">
        <v>0</v>
      </c>
      <c r="AT152" s="146">
        <v>1</v>
      </c>
      <c r="AU152" s="146">
        <v>1</v>
      </c>
      <c r="AV152" s="146">
        <v>0</v>
      </c>
      <c r="AW152" s="146">
        <v>0</v>
      </c>
      <c r="AX152" s="146">
        <f t="shared" si="25"/>
        <v>3692</v>
      </c>
      <c r="AY152" s="146">
        <f t="shared" si="20"/>
        <v>3692</v>
      </c>
      <c r="AZ152" s="140" t="s">
        <v>562</v>
      </c>
      <c r="BA152" s="140" t="s">
        <v>562</v>
      </c>
      <c r="BB152" s="140">
        <v>3</v>
      </c>
      <c r="BC152" s="148">
        <v>148</v>
      </c>
      <c r="BD152" s="149"/>
      <c r="BE152" s="145"/>
      <c r="BF152" s="150"/>
      <c r="BG152" s="151">
        <v>45931</v>
      </c>
      <c r="BH152" s="153" t="s">
        <v>535</v>
      </c>
      <c r="BI152" s="153" t="s">
        <v>562</v>
      </c>
      <c r="CC152" s="41"/>
      <c r="CD152" s="41"/>
      <c r="CE152" s="41"/>
      <c r="CF152" s="41"/>
      <c r="CG152" s="41"/>
      <c r="CH152" s="41"/>
      <c r="CI152" s="41"/>
      <c r="CJ152" s="41"/>
      <c r="CK152" s="41"/>
      <c r="CL152" s="41"/>
      <c r="CM152" s="41"/>
      <c r="CN152" s="41"/>
      <c r="CO152" s="41"/>
      <c r="CP152" s="41"/>
      <c r="CQ152" s="41"/>
      <c r="CR152" s="41"/>
      <c r="CS152" s="41"/>
      <c r="CT152" s="41"/>
      <c r="CU152" s="41"/>
      <c r="CV152" s="41"/>
      <c r="CW152" s="41"/>
      <c r="CX152" s="41"/>
      <c r="CY152" s="41"/>
      <c r="CZ152" s="41"/>
      <c r="DA152" s="41"/>
      <c r="DB152" s="41"/>
      <c r="DC152" s="41"/>
      <c r="DD152" s="41"/>
      <c r="DE152" s="41"/>
      <c r="DF152" s="41"/>
      <c r="DG152" s="41"/>
      <c r="DH152" s="41"/>
      <c r="DI152" s="41"/>
      <c r="DJ152" s="41"/>
      <c r="DK152" s="41"/>
      <c r="DL152" s="41"/>
      <c r="DM152" s="41"/>
      <c r="DN152" s="41"/>
      <c r="DO152" s="41"/>
      <c r="DP152" s="41"/>
      <c r="DQ152" s="41"/>
      <c r="DR152" s="41"/>
      <c r="DS152" s="41"/>
      <c r="DT152" s="41"/>
      <c r="DU152" s="41"/>
      <c r="DV152" s="41"/>
      <c r="DW152" s="41"/>
      <c r="DX152" s="41"/>
      <c r="DY152" s="41"/>
      <c r="DZ152" s="41"/>
      <c r="EA152" s="41"/>
      <c r="EB152" s="41"/>
      <c r="EC152" s="41"/>
      <c r="ED152" s="41"/>
      <c r="EE152" s="41"/>
      <c r="EF152" s="41"/>
      <c r="EG152" s="41"/>
      <c r="EH152" s="41"/>
      <c r="EI152" s="41"/>
      <c r="EJ152" s="41"/>
      <c r="EK152" s="41"/>
      <c r="EL152" s="41"/>
      <c r="EM152" s="41"/>
      <c r="EN152" s="41"/>
      <c r="EO152" s="41"/>
      <c r="EP152" s="41"/>
      <c r="EQ152" s="41"/>
      <c r="ER152" s="41"/>
      <c r="ES152" s="41"/>
      <c r="ET152" s="41"/>
      <c r="EU152" s="41"/>
      <c r="EV152" s="41"/>
      <c r="EW152" s="41"/>
      <c r="EX152" s="41"/>
      <c r="EY152" s="41"/>
      <c r="EZ152" s="41"/>
      <c r="FA152" s="41"/>
      <c r="FB152" s="41"/>
      <c r="FC152" s="41"/>
      <c r="FD152" s="41"/>
      <c r="FE152" s="41"/>
      <c r="FF152" s="41"/>
      <c r="FG152" s="41"/>
      <c r="FH152" s="41"/>
      <c r="FI152" s="41"/>
      <c r="FJ152" s="41"/>
      <c r="FK152" s="41"/>
      <c r="FL152" s="41"/>
      <c r="FM152" s="41"/>
      <c r="FN152" s="41"/>
      <c r="FO152" s="41"/>
      <c r="FP152" s="41"/>
      <c r="FQ152" s="41"/>
      <c r="FR152" s="41"/>
      <c r="FS152" s="41"/>
      <c r="FT152" s="41"/>
      <c r="FU152" s="41"/>
      <c r="FV152" s="41"/>
      <c r="FW152" s="41"/>
      <c r="FX152" s="41"/>
      <c r="FY152" s="41"/>
      <c r="FZ152" s="41"/>
      <c r="GA152" s="41"/>
      <c r="GB152" s="41"/>
      <c r="GC152" s="41"/>
      <c r="GD152" s="41"/>
      <c r="GE152" s="41"/>
      <c r="GF152" s="41"/>
      <c r="GG152" s="41"/>
      <c r="GH152" s="41"/>
      <c r="GI152" s="41"/>
      <c r="GJ152" s="41"/>
      <c r="GK152" s="41"/>
      <c r="GL152" s="41"/>
      <c r="GM152" s="41"/>
      <c r="GN152" s="41"/>
      <c r="GO152" s="41"/>
      <c r="GP152" s="41"/>
      <c r="GQ152" s="41"/>
      <c r="GR152" s="41"/>
      <c r="GS152" s="41"/>
      <c r="GT152" s="41"/>
      <c r="GU152" s="41"/>
      <c r="GV152" s="41"/>
      <c r="GW152" s="41"/>
      <c r="GX152" s="41"/>
      <c r="GY152" s="41"/>
      <c r="GZ152" s="41"/>
      <c r="HA152" s="41"/>
      <c r="HB152" s="41"/>
      <c r="HC152" s="41"/>
      <c r="HD152" s="41"/>
      <c r="HE152" s="41"/>
      <c r="HF152" s="41"/>
      <c r="HG152" s="41"/>
      <c r="HH152" s="41"/>
      <c r="HI152" s="41"/>
      <c r="HJ152" s="41"/>
      <c r="HK152" s="41"/>
      <c r="HL152" s="41"/>
      <c r="HM152" s="41"/>
      <c r="HN152" s="41"/>
      <c r="HO152" s="41"/>
      <c r="HP152" s="41"/>
      <c r="HQ152" s="41"/>
      <c r="HR152" s="41"/>
      <c r="HS152" s="41"/>
      <c r="HT152" s="41"/>
      <c r="HU152" s="41"/>
      <c r="HV152" s="41"/>
      <c r="HW152" s="41"/>
      <c r="HX152" s="41"/>
      <c r="HY152" s="41"/>
      <c r="HZ152" s="41"/>
      <c r="IA152" s="41"/>
      <c r="IB152" s="41"/>
      <c r="IC152" s="41"/>
      <c r="ID152" s="41"/>
      <c r="IE152" s="41"/>
      <c r="IF152" s="41"/>
      <c r="IG152" s="41"/>
      <c r="IH152" s="41"/>
      <c r="II152" s="41"/>
      <c r="IJ152" s="41"/>
      <c r="IK152" s="41"/>
      <c r="IL152" s="41"/>
      <c r="IM152" s="41"/>
      <c r="IN152" s="41"/>
      <c r="IO152" s="41"/>
      <c r="IP152" s="41"/>
      <c r="IQ152" s="41"/>
      <c r="IR152" s="41"/>
      <c r="IS152" s="41"/>
      <c r="IT152" s="41"/>
      <c r="IU152" s="41"/>
      <c r="IV152" s="41"/>
      <c r="IW152" s="41"/>
      <c r="IX152" s="41"/>
      <c r="IY152" s="41"/>
      <c r="IZ152" s="41"/>
      <c r="JA152" s="41"/>
      <c r="JB152" s="41"/>
      <c r="JC152" s="41"/>
      <c r="JD152" s="41"/>
      <c r="JE152" s="41"/>
      <c r="JF152" s="41"/>
      <c r="JG152" s="41"/>
      <c r="JH152" s="41"/>
      <c r="JI152" s="41"/>
      <c r="JJ152" s="41"/>
      <c r="JK152" s="41"/>
      <c r="JL152" s="41"/>
      <c r="JM152" s="41"/>
      <c r="JN152" s="41"/>
      <c r="JO152" s="41"/>
      <c r="JP152" s="41"/>
      <c r="JQ152" s="41"/>
      <c r="JR152" s="41"/>
      <c r="JS152" s="41"/>
      <c r="JT152" s="41"/>
      <c r="JU152" s="41"/>
      <c r="JV152" s="41"/>
      <c r="JW152" s="41"/>
      <c r="JX152" s="41"/>
      <c r="JY152" s="41"/>
      <c r="JZ152" s="41"/>
      <c r="KA152" s="41"/>
      <c r="KB152" s="41"/>
      <c r="KC152" s="41"/>
      <c r="KD152" s="41"/>
      <c r="KE152" s="41"/>
      <c r="KF152" s="41"/>
      <c r="KG152" s="41"/>
      <c r="KH152" s="41"/>
      <c r="KI152" s="41"/>
      <c r="KJ152" s="41"/>
      <c r="KK152" s="41"/>
      <c r="KL152" s="41"/>
      <c r="KM152" s="41"/>
      <c r="KN152" s="41"/>
      <c r="KO152" s="41"/>
      <c r="KP152" s="41"/>
      <c r="KQ152" s="41"/>
      <c r="KR152" s="41"/>
      <c r="KS152" s="41"/>
      <c r="KT152" s="41"/>
      <c r="KU152" s="41"/>
      <c r="KV152" s="41"/>
      <c r="KW152" s="41"/>
      <c r="KX152" s="41"/>
      <c r="KY152" s="41"/>
      <c r="KZ152" s="41"/>
      <c r="LA152" s="41"/>
      <c r="LB152" s="41"/>
      <c r="LC152" s="41"/>
      <c r="LD152" s="41"/>
      <c r="LE152" s="41"/>
      <c r="LF152" s="41"/>
      <c r="LG152" s="41"/>
      <c r="LH152" s="41"/>
      <c r="LI152" s="41"/>
      <c r="LJ152" s="41"/>
      <c r="LK152" s="41"/>
      <c r="LL152" s="41"/>
      <c r="LM152" s="41"/>
      <c r="LN152" s="41"/>
      <c r="LO152" s="41"/>
      <c r="LP152" s="41"/>
      <c r="LQ152" s="41"/>
      <c r="LR152" s="41"/>
      <c r="LS152" s="41"/>
      <c r="LT152" s="41"/>
      <c r="LU152" s="41"/>
      <c r="LV152" s="41"/>
      <c r="LW152" s="41"/>
      <c r="LX152" s="41"/>
      <c r="LY152" s="41"/>
      <c r="LZ152" s="41"/>
      <c r="MA152" s="41"/>
      <c r="MB152" s="41"/>
      <c r="MC152" s="41"/>
      <c r="MD152" s="41"/>
      <c r="ME152" s="41"/>
      <c r="MF152" s="41"/>
      <c r="MG152" s="41"/>
      <c r="MH152" s="41"/>
      <c r="MI152" s="41"/>
      <c r="MJ152" s="41"/>
      <c r="MK152" s="41"/>
      <c r="ML152" s="41"/>
      <c r="MM152" s="41"/>
      <c r="MN152" s="41"/>
      <c r="MO152" s="41"/>
      <c r="MP152" s="41"/>
      <c r="MQ152" s="41"/>
      <c r="MR152" s="41"/>
      <c r="MS152" s="41"/>
      <c r="MT152" s="41"/>
      <c r="MU152" s="41"/>
      <c r="MV152" s="41"/>
      <c r="MW152" s="41"/>
      <c r="MX152" s="41"/>
      <c r="MY152" s="41"/>
      <c r="MZ152" s="41"/>
      <c r="NA152" s="41"/>
      <c r="NB152" s="41"/>
      <c r="NC152" s="41"/>
      <c r="ND152" s="41"/>
      <c r="NE152" s="41"/>
      <c r="NF152" s="41"/>
      <c r="NG152" s="41"/>
      <c r="NH152" s="41"/>
      <c r="NI152" s="41"/>
      <c r="NJ152" s="41"/>
      <c r="NK152" s="41"/>
      <c r="NL152" s="41"/>
      <c r="NM152" s="41"/>
      <c r="NN152" s="41"/>
      <c r="NO152" s="41"/>
      <c r="NP152" s="41"/>
      <c r="NQ152" s="41"/>
      <c r="NR152" s="41"/>
      <c r="NS152" s="41"/>
      <c r="NT152" s="41"/>
      <c r="NU152" s="41"/>
      <c r="NV152" s="41"/>
      <c r="NW152" s="41"/>
      <c r="NX152" s="41"/>
      <c r="NY152" s="41"/>
      <c r="NZ152" s="41"/>
      <c r="OA152" s="41"/>
      <c r="OB152" s="41"/>
      <c r="OC152" s="41"/>
      <c r="OD152" s="41"/>
      <c r="OE152" s="41"/>
      <c r="OF152" s="41"/>
      <c r="OG152" s="41"/>
      <c r="OH152" s="41"/>
      <c r="OI152" s="41"/>
      <c r="OJ152" s="41"/>
      <c r="OK152" s="41"/>
      <c r="OL152" s="41"/>
      <c r="OM152" s="41"/>
      <c r="ON152" s="41"/>
      <c r="OO152" s="41"/>
      <c r="OP152" s="41"/>
      <c r="OQ152" s="41"/>
      <c r="OR152" s="41"/>
      <c r="OS152" s="41"/>
      <c r="OT152" s="41"/>
      <c r="OU152" s="41"/>
      <c r="OV152" s="41"/>
      <c r="OW152" s="41"/>
      <c r="OX152" s="41"/>
      <c r="OY152" s="41"/>
      <c r="OZ152" s="41"/>
      <c r="PA152" s="41"/>
      <c r="PB152" s="41"/>
      <c r="PC152" s="41"/>
      <c r="PD152" s="41"/>
      <c r="PE152" s="41"/>
      <c r="PF152" s="41"/>
      <c r="PG152" s="41"/>
      <c r="PH152" s="41"/>
      <c r="PI152" s="41"/>
      <c r="PJ152" s="41"/>
      <c r="PK152" s="41"/>
      <c r="PL152" s="41"/>
      <c r="PM152" s="41"/>
      <c r="PN152" s="41"/>
      <c r="PO152" s="41"/>
      <c r="PP152" s="41"/>
      <c r="PQ152" s="41"/>
      <c r="PR152" s="41"/>
      <c r="PS152" s="41"/>
      <c r="PT152" s="41"/>
      <c r="PU152" s="41"/>
      <c r="PV152" s="41"/>
      <c r="PW152" s="41"/>
      <c r="PX152" s="41"/>
      <c r="PY152" s="41"/>
      <c r="PZ152" s="41"/>
      <c r="QA152" s="41"/>
      <c r="QB152" s="41"/>
      <c r="QC152" s="41"/>
      <c r="QD152" s="41"/>
      <c r="QE152" s="41"/>
      <c r="QF152" s="41"/>
      <c r="QG152" s="41"/>
      <c r="QH152" s="41"/>
      <c r="QI152" s="41"/>
      <c r="QJ152" s="41"/>
      <c r="QK152" s="41"/>
      <c r="QL152" s="41"/>
      <c r="QM152" s="41"/>
      <c r="QN152" s="41"/>
      <c r="QO152" s="41"/>
      <c r="QP152" s="41"/>
      <c r="QQ152" s="41"/>
      <c r="QR152" s="41"/>
      <c r="QS152" s="41"/>
      <c r="QT152" s="41"/>
      <c r="QU152" s="41"/>
      <c r="QV152" s="41"/>
      <c r="QW152" s="41"/>
      <c r="QX152" s="41"/>
      <c r="QY152" s="41"/>
      <c r="QZ152" s="41"/>
      <c r="RA152" s="41"/>
      <c r="RB152" s="41"/>
      <c r="RC152" s="41"/>
      <c r="RD152" s="41"/>
      <c r="RE152" s="41"/>
      <c r="RF152" s="41"/>
      <c r="RG152" s="41"/>
      <c r="RH152" s="41"/>
      <c r="RI152" s="41"/>
      <c r="RJ152" s="41"/>
      <c r="RK152" s="41"/>
      <c r="RL152" s="41"/>
      <c r="RM152" s="41"/>
      <c r="RN152" s="41"/>
      <c r="RO152" s="41"/>
      <c r="RP152" s="41"/>
      <c r="RQ152" s="41"/>
      <c r="RR152" s="41"/>
      <c r="RS152" s="41"/>
      <c r="RT152" s="41"/>
      <c r="RU152" s="41"/>
      <c r="RV152" s="41"/>
      <c r="RW152" s="41"/>
      <c r="RX152" s="41"/>
      <c r="RY152" s="41"/>
      <c r="RZ152" s="41"/>
      <c r="SA152" s="41"/>
      <c r="SB152" s="41"/>
      <c r="SC152" s="41"/>
      <c r="SD152" s="41"/>
      <c r="SE152" s="41"/>
      <c r="SF152" s="41"/>
      <c r="SG152" s="41"/>
      <c r="SH152" s="41"/>
      <c r="SI152" s="41"/>
      <c r="SJ152" s="41"/>
      <c r="SK152" s="41"/>
      <c r="SL152" s="41"/>
      <c r="SM152" s="41"/>
      <c r="SN152" s="41"/>
      <c r="SO152" s="41"/>
      <c r="SP152" s="41"/>
      <c r="SQ152" s="41"/>
      <c r="SR152" s="41"/>
      <c r="SS152" s="41"/>
      <c r="ST152" s="41"/>
      <c r="SU152" s="41"/>
      <c r="SV152" s="41"/>
      <c r="SW152" s="41"/>
      <c r="SX152" s="41"/>
      <c r="SY152" s="41"/>
      <c r="SZ152" s="41"/>
      <c r="TA152" s="41"/>
      <c r="TB152" s="41"/>
      <c r="TC152" s="41"/>
      <c r="TD152" s="41"/>
      <c r="TE152" s="41"/>
      <c r="TF152" s="41"/>
      <c r="TG152" s="41"/>
      <c r="TH152" s="41"/>
      <c r="TI152" s="41"/>
      <c r="TJ152" s="41"/>
      <c r="TK152" s="41"/>
      <c r="TL152" s="41"/>
      <c r="TM152" s="41"/>
      <c r="TN152" s="41"/>
      <c r="TO152" s="41"/>
      <c r="TP152" s="41"/>
      <c r="TQ152" s="41"/>
      <c r="TR152" s="41"/>
      <c r="TS152" s="41"/>
      <c r="TT152" s="41"/>
      <c r="TU152" s="41"/>
      <c r="TV152" s="41"/>
      <c r="TW152" s="41"/>
      <c r="TX152" s="41"/>
      <c r="TY152" s="41"/>
      <c r="TZ152" s="41"/>
      <c r="UA152" s="41"/>
      <c r="UB152" s="41"/>
      <c r="UC152" s="41"/>
      <c r="UD152" s="41"/>
      <c r="UE152" s="41"/>
      <c r="UF152" s="41"/>
      <c r="UG152" s="41"/>
      <c r="UH152" s="41"/>
      <c r="UI152" s="41"/>
      <c r="UJ152" s="41"/>
      <c r="UK152" s="41"/>
      <c r="UL152" s="41"/>
      <c r="UM152" s="41"/>
      <c r="UN152" s="41"/>
      <c r="UO152" s="41"/>
      <c r="UP152" s="41"/>
      <c r="UQ152" s="41"/>
      <c r="UR152" s="41"/>
      <c r="US152" s="41"/>
      <c r="UT152" s="41"/>
      <c r="UU152" s="41"/>
      <c r="UV152" s="41"/>
      <c r="UW152" s="41"/>
      <c r="UX152" s="41"/>
      <c r="UY152" s="41"/>
      <c r="UZ152" s="41"/>
      <c r="VA152" s="41"/>
      <c r="VB152" s="41"/>
      <c r="VC152" s="41"/>
      <c r="VD152" s="41"/>
      <c r="VE152" s="41"/>
      <c r="VF152" s="41"/>
      <c r="VG152" s="41"/>
      <c r="VH152" s="41"/>
      <c r="VI152" s="41"/>
      <c r="VJ152" s="41"/>
      <c r="VK152" s="41"/>
      <c r="VL152" s="41"/>
      <c r="VM152" s="41"/>
      <c r="VN152" s="41"/>
      <c r="VO152" s="41"/>
      <c r="VP152" s="41"/>
      <c r="VQ152" s="41"/>
      <c r="VR152" s="41"/>
      <c r="VS152" s="41"/>
      <c r="VT152" s="41"/>
      <c r="VU152" s="41"/>
      <c r="VV152" s="41"/>
      <c r="VW152" s="41"/>
      <c r="VX152" s="41"/>
      <c r="VY152" s="41"/>
      <c r="VZ152" s="41"/>
      <c r="WA152" s="41"/>
      <c r="WB152" s="41"/>
      <c r="WC152" s="41"/>
      <c r="WD152" s="41"/>
      <c r="WE152" s="41"/>
      <c r="WF152" s="41"/>
      <c r="WG152" s="41"/>
      <c r="WH152" s="41"/>
      <c r="WI152" s="41"/>
      <c r="WJ152" s="41"/>
      <c r="WK152" s="41"/>
      <c r="WL152" s="41"/>
      <c r="WM152" s="41"/>
      <c r="WN152" s="41"/>
      <c r="WO152" s="41"/>
      <c r="WP152" s="41"/>
      <c r="WQ152" s="41"/>
      <c r="WR152" s="41"/>
      <c r="WS152" s="41"/>
      <c r="WT152" s="41"/>
      <c r="WU152" s="41"/>
      <c r="WV152" s="41"/>
      <c r="WW152" s="41"/>
      <c r="WX152" s="41"/>
      <c r="WY152" s="41"/>
      <c r="WZ152" s="41"/>
      <c r="XA152" s="41"/>
      <c r="XB152" s="41"/>
      <c r="XC152" s="41"/>
      <c r="XD152" s="41"/>
      <c r="XE152" s="41"/>
      <c r="XF152" s="41"/>
      <c r="XG152" s="41"/>
      <c r="XH152" s="41"/>
      <c r="XI152" s="41"/>
      <c r="XJ152" s="41"/>
      <c r="XK152" s="41"/>
      <c r="XL152" s="41"/>
      <c r="XM152" s="41"/>
      <c r="XN152" s="41"/>
      <c r="XO152" s="41"/>
      <c r="XP152" s="41"/>
      <c r="XQ152" s="41"/>
      <c r="XR152" s="41"/>
      <c r="XS152" s="41"/>
      <c r="XT152" s="41"/>
      <c r="XU152" s="41"/>
      <c r="XV152" s="41"/>
      <c r="XW152" s="41"/>
      <c r="XX152" s="41"/>
      <c r="XY152" s="41"/>
      <c r="XZ152" s="41"/>
      <c r="YA152" s="41"/>
      <c r="YB152" s="41"/>
      <c r="YC152" s="41"/>
      <c r="YD152" s="41"/>
      <c r="YE152" s="41"/>
      <c r="YF152" s="41"/>
      <c r="YG152" s="41"/>
      <c r="YH152" s="41"/>
      <c r="YI152" s="41"/>
      <c r="YJ152" s="41"/>
      <c r="YK152" s="41"/>
      <c r="YL152" s="41"/>
      <c r="YM152" s="41"/>
      <c r="YN152" s="41"/>
      <c r="YO152" s="41"/>
      <c r="YP152" s="41"/>
      <c r="YQ152" s="41"/>
      <c r="YR152" s="41"/>
      <c r="YS152" s="41"/>
      <c r="YT152" s="41"/>
      <c r="YU152" s="41"/>
      <c r="YV152" s="41"/>
      <c r="YW152" s="41"/>
      <c r="YX152" s="41"/>
      <c r="YY152" s="41"/>
      <c r="YZ152" s="41"/>
      <c r="ZA152" s="41"/>
      <c r="ZB152" s="41"/>
      <c r="ZC152" s="41"/>
      <c r="ZD152" s="41"/>
      <c r="ZE152" s="41"/>
      <c r="ZF152" s="41"/>
      <c r="ZG152" s="41"/>
      <c r="ZH152" s="41"/>
      <c r="ZI152" s="41"/>
      <c r="ZJ152" s="41"/>
      <c r="ZK152" s="41"/>
      <c r="ZL152" s="41"/>
      <c r="ZM152" s="41"/>
      <c r="ZN152" s="41"/>
      <c r="ZO152" s="41"/>
      <c r="ZP152" s="41"/>
      <c r="ZQ152" s="41"/>
      <c r="ZR152" s="41"/>
      <c r="ZS152" s="41"/>
      <c r="ZT152" s="41"/>
      <c r="ZU152" s="41"/>
      <c r="ZV152" s="41"/>
      <c r="ZW152" s="41"/>
      <c r="ZX152" s="41"/>
      <c r="ZY152" s="41"/>
      <c r="ZZ152" s="41"/>
      <c r="AAA152" s="41"/>
      <c r="AAB152" s="41"/>
      <c r="AAC152" s="41"/>
    </row>
    <row r="153" spans="1:705" s="41" customFormat="1" ht="44.1" hidden="1" customHeight="1" x14ac:dyDescent="0.3">
      <c r="A153" s="26">
        <v>149</v>
      </c>
      <c r="B153" s="138">
        <v>240592</v>
      </c>
      <c r="C153" s="138">
        <v>149</v>
      </c>
      <c r="D153" s="139">
        <v>45938</v>
      </c>
      <c r="E153" s="139">
        <f t="shared" si="23"/>
        <v>45937</v>
      </c>
      <c r="F153" s="139">
        <f t="shared" si="22"/>
        <v>45948</v>
      </c>
      <c r="G153" s="139">
        <v>45948</v>
      </c>
      <c r="H153" s="139">
        <v>45956</v>
      </c>
      <c r="I153" s="139" t="s">
        <v>75</v>
      </c>
      <c r="J153" s="137" t="s">
        <v>399</v>
      </c>
      <c r="K153" s="141">
        <f t="shared" si="24"/>
        <v>8</v>
      </c>
      <c r="L153" s="141">
        <v>1152668</v>
      </c>
      <c r="M153" s="140" t="s">
        <v>15</v>
      </c>
      <c r="N153" s="142">
        <v>805649</v>
      </c>
      <c r="O153" s="137" t="s">
        <v>246</v>
      </c>
      <c r="P153" s="190">
        <v>45944</v>
      </c>
      <c r="Q153" s="190">
        <v>45959</v>
      </c>
      <c r="R153" s="157" t="s">
        <v>211</v>
      </c>
      <c r="S153" s="144" t="s">
        <v>400</v>
      </c>
      <c r="T153" s="145">
        <v>1</v>
      </c>
      <c r="U153" s="137" t="s">
        <v>98</v>
      </c>
      <c r="V153" s="146">
        <v>5</v>
      </c>
      <c r="W153" s="146">
        <v>5</v>
      </c>
      <c r="X153" s="147">
        <v>0</v>
      </c>
      <c r="Y153" s="146">
        <v>0</v>
      </c>
      <c r="Z153" s="146">
        <v>0</v>
      </c>
      <c r="AA153" s="146">
        <v>0</v>
      </c>
      <c r="AB153" s="146">
        <v>5</v>
      </c>
      <c r="AC153" s="146">
        <v>5</v>
      </c>
      <c r="AD153" s="146">
        <v>0</v>
      </c>
      <c r="AE153" s="146">
        <v>0</v>
      </c>
      <c r="AF153" s="146">
        <v>0</v>
      </c>
      <c r="AG153" s="146">
        <v>0</v>
      </c>
      <c r="AH153" s="146">
        <v>1</v>
      </c>
      <c r="AI153" s="146">
        <v>1</v>
      </c>
      <c r="AJ153" s="146">
        <v>0</v>
      </c>
      <c r="AK153" s="146">
        <v>0</v>
      </c>
      <c r="AL153" s="146">
        <v>0</v>
      </c>
      <c r="AM153" s="146">
        <v>0</v>
      </c>
      <c r="AN153" s="146">
        <v>1</v>
      </c>
      <c r="AO153" s="146">
        <v>1</v>
      </c>
      <c r="AP153" s="146">
        <v>1</v>
      </c>
      <c r="AQ153" s="146">
        <v>1</v>
      </c>
      <c r="AR153" s="146">
        <v>0</v>
      </c>
      <c r="AS153" s="146">
        <v>0</v>
      </c>
      <c r="AT153" s="146">
        <v>1</v>
      </c>
      <c r="AU153" s="146">
        <v>1</v>
      </c>
      <c r="AV153" s="146">
        <v>0</v>
      </c>
      <c r="AW153" s="146">
        <v>0</v>
      </c>
      <c r="AX153" s="146">
        <f t="shared" si="25"/>
        <v>1795</v>
      </c>
      <c r="AY153" s="146">
        <f t="shared" si="20"/>
        <v>1795</v>
      </c>
      <c r="AZ153" s="140" t="s">
        <v>562</v>
      </c>
      <c r="BA153" s="140" t="s">
        <v>562</v>
      </c>
      <c r="BB153" s="140">
        <v>2</v>
      </c>
      <c r="BC153" s="191">
        <v>149</v>
      </c>
      <c r="BD153" s="149"/>
      <c r="BE153" s="145"/>
      <c r="BF153" s="150"/>
      <c r="BG153" s="188">
        <v>45931</v>
      </c>
      <c r="BH153" s="153" t="s">
        <v>535</v>
      </c>
      <c r="BI153" s="153" t="s">
        <v>562</v>
      </c>
    </row>
    <row r="154" spans="1:705" s="42" customFormat="1" ht="44.1" hidden="1" customHeight="1" x14ac:dyDescent="0.3">
      <c r="A154" s="26">
        <v>150</v>
      </c>
      <c r="B154" s="138">
        <v>240593</v>
      </c>
      <c r="C154" s="138">
        <v>150</v>
      </c>
      <c r="D154" s="139">
        <v>45938</v>
      </c>
      <c r="E154" s="139">
        <f t="shared" si="23"/>
        <v>45937</v>
      </c>
      <c r="F154" s="139">
        <f t="shared" si="22"/>
        <v>45948</v>
      </c>
      <c r="G154" s="139">
        <v>45948</v>
      </c>
      <c r="H154" s="139">
        <v>45957</v>
      </c>
      <c r="I154" s="139" t="s">
        <v>75</v>
      </c>
      <c r="J154" s="137" t="s">
        <v>401</v>
      </c>
      <c r="K154" s="141">
        <f t="shared" si="24"/>
        <v>9</v>
      </c>
      <c r="L154" s="141">
        <v>1152669</v>
      </c>
      <c r="M154" s="140" t="s">
        <v>15</v>
      </c>
      <c r="N154" s="142">
        <v>805649</v>
      </c>
      <c r="O154" s="137" t="s">
        <v>246</v>
      </c>
      <c r="P154" s="190">
        <v>45944</v>
      </c>
      <c r="Q154" s="190">
        <v>45959</v>
      </c>
      <c r="R154" s="157" t="s">
        <v>211</v>
      </c>
      <c r="S154" s="144" t="s">
        <v>402</v>
      </c>
      <c r="T154" s="145">
        <v>1</v>
      </c>
      <c r="U154" s="137" t="s">
        <v>98</v>
      </c>
      <c r="V154" s="146">
        <v>4</v>
      </c>
      <c r="W154" s="146">
        <v>4</v>
      </c>
      <c r="X154" s="147">
        <v>0</v>
      </c>
      <c r="Y154" s="146">
        <v>0</v>
      </c>
      <c r="Z154" s="146">
        <v>0</v>
      </c>
      <c r="AA154" s="146">
        <v>0</v>
      </c>
      <c r="AB154" s="146">
        <v>0</v>
      </c>
      <c r="AC154" s="146"/>
      <c r="AD154" s="146">
        <v>0</v>
      </c>
      <c r="AE154" s="146">
        <v>0</v>
      </c>
      <c r="AF154" s="146">
        <v>0</v>
      </c>
      <c r="AG154" s="146">
        <v>0</v>
      </c>
      <c r="AH154" s="146">
        <v>1</v>
      </c>
      <c r="AI154" s="146">
        <v>1</v>
      </c>
      <c r="AJ154" s="146">
        <v>0</v>
      </c>
      <c r="AK154" s="146">
        <v>0</v>
      </c>
      <c r="AL154" s="146">
        <v>0</v>
      </c>
      <c r="AM154" s="146">
        <v>0</v>
      </c>
      <c r="AN154" s="146">
        <v>1</v>
      </c>
      <c r="AO154" s="146">
        <v>1</v>
      </c>
      <c r="AP154" s="146">
        <v>1</v>
      </c>
      <c r="AQ154" s="146">
        <v>1</v>
      </c>
      <c r="AR154" s="146">
        <v>0</v>
      </c>
      <c r="AS154" s="146">
        <v>0</v>
      </c>
      <c r="AT154" s="146">
        <v>1</v>
      </c>
      <c r="AU154" s="146">
        <v>1</v>
      </c>
      <c r="AV154" s="146">
        <v>0</v>
      </c>
      <c r="AW154" s="146">
        <v>0</v>
      </c>
      <c r="AX154" s="146">
        <f t="shared" si="25"/>
        <v>1450</v>
      </c>
      <c r="AY154" s="146">
        <f t="shared" si="20"/>
        <v>1450</v>
      </c>
      <c r="AZ154" s="140" t="s">
        <v>562</v>
      </c>
      <c r="BA154" s="140" t="s">
        <v>562</v>
      </c>
      <c r="BB154" s="140">
        <v>2</v>
      </c>
      <c r="BC154" s="191">
        <v>150</v>
      </c>
      <c r="BD154" s="149"/>
      <c r="BE154" s="145"/>
      <c r="BF154" s="150"/>
      <c r="BG154" s="192">
        <v>45931</v>
      </c>
      <c r="BH154" s="153" t="s">
        <v>535</v>
      </c>
      <c r="BI154" s="153" t="s">
        <v>562</v>
      </c>
      <c r="CC154" s="41"/>
      <c r="CD154" s="41"/>
      <c r="CE154" s="41"/>
      <c r="CF154" s="41"/>
      <c r="CG154" s="41"/>
      <c r="CH154" s="41"/>
      <c r="CI154" s="41"/>
      <c r="CJ154" s="41"/>
      <c r="CK154" s="41"/>
      <c r="CL154" s="41"/>
      <c r="CM154" s="41"/>
      <c r="CN154" s="41"/>
      <c r="CO154" s="41"/>
      <c r="CP154" s="41"/>
      <c r="CQ154" s="41"/>
      <c r="CR154" s="41"/>
      <c r="CS154" s="41"/>
      <c r="CT154" s="41"/>
      <c r="CU154" s="41"/>
      <c r="CV154" s="41"/>
      <c r="CW154" s="41"/>
      <c r="CX154" s="41"/>
      <c r="CY154" s="41"/>
      <c r="CZ154" s="41"/>
      <c r="DA154" s="41"/>
      <c r="DB154" s="41"/>
      <c r="DC154" s="41"/>
      <c r="DD154" s="41"/>
      <c r="DE154" s="41"/>
      <c r="DF154" s="41"/>
      <c r="DG154" s="41"/>
      <c r="DH154" s="41"/>
      <c r="DI154" s="41"/>
      <c r="DJ154" s="41"/>
      <c r="DK154" s="41"/>
      <c r="DL154" s="41"/>
      <c r="DM154" s="41"/>
      <c r="DN154" s="41"/>
      <c r="DO154" s="41"/>
      <c r="DP154" s="41"/>
      <c r="DQ154" s="41"/>
      <c r="DR154" s="41"/>
      <c r="DS154" s="41"/>
      <c r="DT154" s="41"/>
      <c r="DU154" s="41"/>
      <c r="DV154" s="41"/>
      <c r="DW154" s="41"/>
      <c r="DX154" s="41"/>
      <c r="DY154" s="41"/>
      <c r="DZ154" s="41"/>
      <c r="EA154" s="41"/>
      <c r="EB154" s="41"/>
      <c r="EC154" s="41"/>
      <c r="ED154" s="41"/>
      <c r="EE154" s="41"/>
      <c r="EF154" s="41"/>
      <c r="EG154" s="41"/>
      <c r="EH154" s="41"/>
      <c r="EI154" s="41"/>
      <c r="EJ154" s="41"/>
      <c r="EK154" s="41"/>
      <c r="EL154" s="41"/>
      <c r="EM154" s="41"/>
      <c r="EN154" s="41"/>
      <c r="EO154" s="41"/>
      <c r="EP154" s="41"/>
      <c r="EQ154" s="41"/>
      <c r="ER154" s="41"/>
      <c r="ES154" s="41"/>
      <c r="ET154" s="41"/>
      <c r="EU154" s="41"/>
      <c r="EV154" s="41"/>
      <c r="EW154" s="41"/>
      <c r="EX154" s="41"/>
      <c r="EY154" s="41"/>
      <c r="EZ154" s="41"/>
      <c r="FA154" s="41"/>
      <c r="FB154" s="41"/>
      <c r="FC154" s="41"/>
      <c r="FD154" s="41"/>
      <c r="FE154" s="41"/>
      <c r="FF154" s="41"/>
      <c r="FG154" s="41"/>
      <c r="FH154" s="41"/>
      <c r="FI154" s="41"/>
      <c r="FJ154" s="41"/>
      <c r="FK154" s="41"/>
      <c r="FL154" s="41"/>
      <c r="FM154" s="41"/>
      <c r="FN154" s="41"/>
      <c r="FO154" s="41"/>
      <c r="FP154" s="41"/>
      <c r="FQ154" s="41"/>
      <c r="FR154" s="41"/>
      <c r="FS154" s="41"/>
      <c r="FT154" s="41"/>
      <c r="FU154" s="41"/>
      <c r="FV154" s="41"/>
      <c r="FW154" s="41"/>
      <c r="FX154" s="41"/>
      <c r="FY154" s="41"/>
      <c r="FZ154" s="41"/>
      <c r="GA154" s="41"/>
      <c r="GB154" s="41"/>
      <c r="GC154" s="41"/>
      <c r="GD154" s="41"/>
      <c r="GE154" s="41"/>
      <c r="GF154" s="41"/>
      <c r="GG154" s="41"/>
      <c r="GH154" s="41"/>
      <c r="GI154" s="41"/>
      <c r="GJ154" s="41"/>
      <c r="GK154" s="41"/>
      <c r="GL154" s="41"/>
      <c r="GM154" s="41"/>
      <c r="GN154" s="41"/>
      <c r="GO154" s="41"/>
      <c r="GP154" s="41"/>
      <c r="GQ154" s="41"/>
      <c r="GR154" s="41"/>
      <c r="GS154" s="41"/>
      <c r="GT154" s="41"/>
      <c r="GU154" s="41"/>
      <c r="GV154" s="41"/>
      <c r="GW154" s="41"/>
      <c r="GX154" s="41"/>
      <c r="GY154" s="41"/>
      <c r="GZ154" s="41"/>
      <c r="HA154" s="41"/>
      <c r="HB154" s="41"/>
      <c r="HC154" s="41"/>
      <c r="HD154" s="41"/>
      <c r="HE154" s="41"/>
      <c r="HF154" s="41"/>
      <c r="HG154" s="41"/>
      <c r="HH154" s="41"/>
      <c r="HI154" s="41"/>
      <c r="HJ154" s="41"/>
      <c r="HK154" s="41"/>
      <c r="HL154" s="41"/>
      <c r="HM154" s="41"/>
      <c r="HN154" s="41"/>
      <c r="HO154" s="41"/>
      <c r="HP154" s="41"/>
      <c r="HQ154" s="41"/>
      <c r="HR154" s="41"/>
      <c r="HS154" s="41"/>
      <c r="HT154" s="41"/>
      <c r="HU154" s="41"/>
      <c r="HV154" s="41"/>
      <c r="HW154" s="41"/>
      <c r="HX154" s="41"/>
      <c r="HY154" s="41"/>
      <c r="HZ154" s="41"/>
      <c r="IA154" s="41"/>
      <c r="IB154" s="41"/>
      <c r="IC154" s="41"/>
      <c r="ID154" s="41"/>
      <c r="IE154" s="41"/>
      <c r="IF154" s="41"/>
      <c r="IG154" s="41"/>
      <c r="IH154" s="41"/>
      <c r="II154" s="41"/>
      <c r="IJ154" s="41"/>
      <c r="IK154" s="41"/>
      <c r="IL154" s="41"/>
      <c r="IM154" s="41"/>
      <c r="IN154" s="41"/>
      <c r="IO154" s="41"/>
      <c r="IP154" s="41"/>
      <c r="IQ154" s="41"/>
      <c r="IR154" s="41"/>
      <c r="IS154" s="41"/>
      <c r="IT154" s="41"/>
      <c r="IU154" s="41"/>
      <c r="IV154" s="41"/>
      <c r="IW154" s="41"/>
      <c r="IX154" s="41"/>
      <c r="IY154" s="41"/>
      <c r="IZ154" s="41"/>
      <c r="JA154" s="41"/>
      <c r="JB154" s="41"/>
      <c r="JC154" s="41"/>
      <c r="JD154" s="41"/>
      <c r="JE154" s="41"/>
      <c r="JF154" s="41"/>
      <c r="JG154" s="41"/>
      <c r="JH154" s="41"/>
      <c r="JI154" s="41"/>
      <c r="JJ154" s="41"/>
      <c r="JK154" s="41"/>
      <c r="JL154" s="41"/>
      <c r="JM154" s="41"/>
      <c r="JN154" s="41"/>
      <c r="JO154" s="41"/>
      <c r="JP154" s="41"/>
      <c r="JQ154" s="41"/>
      <c r="JR154" s="41"/>
      <c r="JS154" s="41"/>
      <c r="JT154" s="41"/>
      <c r="JU154" s="41"/>
      <c r="JV154" s="41"/>
      <c r="JW154" s="41"/>
      <c r="JX154" s="41"/>
      <c r="JY154" s="41"/>
      <c r="JZ154" s="41"/>
      <c r="KA154" s="41"/>
      <c r="KB154" s="41"/>
      <c r="KC154" s="41"/>
      <c r="KD154" s="41"/>
      <c r="KE154" s="41"/>
      <c r="KF154" s="41"/>
      <c r="KG154" s="41"/>
      <c r="KH154" s="41"/>
      <c r="KI154" s="41"/>
      <c r="KJ154" s="41"/>
      <c r="KK154" s="41"/>
      <c r="KL154" s="41"/>
      <c r="KM154" s="41"/>
      <c r="KN154" s="41"/>
      <c r="KO154" s="41"/>
      <c r="KP154" s="41"/>
      <c r="KQ154" s="41"/>
      <c r="KR154" s="41"/>
      <c r="KS154" s="41"/>
      <c r="KT154" s="41"/>
      <c r="KU154" s="41"/>
      <c r="KV154" s="41"/>
      <c r="KW154" s="41"/>
      <c r="KX154" s="41"/>
      <c r="KY154" s="41"/>
      <c r="KZ154" s="41"/>
      <c r="LA154" s="41"/>
      <c r="LB154" s="41"/>
      <c r="LC154" s="41"/>
      <c r="LD154" s="41"/>
      <c r="LE154" s="41"/>
      <c r="LF154" s="41"/>
      <c r="LG154" s="41"/>
      <c r="LH154" s="41"/>
      <c r="LI154" s="41"/>
      <c r="LJ154" s="41"/>
      <c r="LK154" s="41"/>
      <c r="LL154" s="41"/>
      <c r="LM154" s="41"/>
      <c r="LN154" s="41"/>
      <c r="LO154" s="41"/>
      <c r="LP154" s="41"/>
      <c r="LQ154" s="41"/>
      <c r="LR154" s="41"/>
      <c r="LS154" s="41"/>
      <c r="LT154" s="41"/>
      <c r="LU154" s="41"/>
      <c r="LV154" s="41"/>
      <c r="LW154" s="41"/>
      <c r="LX154" s="41"/>
      <c r="LY154" s="41"/>
      <c r="LZ154" s="41"/>
      <c r="MA154" s="41"/>
      <c r="MB154" s="41"/>
      <c r="MC154" s="41"/>
      <c r="MD154" s="41"/>
      <c r="ME154" s="41"/>
      <c r="MF154" s="41"/>
      <c r="MG154" s="41"/>
      <c r="MH154" s="41"/>
      <c r="MI154" s="41"/>
      <c r="MJ154" s="41"/>
      <c r="MK154" s="41"/>
      <c r="ML154" s="41"/>
      <c r="MM154" s="41"/>
      <c r="MN154" s="41"/>
      <c r="MO154" s="41"/>
      <c r="MP154" s="41"/>
      <c r="MQ154" s="41"/>
      <c r="MR154" s="41"/>
      <c r="MS154" s="41"/>
      <c r="MT154" s="41"/>
      <c r="MU154" s="41"/>
      <c r="MV154" s="41"/>
      <c r="MW154" s="41"/>
      <c r="MX154" s="41"/>
      <c r="MY154" s="41"/>
      <c r="MZ154" s="41"/>
      <c r="NA154" s="41"/>
      <c r="NB154" s="41"/>
      <c r="NC154" s="41"/>
      <c r="ND154" s="41"/>
      <c r="NE154" s="41"/>
      <c r="NF154" s="41"/>
      <c r="NG154" s="41"/>
      <c r="NH154" s="41"/>
      <c r="NI154" s="41"/>
      <c r="NJ154" s="41"/>
      <c r="NK154" s="41"/>
      <c r="NL154" s="41"/>
      <c r="NM154" s="41"/>
      <c r="NN154" s="41"/>
      <c r="NO154" s="41"/>
      <c r="NP154" s="41"/>
      <c r="NQ154" s="41"/>
      <c r="NR154" s="41"/>
      <c r="NS154" s="41"/>
      <c r="NT154" s="41"/>
      <c r="NU154" s="41"/>
      <c r="NV154" s="41"/>
      <c r="NW154" s="41"/>
      <c r="NX154" s="41"/>
      <c r="NY154" s="41"/>
      <c r="NZ154" s="41"/>
      <c r="OA154" s="41"/>
      <c r="OB154" s="41"/>
      <c r="OC154" s="41"/>
      <c r="OD154" s="41"/>
      <c r="OE154" s="41"/>
      <c r="OF154" s="41"/>
      <c r="OG154" s="41"/>
      <c r="OH154" s="41"/>
      <c r="OI154" s="41"/>
      <c r="OJ154" s="41"/>
      <c r="OK154" s="41"/>
      <c r="OL154" s="41"/>
      <c r="OM154" s="41"/>
      <c r="ON154" s="41"/>
      <c r="OO154" s="41"/>
      <c r="OP154" s="41"/>
      <c r="OQ154" s="41"/>
      <c r="OR154" s="41"/>
      <c r="OS154" s="41"/>
      <c r="OT154" s="41"/>
      <c r="OU154" s="41"/>
      <c r="OV154" s="41"/>
      <c r="OW154" s="41"/>
      <c r="OX154" s="41"/>
      <c r="OY154" s="41"/>
      <c r="OZ154" s="41"/>
      <c r="PA154" s="41"/>
      <c r="PB154" s="41"/>
      <c r="PC154" s="41"/>
      <c r="PD154" s="41"/>
      <c r="PE154" s="41"/>
      <c r="PF154" s="41"/>
      <c r="PG154" s="41"/>
      <c r="PH154" s="41"/>
      <c r="PI154" s="41"/>
      <c r="PJ154" s="41"/>
      <c r="PK154" s="41"/>
      <c r="PL154" s="41"/>
      <c r="PM154" s="41"/>
      <c r="PN154" s="41"/>
      <c r="PO154" s="41"/>
      <c r="PP154" s="41"/>
      <c r="PQ154" s="41"/>
      <c r="PR154" s="41"/>
      <c r="PS154" s="41"/>
      <c r="PT154" s="41"/>
      <c r="PU154" s="41"/>
      <c r="PV154" s="41"/>
      <c r="PW154" s="41"/>
      <c r="PX154" s="41"/>
      <c r="PY154" s="41"/>
      <c r="PZ154" s="41"/>
      <c r="QA154" s="41"/>
      <c r="QB154" s="41"/>
      <c r="QC154" s="41"/>
      <c r="QD154" s="41"/>
      <c r="QE154" s="41"/>
      <c r="QF154" s="41"/>
      <c r="QG154" s="41"/>
      <c r="QH154" s="41"/>
      <c r="QI154" s="41"/>
      <c r="QJ154" s="41"/>
      <c r="QK154" s="41"/>
      <c r="QL154" s="41"/>
      <c r="QM154" s="41"/>
      <c r="QN154" s="41"/>
      <c r="QO154" s="41"/>
      <c r="QP154" s="41"/>
      <c r="QQ154" s="41"/>
      <c r="QR154" s="41"/>
      <c r="QS154" s="41"/>
      <c r="QT154" s="41"/>
      <c r="QU154" s="41"/>
      <c r="QV154" s="41"/>
      <c r="QW154" s="41"/>
      <c r="QX154" s="41"/>
      <c r="QY154" s="41"/>
      <c r="QZ154" s="41"/>
      <c r="RA154" s="41"/>
      <c r="RB154" s="41"/>
      <c r="RC154" s="41"/>
      <c r="RD154" s="41"/>
      <c r="RE154" s="41"/>
      <c r="RF154" s="41"/>
      <c r="RG154" s="41"/>
      <c r="RH154" s="41"/>
      <c r="RI154" s="41"/>
      <c r="RJ154" s="41"/>
      <c r="RK154" s="41"/>
      <c r="RL154" s="41"/>
      <c r="RM154" s="41"/>
      <c r="RN154" s="41"/>
      <c r="RO154" s="41"/>
      <c r="RP154" s="41"/>
      <c r="RQ154" s="41"/>
      <c r="RR154" s="41"/>
      <c r="RS154" s="41"/>
      <c r="RT154" s="41"/>
      <c r="RU154" s="41"/>
      <c r="RV154" s="41"/>
      <c r="RW154" s="41"/>
      <c r="RX154" s="41"/>
      <c r="RY154" s="41"/>
      <c r="RZ154" s="41"/>
      <c r="SA154" s="41"/>
      <c r="SB154" s="41"/>
      <c r="SC154" s="41"/>
      <c r="SD154" s="41"/>
      <c r="SE154" s="41"/>
      <c r="SF154" s="41"/>
      <c r="SG154" s="41"/>
      <c r="SH154" s="41"/>
      <c r="SI154" s="41"/>
      <c r="SJ154" s="41"/>
      <c r="SK154" s="41"/>
      <c r="SL154" s="41"/>
      <c r="SM154" s="41"/>
      <c r="SN154" s="41"/>
      <c r="SO154" s="41"/>
      <c r="SP154" s="41"/>
      <c r="SQ154" s="41"/>
      <c r="SR154" s="41"/>
      <c r="SS154" s="41"/>
      <c r="ST154" s="41"/>
      <c r="SU154" s="41"/>
      <c r="SV154" s="41"/>
      <c r="SW154" s="41"/>
      <c r="SX154" s="41"/>
      <c r="SY154" s="41"/>
      <c r="SZ154" s="41"/>
      <c r="TA154" s="41"/>
      <c r="TB154" s="41"/>
      <c r="TC154" s="41"/>
      <c r="TD154" s="41"/>
      <c r="TE154" s="41"/>
      <c r="TF154" s="41"/>
      <c r="TG154" s="41"/>
      <c r="TH154" s="41"/>
      <c r="TI154" s="41"/>
      <c r="TJ154" s="41"/>
      <c r="TK154" s="41"/>
      <c r="TL154" s="41"/>
      <c r="TM154" s="41"/>
      <c r="TN154" s="41"/>
      <c r="TO154" s="41"/>
      <c r="TP154" s="41"/>
      <c r="TQ154" s="41"/>
      <c r="TR154" s="41"/>
      <c r="TS154" s="41"/>
      <c r="TT154" s="41"/>
      <c r="TU154" s="41"/>
      <c r="TV154" s="41"/>
      <c r="TW154" s="41"/>
      <c r="TX154" s="41"/>
      <c r="TY154" s="41"/>
      <c r="TZ154" s="41"/>
      <c r="UA154" s="41"/>
      <c r="UB154" s="41"/>
      <c r="UC154" s="41"/>
      <c r="UD154" s="41"/>
      <c r="UE154" s="41"/>
      <c r="UF154" s="41"/>
      <c r="UG154" s="41"/>
      <c r="UH154" s="41"/>
      <c r="UI154" s="41"/>
      <c r="UJ154" s="41"/>
      <c r="UK154" s="41"/>
      <c r="UL154" s="41"/>
      <c r="UM154" s="41"/>
      <c r="UN154" s="41"/>
      <c r="UO154" s="41"/>
      <c r="UP154" s="41"/>
      <c r="UQ154" s="41"/>
      <c r="UR154" s="41"/>
      <c r="US154" s="41"/>
      <c r="UT154" s="41"/>
      <c r="UU154" s="41"/>
      <c r="UV154" s="41"/>
      <c r="UW154" s="41"/>
      <c r="UX154" s="41"/>
      <c r="UY154" s="41"/>
      <c r="UZ154" s="41"/>
      <c r="VA154" s="41"/>
      <c r="VB154" s="41"/>
      <c r="VC154" s="41"/>
      <c r="VD154" s="41"/>
      <c r="VE154" s="41"/>
      <c r="VF154" s="41"/>
      <c r="VG154" s="41"/>
      <c r="VH154" s="41"/>
      <c r="VI154" s="41"/>
      <c r="VJ154" s="41"/>
      <c r="VK154" s="41"/>
      <c r="VL154" s="41"/>
      <c r="VM154" s="41"/>
      <c r="VN154" s="41"/>
      <c r="VO154" s="41"/>
      <c r="VP154" s="41"/>
      <c r="VQ154" s="41"/>
      <c r="VR154" s="41"/>
      <c r="VS154" s="41"/>
      <c r="VT154" s="41"/>
      <c r="VU154" s="41"/>
      <c r="VV154" s="41"/>
      <c r="VW154" s="41"/>
      <c r="VX154" s="41"/>
      <c r="VY154" s="41"/>
      <c r="VZ154" s="41"/>
      <c r="WA154" s="41"/>
      <c r="WB154" s="41"/>
      <c r="WC154" s="41"/>
      <c r="WD154" s="41"/>
      <c r="WE154" s="41"/>
      <c r="WF154" s="41"/>
      <c r="WG154" s="41"/>
      <c r="WH154" s="41"/>
      <c r="WI154" s="41"/>
      <c r="WJ154" s="41"/>
      <c r="WK154" s="41"/>
      <c r="WL154" s="41"/>
      <c r="WM154" s="41"/>
      <c r="WN154" s="41"/>
      <c r="WO154" s="41"/>
      <c r="WP154" s="41"/>
      <c r="WQ154" s="41"/>
      <c r="WR154" s="41"/>
      <c r="WS154" s="41"/>
      <c r="WT154" s="41"/>
      <c r="WU154" s="41"/>
      <c r="WV154" s="41"/>
      <c r="WW154" s="41"/>
      <c r="WX154" s="41"/>
      <c r="WY154" s="41"/>
      <c r="WZ154" s="41"/>
      <c r="XA154" s="41"/>
      <c r="XB154" s="41"/>
      <c r="XC154" s="41"/>
      <c r="XD154" s="41"/>
      <c r="XE154" s="41"/>
      <c r="XF154" s="41"/>
      <c r="XG154" s="41"/>
      <c r="XH154" s="41"/>
      <c r="XI154" s="41"/>
      <c r="XJ154" s="41"/>
      <c r="XK154" s="41"/>
      <c r="XL154" s="41"/>
      <c r="XM154" s="41"/>
      <c r="XN154" s="41"/>
      <c r="XO154" s="41"/>
      <c r="XP154" s="41"/>
      <c r="XQ154" s="41"/>
      <c r="XR154" s="41"/>
      <c r="XS154" s="41"/>
      <c r="XT154" s="41"/>
      <c r="XU154" s="41"/>
      <c r="XV154" s="41"/>
      <c r="XW154" s="41"/>
      <c r="XX154" s="41"/>
      <c r="XY154" s="41"/>
      <c r="XZ154" s="41"/>
      <c r="YA154" s="41"/>
      <c r="YB154" s="41"/>
      <c r="YC154" s="41"/>
      <c r="YD154" s="41"/>
      <c r="YE154" s="41"/>
      <c r="YF154" s="41"/>
      <c r="YG154" s="41"/>
      <c r="YH154" s="41"/>
      <c r="YI154" s="41"/>
      <c r="YJ154" s="41"/>
      <c r="YK154" s="41"/>
      <c r="YL154" s="41"/>
      <c r="YM154" s="41"/>
      <c r="YN154" s="41"/>
      <c r="YO154" s="41"/>
      <c r="YP154" s="41"/>
      <c r="YQ154" s="41"/>
      <c r="YR154" s="41"/>
      <c r="YS154" s="41"/>
      <c r="YT154" s="41"/>
      <c r="YU154" s="41"/>
      <c r="YV154" s="41"/>
      <c r="YW154" s="41"/>
      <c r="YX154" s="41"/>
      <c r="YY154" s="41"/>
      <c r="YZ154" s="41"/>
      <c r="ZA154" s="41"/>
      <c r="ZB154" s="41"/>
      <c r="ZC154" s="41"/>
      <c r="ZD154" s="41"/>
      <c r="ZE154" s="41"/>
      <c r="ZF154" s="41"/>
      <c r="ZG154" s="41"/>
      <c r="ZH154" s="41"/>
      <c r="ZI154" s="41"/>
      <c r="ZJ154" s="41"/>
      <c r="ZK154" s="41"/>
      <c r="ZL154" s="41"/>
      <c r="ZM154" s="41"/>
      <c r="ZN154" s="41"/>
      <c r="ZO154" s="41"/>
      <c r="ZP154" s="41"/>
      <c r="ZQ154" s="41"/>
      <c r="ZR154" s="41"/>
      <c r="ZS154" s="41"/>
      <c r="ZT154" s="41"/>
      <c r="ZU154" s="41"/>
      <c r="ZV154" s="41"/>
      <c r="ZW154" s="41"/>
      <c r="ZX154" s="41"/>
      <c r="ZY154" s="41"/>
      <c r="ZZ154" s="41"/>
      <c r="AAA154" s="41"/>
      <c r="AAB154" s="41"/>
      <c r="AAC154" s="41"/>
    </row>
    <row r="155" spans="1:705" s="41" customFormat="1" ht="44.1" hidden="1" customHeight="1" x14ac:dyDescent="0.3">
      <c r="A155" s="26">
        <v>151</v>
      </c>
      <c r="B155" s="136">
        <v>240594</v>
      </c>
      <c r="C155" s="138">
        <v>151</v>
      </c>
      <c r="D155" s="139">
        <v>45938</v>
      </c>
      <c r="E155" s="139">
        <f t="shared" si="23"/>
        <v>45937</v>
      </c>
      <c r="F155" s="139">
        <f t="shared" si="22"/>
        <v>45948</v>
      </c>
      <c r="G155" s="139">
        <v>45948</v>
      </c>
      <c r="H155" s="139">
        <v>45957</v>
      </c>
      <c r="I155" s="139" t="s">
        <v>75</v>
      </c>
      <c r="J155" s="140" t="s">
        <v>403</v>
      </c>
      <c r="K155" s="141">
        <f t="shared" si="24"/>
        <v>9</v>
      </c>
      <c r="L155" s="142">
        <v>1152680</v>
      </c>
      <c r="M155" s="140" t="s">
        <v>15</v>
      </c>
      <c r="N155" s="142">
        <v>805649</v>
      </c>
      <c r="O155" s="137" t="s">
        <v>246</v>
      </c>
      <c r="P155" s="190">
        <v>45944</v>
      </c>
      <c r="Q155" s="190">
        <v>45959</v>
      </c>
      <c r="R155" s="157" t="s">
        <v>211</v>
      </c>
      <c r="S155" s="144" t="s">
        <v>404</v>
      </c>
      <c r="T155" s="145">
        <v>1</v>
      </c>
      <c r="U155" s="137" t="s">
        <v>98</v>
      </c>
      <c r="V155" s="146">
        <v>5</v>
      </c>
      <c r="W155" s="146">
        <v>5</v>
      </c>
      <c r="X155" s="147">
        <v>0</v>
      </c>
      <c r="Y155" s="146">
        <v>0</v>
      </c>
      <c r="Z155" s="146">
        <v>0</v>
      </c>
      <c r="AA155" s="146">
        <v>0</v>
      </c>
      <c r="AB155" s="146">
        <v>0</v>
      </c>
      <c r="AC155" s="146"/>
      <c r="AD155" s="146">
        <v>0</v>
      </c>
      <c r="AE155" s="146">
        <v>0</v>
      </c>
      <c r="AF155" s="146">
        <v>0</v>
      </c>
      <c r="AG155" s="146">
        <v>0</v>
      </c>
      <c r="AH155" s="146">
        <v>1</v>
      </c>
      <c r="AI155" s="146">
        <v>1</v>
      </c>
      <c r="AJ155" s="146">
        <v>0</v>
      </c>
      <c r="AK155" s="146">
        <v>0</v>
      </c>
      <c r="AL155" s="146">
        <v>0</v>
      </c>
      <c r="AM155" s="146">
        <v>0</v>
      </c>
      <c r="AN155" s="146">
        <v>1</v>
      </c>
      <c r="AO155" s="146">
        <v>1</v>
      </c>
      <c r="AP155" s="146">
        <v>1</v>
      </c>
      <c r="AQ155" s="146">
        <v>1</v>
      </c>
      <c r="AR155" s="146">
        <v>0</v>
      </c>
      <c r="AS155" s="146">
        <v>0</v>
      </c>
      <c r="AT155" s="146">
        <v>1</v>
      </c>
      <c r="AU155" s="146">
        <v>1</v>
      </c>
      <c r="AV155" s="146">
        <v>0</v>
      </c>
      <c r="AW155" s="146">
        <v>0</v>
      </c>
      <c r="AX155" s="146">
        <f t="shared" si="25"/>
        <v>1510</v>
      </c>
      <c r="AY155" s="146">
        <f t="shared" si="20"/>
        <v>1510</v>
      </c>
      <c r="AZ155" s="140" t="s">
        <v>562</v>
      </c>
      <c r="BA155" s="140" t="s">
        <v>562</v>
      </c>
      <c r="BB155" s="140">
        <v>2</v>
      </c>
      <c r="BC155" s="148">
        <v>151</v>
      </c>
      <c r="BD155" s="149"/>
      <c r="BE155" s="145"/>
      <c r="BF155" s="150"/>
      <c r="BG155" s="188">
        <v>45931</v>
      </c>
      <c r="BH155" s="153" t="s">
        <v>535</v>
      </c>
      <c r="BI155" s="153" t="s">
        <v>562</v>
      </c>
    </row>
    <row r="156" spans="1:705" s="42" customFormat="1" ht="44.1" hidden="1" customHeight="1" x14ac:dyDescent="0.3">
      <c r="A156" s="26">
        <v>152</v>
      </c>
      <c r="B156" s="136">
        <v>240643</v>
      </c>
      <c r="C156" s="138">
        <v>152</v>
      </c>
      <c r="D156" s="139">
        <v>45939</v>
      </c>
      <c r="E156" s="139">
        <f t="shared" si="23"/>
        <v>45938</v>
      </c>
      <c r="F156" s="139">
        <f t="shared" si="22"/>
        <v>45949</v>
      </c>
      <c r="G156" s="139">
        <v>45949</v>
      </c>
      <c r="H156" s="139">
        <v>45955</v>
      </c>
      <c r="I156" s="139" t="s">
        <v>75</v>
      </c>
      <c r="J156" s="140" t="s">
        <v>405</v>
      </c>
      <c r="K156" s="141">
        <f t="shared" si="24"/>
        <v>6</v>
      </c>
      <c r="L156" s="141">
        <v>1153051</v>
      </c>
      <c r="M156" s="140" t="s">
        <v>15</v>
      </c>
      <c r="N156" s="142" t="s">
        <v>251</v>
      </c>
      <c r="O156" s="137" t="s">
        <v>251</v>
      </c>
      <c r="P156" s="190" t="s">
        <v>213</v>
      </c>
      <c r="Q156" s="190" t="s">
        <v>213</v>
      </c>
      <c r="R156" s="157" t="s">
        <v>211</v>
      </c>
      <c r="S156" s="144" t="s">
        <v>406</v>
      </c>
      <c r="T156" s="145">
        <v>8</v>
      </c>
      <c r="U156" s="137" t="s">
        <v>374</v>
      </c>
      <c r="V156" s="146">
        <v>0</v>
      </c>
      <c r="W156" s="146"/>
      <c r="X156" s="147">
        <v>0</v>
      </c>
      <c r="Y156" s="146">
        <v>0</v>
      </c>
      <c r="Z156" s="146">
        <v>0</v>
      </c>
      <c r="AA156" s="146">
        <v>0</v>
      </c>
      <c r="AB156" s="146">
        <v>0</v>
      </c>
      <c r="AC156" s="146"/>
      <c r="AD156" s="146">
        <v>0</v>
      </c>
      <c r="AE156" s="146">
        <v>0</v>
      </c>
      <c r="AF156" s="146">
        <v>0</v>
      </c>
      <c r="AG156" s="146">
        <v>0</v>
      </c>
      <c r="AH156" s="146">
        <v>8</v>
      </c>
      <c r="AI156" s="146">
        <v>8</v>
      </c>
      <c r="AJ156" s="146">
        <v>0</v>
      </c>
      <c r="AK156" s="146">
        <v>0</v>
      </c>
      <c r="AL156" s="146">
        <v>0</v>
      </c>
      <c r="AM156" s="146"/>
      <c r="AN156" s="146">
        <v>0</v>
      </c>
      <c r="AO156" s="146"/>
      <c r="AP156" s="146">
        <v>0</v>
      </c>
      <c r="AQ156" s="146"/>
      <c r="AR156" s="146">
        <v>0</v>
      </c>
      <c r="AS156" s="146">
        <v>0</v>
      </c>
      <c r="AT156" s="146">
        <v>8</v>
      </c>
      <c r="AU156" s="146">
        <v>8</v>
      </c>
      <c r="AV156" s="146">
        <v>0</v>
      </c>
      <c r="AW156" s="146">
        <v>0</v>
      </c>
      <c r="AX156" s="146">
        <f t="shared" si="25"/>
        <v>4160</v>
      </c>
      <c r="AY156" s="146">
        <f t="shared" si="20"/>
        <v>4160</v>
      </c>
      <c r="AZ156" s="140" t="s">
        <v>562</v>
      </c>
      <c r="BA156" s="140" t="s">
        <v>562</v>
      </c>
      <c r="BB156" s="140">
        <v>5</v>
      </c>
      <c r="BC156" s="148">
        <v>152</v>
      </c>
      <c r="BD156" s="149"/>
      <c r="BE156" s="145"/>
      <c r="BF156" s="150"/>
      <c r="BG156" s="188">
        <v>45931</v>
      </c>
      <c r="BH156" s="153" t="s">
        <v>15</v>
      </c>
      <c r="BI156" s="153" t="s">
        <v>562</v>
      </c>
      <c r="CC156" s="41"/>
      <c r="CD156" s="41"/>
      <c r="CE156" s="41"/>
      <c r="CF156" s="41"/>
      <c r="CG156" s="41"/>
      <c r="CH156" s="41"/>
      <c r="CI156" s="41"/>
      <c r="CJ156" s="41"/>
      <c r="CK156" s="41"/>
      <c r="CL156" s="41"/>
      <c r="CM156" s="41"/>
      <c r="CN156" s="41"/>
      <c r="CO156" s="41"/>
      <c r="CP156" s="41"/>
      <c r="CQ156" s="41"/>
      <c r="CR156" s="41"/>
      <c r="CS156" s="41"/>
      <c r="CT156" s="41"/>
      <c r="CU156" s="41"/>
      <c r="CV156" s="41"/>
      <c r="CW156" s="41"/>
      <c r="CX156" s="41"/>
      <c r="CY156" s="41"/>
      <c r="CZ156" s="41"/>
      <c r="DA156" s="41"/>
      <c r="DB156" s="41"/>
      <c r="DC156" s="41"/>
      <c r="DD156" s="41"/>
      <c r="DE156" s="41"/>
      <c r="DF156" s="41"/>
      <c r="DG156" s="41"/>
      <c r="DH156" s="41"/>
      <c r="DI156" s="41"/>
      <c r="DJ156" s="41"/>
      <c r="DK156" s="41"/>
      <c r="DL156" s="41"/>
      <c r="DM156" s="41"/>
      <c r="DN156" s="41"/>
      <c r="DO156" s="41"/>
      <c r="DP156" s="41"/>
      <c r="DQ156" s="41"/>
      <c r="DR156" s="41"/>
      <c r="DS156" s="41"/>
      <c r="DT156" s="41"/>
      <c r="DU156" s="41"/>
      <c r="DV156" s="41"/>
      <c r="DW156" s="41"/>
      <c r="DX156" s="41"/>
      <c r="DY156" s="41"/>
      <c r="DZ156" s="41"/>
      <c r="EA156" s="41"/>
      <c r="EB156" s="41"/>
      <c r="EC156" s="41"/>
      <c r="ED156" s="41"/>
      <c r="EE156" s="41"/>
      <c r="EF156" s="41"/>
      <c r="EG156" s="41"/>
      <c r="EH156" s="41"/>
      <c r="EI156" s="41"/>
      <c r="EJ156" s="41"/>
      <c r="EK156" s="41"/>
      <c r="EL156" s="41"/>
      <c r="EM156" s="41"/>
      <c r="EN156" s="41"/>
      <c r="EO156" s="41"/>
      <c r="EP156" s="41"/>
      <c r="EQ156" s="41"/>
      <c r="ER156" s="41"/>
      <c r="ES156" s="41"/>
      <c r="ET156" s="41"/>
      <c r="EU156" s="41"/>
      <c r="EV156" s="41"/>
      <c r="EW156" s="41"/>
      <c r="EX156" s="41"/>
      <c r="EY156" s="41"/>
      <c r="EZ156" s="41"/>
      <c r="FA156" s="41"/>
      <c r="FB156" s="41"/>
      <c r="FC156" s="41"/>
      <c r="FD156" s="41"/>
      <c r="FE156" s="41"/>
      <c r="FF156" s="41"/>
      <c r="FG156" s="41"/>
      <c r="FH156" s="41"/>
      <c r="FI156" s="41"/>
      <c r="FJ156" s="41"/>
      <c r="FK156" s="41"/>
      <c r="FL156" s="41"/>
      <c r="FM156" s="41"/>
      <c r="FN156" s="41"/>
      <c r="FO156" s="41"/>
      <c r="FP156" s="41"/>
      <c r="FQ156" s="41"/>
      <c r="FR156" s="41"/>
      <c r="FS156" s="41"/>
      <c r="FT156" s="41"/>
      <c r="FU156" s="41"/>
      <c r="FV156" s="41"/>
      <c r="FW156" s="41"/>
      <c r="FX156" s="41"/>
      <c r="FY156" s="41"/>
      <c r="FZ156" s="41"/>
      <c r="GA156" s="41"/>
      <c r="GB156" s="41"/>
      <c r="GC156" s="41"/>
      <c r="GD156" s="41"/>
      <c r="GE156" s="41"/>
      <c r="GF156" s="41"/>
      <c r="GG156" s="41"/>
      <c r="GH156" s="41"/>
      <c r="GI156" s="41"/>
      <c r="GJ156" s="41"/>
      <c r="GK156" s="41"/>
      <c r="GL156" s="41"/>
      <c r="GM156" s="41"/>
      <c r="GN156" s="41"/>
      <c r="GO156" s="41"/>
      <c r="GP156" s="41"/>
      <c r="GQ156" s="41"/>
      <c r="GR156" s="41"/>
      <c r="GS156" s="41"/>
      <c r="GT156" s="41"/>
      <c r="GU156" s="41"/>
      <c r="GV156" s="41"/>
      <c r="GW156" s="41"/>
      <c r="GX156" s="41"/>
      <c r="GY156" s="41"/>
      <c r="GZ156" s="41"/>
      <c r="HA156" s="41"/>
      <c r="HB156" s="41"/>
      <c r="HC156" s="41"/>
      <c r="HD156" s="41"/>
      <c r="HE156" s="41"/>
      <c r="HF156" s="41"/>
      <c r="HG156" s="41"/>
      <c r="HH156" s="41"/>
      <c r="HI156" s="41"/>
      <c r="HJ156" s="41"/>
      <c r="HK156" s="41"/>
      <c r="HL156" s="41"/>
      <c r="HM156" s="41"/>
      <c r="HN156" s="41"/>
      <c r="HO156" s="41"/>
      <c r="HP156" s="41"/>
      <c r="HQ156" s="41"/>
      <c r="HR156" s="41"/>
      <c r="HS156" s="41"/>
      <c r="HT156" s="41"/>
      <c r="HU156" s="41"/>
      <c r="HV156" s="41"/>
      <c r="HW156" s="41"/>
      <c r="HX156" s="41"/>
      <c r="HY156" s="41"/>
      <c r="HZ156" s="41"/>
      <c r="IA156" s="41"/>
      <c r="IB156" s="41"/>
      <c r="IC156" s="41"/>
      <c r="ID156" s="41"/>
      <c r="IE156" s="41"/>
      <c r="IF156" s="41"/>
      <c r="IG156" s="41"/>
      <c r="IH156" s="41"/>
      <c r="II156" s="41"/>
      <c r="IJ156" s="41"/>
      <c r="IK156" s="41"/>
      <c r="IL156" s="41"/>
      <c r="IM156" s="41"/>
      <c r="IN156" s="41"/>
      <c r="IO156" s="41"/>
      <c r="IP156" s="41"/>
      <c r="IQ156" s="41"/>
      <c r="IR156" s="41"/>
      <c r="IS156" s="41"/>
      <c r="IT156" s="41"/>
      <c r="IU156" s="41"/>
      <c r="IV156" s="41"/>
      <c r="IW156" s="41"/>
      <c r="IX156" s="41"/>
      <c r="IY156" s="41"/>
      <c r="IZ156" s="41"/>
      <c r="JA156" s="41"/>
      <c r="JB156" s="41"/>
      <c r="JC156" s="41"/>
      <c r="JD156" s="41"/>
      <c r="JE156" s="41"/>
      <c r="JF156" s="41"/>
      <c r="JG156" s="41"/>
      <c r="JH156" s="41"/>
      <c r="JI156" s="41"/>
      <c r="JJ156" s="41"/>
      <c r="JK156" s="41"/>
      <c r="JL156" s="41"/>
      <c r="JM156" s="41"/>
      <c r="JN156" s="41"/>
      <c r="JO156" s="41"/>
      <c r="JP156" s="41"/>
      <c r="JQ156" s="41"/>
      <c r="JR156" s="41"/>
      <c r="JS156" s="41"/>
      <c r="JT156" s="41"/>
      <c r="JU156" s="41"/>
      <c r="JV156" s="41"/>
      <c r="JW156" s="41"/>
      <c r="JX156" s="41"/>
      <c r="JY156" s="41"/>
      <c r="JZ156" s="41"/>
      <c r="KA156" s="41"/>
      <c r="KB156" s="41"/>
      <c r="KC156" s="41"/>
      <c r="KD156" s="41"/>
      <c r="KE156" s="41"/>
      <c r="KF156" s="41"/>
      <c r="KG156" s="41"/>
      <c r="KH156" s="41"/>
      <c r="KI156" s="41"/>
      <c r="KJ156" s="41"/>
      <c r="KK156" s="41"/>
      <c r="KL156" s="41"/>
      <c r="KM156" s="41"/>
      <c r="KN156" s="41"/>
      <c r="KO156" s="41"/>
      <c r="KP156" s="41"/>
      <c r="KQ156" s="41"/>
      <c r="KR156" s="41"/>
      <c r="KS156" s="41"/>
      <c r="KT156" s="41"/>
      <c r="KU156" s="41"/>
      <c r="KV156" s="41"/>
      <c r="KW156" s="41"/>
      <c r="KX156" s="41"/>
      <c r="KY156" s="41"/>
      <c r="KZ156" s="41"/>
      <c r="LA156" s="41"/>
      <c r="LB156" s="41"/>
      <c r="LC156" s="41"/>
      <c r="LD156" s="41"/>
      <c r="LE156" s="41"/>
      <c r="LF156" s="41"/>
      <c r="LG156" s="41"/>
      <c r="LH156" s="41"/>
      <c r="LI156" s="41"/>
      <c r="LJ156" s="41"/>
      <c r="LK156" s="41"/>
      <c r="LL156" s="41"/>
      <c r="LM156" s="41"/>
      <c r="LN156" s="41"/>
      <c r="LO156" s="41"/>
      <c r="LP156" s="41"/>
      <c r="LQ156" s="41"/>
      <c r="LR156" s="41"/>
      <c r="LS156" s="41"/>
      <c r="LT156" s="41"/>
      <c r="LU156" s="41"/>
      <c r="LV156" s="41"/>
      <c r="LW156" s="41"/>
      <c r="LX156" s="41"/>
      <c r="LY156" s="41"/>
      <c r="LZ156" s="41"/>
      <c r="MA156" s="41"/>
      <c r="MB156" s="41"/>
      <c r="MC156" s="41"/>
      <c r="MD156" s="41"/>
      <c r="ME156" s="41"/>
      <c r="MF156" s="41"/>
      <c r="MG156" s="41"/>
      <c r="MH156" s="41"/>
      <c r="MI156" s="41"/>
      <c r="MJ156" s="41"/>
      <c r="MK156" s="41"/>
      <c r="ML156" s="41"/>
      <c r="MM156" s="41"/>
      <c r="MN156" s="41"/>
      <c r="MO156" s="41"/>
      <c r="MP156" s="41"/>
      <c r="MQ156" s="41"/>
      <c r="MR156" s="41"/>
      <c r="MS156" s="41"/>
      <c r="MT156" s="41"/>
      <c r="MU156" s="41"/>
      <c r="MV156" s="41"/>
      <c r="MW156" s="41"/>
      <c r="MX156" s="41"/>
      <c r="MY156" s="41"/>
      <c r="MZ156" s="41"/>
      <c r="NA156" s="41"/>
      <c r="NB156" s="41"/>
      <c r="NC156" s="41"/>
      <c r="ND156" s="41"/>
      <c r="NE156" s="41"/>
      <c r="NF156" s="41"/>
      <c r="NG156" s="41"/>
      <c r="NH156" s="41"/>
      <c r="NI156" s="41"/>
      <c r="NJ156" s="41"/>
      <c r="NK156" s="41"/>
      <c r="NL156" s="41"/>
      <c r="NM156" s="41"/>
      <c r="NN156" s="41"/>
      <c r="NO156" s="41"/>
      <c r="NP156" s="41"/>
      <c r="NQ156" s="41"/>
      <c r="NR156" s="41"/>
      <c r="NS156" s="41"/>
      <c r="NT156" s="41"/>
      <c r="NU156" s="41"/>
      <c r="NV156" s="41"/>
      <c r="NW156" s="41"/>
      <c r="NX156" s="41"/>
      <c r="NY156" s="41"/>
      <c r="NZ156" s="41"/>
      <c r="OA156" s="41"/>
      <c r="OB156" s="41"/>
      <c r="OC156" s="41"/>
      <c r="OD156" s="41"/>
      <c r="OE156" s="41"/>
      <c r="OF156" s="41"/>
      <c r="OG156" s="41"/>
      <c r="OH156" s="41"/>
      <c r="OI156" s="41"/>
      <c r="OJ156" s="41"/>
      <c r="OK156" s="41"/>
      <c r="OL156" s="41"/>
      <c r="OM156" s="41"/>
      <c r="ON156" s="41"/>
      <c r="OO156" s="41"/>
      <c r="OP156" s="41"/>
      <c r="OQ156" s="41"/>
      <c r="OR156" s="41"/>
      <c r="OS156" s="41"/>
      <c r="OT156" s="41"/>
      <c r="OU156" s="41"/>
      <c r="OV156" s="41"/>
      <c r="OW156" s="41"/>
      <c r="OX156" s="41"/>
      <c r="OY156" s="41"/>
      <c r="OZ156" s="41"/>
      <c r="PA156" s="41"/>
      <c r="PB156" s="41"/>
      <c r="PC156" s="41"/>
      <c r="PD156" s="41"/>
      <c r="PE156" s="41"/>
      <c r="PF156" s="41"/>
      <c r="PG156" s="41"/>
      <c r="PH156" s="41"/>
      <c r="PI156" s="41"/>
      <c r="PJ156" s="41"/>
      <c r="PK156" s="41"/>
      <c r="PL156" s="41"/>
      <c r="PM156" s="41"/>
      <c r="PN156" s="41"/>
      <c r="PO156" s="41"/>
      <c r="PP156" s="41"/>
      <c r="PQ156" s="41"/>
      <c r="PR156" s="41"/>
      <c r="PS156" s="41"/>
      <c r="PT156" s="41"/>
      <c r="PU156" s="41"/>
      <c r="PV156" s="41"/>
      <c r="PW156" s="41"/>
      <c r="PX156" s="41"/>
      <c r="PY156" s="41"/>
      <c r="PZ156" s="41"/>
      <c r="QA156" s="41"/>
      <c r="QB156" s="41"/>
      <c r="QC156" s="41"/>
      <c r="QD156" s="41"/>
      <c r="QE156" s="41"/>
      <c r="QF156" s="41"/>
      <c r="QG156" s="41"/>
      <c r="QH156" s="41"/>
      <c r="QI156" s="41"/>
      <c r="QJ156" s="41"/>
      <c r="QK156" s="41"/>
      <c r="QL156" s="41"/>
      <c r="QM156" s="41"/>
      <c r="QN156" s="41"/>
      <c r="QO156" s="41"/>
      <c r="QP156" s="41"/>
      <c r="QQ156" s="41"/>
      <c r="QR156" s="41"/>
      <c r="QS156" s="41"/>
      <c r="QT156" s="41"/>
      <c r="QU156" s="41"/>
      <c r="QV156" s="41"/>
      <c r="QW156" s="41"/>
      <c r="QX156" s="41"/>
      <c r="QY156" s="41"/>
      <c r="QZ156" s="41"/>
      <c r="RA156" s="41"/>
      <c r="RB156" s="41"/>
      <c r="RC156" s="41"/>
      <c r="RD156" s="41"/>
      <c r="RE156" s="41"/>
      <c r="RF156" s="41"/>
      <c r="RG156" s="41"/>
      <c r="RH156" s="41"/>
      <c r="RI156" s="41"/>
      <c r="RJ156" s="41"/>
      <c r="RK156" s="41"/>
      <c r="RL156" s="41"/>
      <c r="RM156" s="41"/>
      <c r="RN156" s="41"/>
      <c r="RO156" s="41"/>
      <c r="RP156" s="41"/>
      <c r="RQ156" s="41"/>
      <c r="RR156" s="41"/>
      <c r="RS156" s="41"/>
      <c r="RT156" s="41"/>
      <c r="RU156" s="41"/>
      <c r="RV156" s="41"/>
      <c r="RW156" s="41"/>
      <c r="RX156" s="41"/>
      <c r="RY156" s="41"/>
      <c r="RZ156" s="41"/>
      <c r="SA156" s="41"/>
      <c r="SB156" s="41"/>
      <c r="SC156" s="41"/>
      <c r="SD156" s="41"/>
      <c r="SE156" s="41"/>
      <c r="SF156" s="41"/>
      <c r="SG156" s="41"/>
      <c r="SH156" s="41"/>
      <c r="SI156" s="41"/>
      <c r="SJ156" s="41"/>
      <c r="SK156" s="41"/>
      <c r="SL156" s="41"/>
      <c r="SM156" s="41"/>
      <c r="SN156" s="41"/>
      <c r="SO156" s="41"/>
      <c r="SP156" s="41"/>
      <c r="SQ156" s="41"/>
      <c r="SR156" s="41"/>
      <c r="SS156" s="41"/>
      <c r="ST156" s="41"/>
      <c r="SU156" s="41"/>
      <c r="SV156" s="41"/>
      <c r="SW156" s="41"/>
      <c r="SX156" s="41"/>
      <c r="SY156" s="41"/>
      <c r="SZ156" s="41"/>
      <c r="TA156" s="41"/>
      <c r="TB156" s="41"/>
      <c r="TC156" s="41"/>
      <c r="TD156" s="41"/>
      <c r="TE156" s="41"/>
      <c r="TF156" s="41"/>
      <c r="TG156" s="41"/>
      <c r="TH156" s="41"/>
      <c r="TI156" s="41"/>
      <c r="TJ156" s="41"/>
      <c r="TK156" s="41"/>
      <c r="TL156" s="41"/>
      <c r="TM156" s="41"/>
      <c r="TN156" s="41"/>
      <c r="TO156" s="41"/>
      <c r="TP156" s="41"/>
      <c r="TQ156" s="41"/>
      <c r="TR156" s="41"/>
      <c r="TS156" s="41"/>
      <c r="TT156" s="41"/>
      <c r="TU156" s="41"/>
      <c r="TV156" s="41"/>
      <c r="TW156" s="41"/>
      <c r="TX156" s="41"/>
      <c r="TY156" s="41"/>
      <c r="TZ156" s="41"/>
      <c r="UA156" s="41"/>
      <c r="UB156" s="41"/>
      <c r="UC156" s="41"/>
      <c r="UD156" s="41"/>
      <c r="UE156" s="41"/>
      <c r="UF156" s="41"/>
      <c r="UG156" s="41"/>
      <c r="UH156" s="41"/>
      <c r="UI156" s="41"/>
      <c r="UJ156" s="41"/>
      <c r="UK156" s="41"/>
      <c r="UL156" s="41"/>
      <c r="UM156" s="41"/>
      <c r="UN156" s="41"/>
      <c r="UO156" s="41"/>
      <c r="UP156" s="41"/>
      <c r="UQ156" s="41"/>
      <c r="UR156" s="41"/>
      <c r="US156" s="41"/>
      <c r="UT156" s="41"/>
      <c r="UU156" s="41"/>
      <c r="UV156" s="41"/>
      <c r="UW156" s="41"/>
      <c r="UX156" s="41"/>
      <c r="UY156" s="41"/>
      <c r="UZ156" s="41"/>
      <c r="VA156" s="41"/>
      <c r="VB156" s="41"/>
      <c r="VC156" s="41"/>
      <c r="VD156" s="41"/>
      <c r="VE156" s="41"/>
      <c r="VF156" s="41"/>
      <c r="VG156" s="41"/>
      <c r="VH156" s="41"/>
      <c r="VI156" s="41"/>
      <c r="VJ156" s="41"/>
      <c r="VK156" s="41"/>
      <c r="VL156" s="41"/>
      <c r="VM156" s="41"/>
      <c r="VN156" s="41"/>
      <c r="VO156" s="41"/>
      <c r="VP156" s="41"/>
      <c r="VQ156" s="41"/>
      <c r="VR156" s="41"/>
      <c r="VS156" s="41"/>
      <c r="VT156" s="41"/>
      <c r="VU156" s="41"/>
      <c r="VV156" s="41"/>
      <c r="VW156" s="41"/>
      <c r="VX156" s="41"/>
      <c r="VY156" s="41"/>
      <c r="VZ156" s="41"/>
      <c r="WA156" s="41"/>
      <c r="WB156" s="41"/>
      <c r="WC156" s="41"/>
      <c r="WD156" s="41"/>
      <c r="WE156" s="41"/>
      <c r="WF156" s="41"/>
      <c r="WG156" s="41"/>
      <c r="WH156" s="41"/>
      <c r="WI156" s="41"/>
      <c r="WJ156" s="41"/>
      <c r="WK156" s="41"/>
      <c r="WL156" s="41"/>
      <c r="WM156" s="41"/>
      <c r="WN156" s="41"/>
      <c r="WO156" s="41"/>
      <c r="WP156" s="41"/>
      <c r="WQ156" s="41"/>
      <c r="WR156" s="41"/>
      <c r="WS156" s="41"/>
      <c r="WT156" s="41"/>
      <c r="WU156" s="41"/>
      <c r="WV156" s="41"/>
      <c r="WW156" s="41"/>
      <c r="WX156" s="41"/>
      <c r="WY156" s="41"/>
      <c r="WZ156" s="41"/>
      <c r="XA156" s="41"/>
      <c r="XB156" s="41"/>
      <c r="XC156" s="41"/>
      <c r="XD156" s="41"/>
      <c r="XE156" s="41"/>
      <c r="XF156" s="41"/>
      <c r="XG156" s="41"/>
      <c r="XH156" s="41"/>
      <c r="XI156" s="41"/>
      <c r="XJ156" s="41"/>
      <c r="XK156" s="41"/>
      <c r="XL156" s="41"/>
      <c r="XM156" s="41"/>
      <c r="XN156" s="41"/>
      <c r="XO156" s="41"/>
      <c r="XP156" s="41"/>
      <c r="XQ156" s="41"/>
      <c r="XR156" s="41"/>
      <c r="XS156" s="41"/>
      <c r="XT156" s="41"/>
      <c r="XU156" s="41"/>
      <c r="XV156" s="41"/>
      <c r="XW156" s="41"/>
      <c r="XX156" s="41"/>
      <c r="XY156" s="41"/>
      <c r="XZ156" s="41"/>
      <c r="YA156" s="41"/>
      <c r="YB156" s="41"/>
      <c r="YC156" s="41"/>
      <c r="YD156" s="41"/>
      <c r="YE156" s="41"/>
      <c r="YF156" s="41"/>
      <c r="YG156" s="41"/>
      <c r="YH156" s="41"/>
      <c r="YI156" s="41"/>
      <c r="YJ156" s="41"/>
      <c r="YK156" s="41"/>
      <c r="YL156" s="41"/>
      <c r="YM156" s="41"/>
      <c r="YN156" s="41"/>
      <c r="YO156" s="41"/>
      <c r="YP156" s="41"/>
      <c r="YQ156" s="41"/>
      <c r="YR156" s="41"/>
      <c r="YS156" s="41"/>
      <c r="YT156" s="41"/>
      <c r="YU156" s="41"/>
      <c r="YV156" s="41"/>
      <c r="YW156" s="41"/>
      <c r="YX156" s="41"/>
      <c r="YY156" s="41"/>
      <c r="YZ156" s="41"/>
      <c r="ZA156" s="41"/>
      <c r="ZB156" s="41"/>
      <c r="ZC156" s="41"/>
      <c r="ZD156" s="41"/>
      <c r="ZE156" s="41"/>
      <c r="ZF156" s="41"/>
      <c r="ZG156" s="41"/>
      <c r="ZH156" s="41"/>
      <c r="ZI156" s="41"/>
      <c r="ZJ156" s="41"/>
      <c r="ZK156" s="41"/>
      <c r="ZL156" s="41"/>
      <c r="ZM156" s="41"/>
      <c r="ZN156" s="41"/>
      <c r="ZO156" s="41"/>
      <c r="ZP156" s="41"/>
      <c r="ZQ156" s="41"/>
      <c r="ZR156" s="41"/>
      <c r="ZS156" s="41"/>
      <c r="ZT156" s="41"/>
      <c r="ZU156" s="41"/>
      <c r="ZV156" s="41"/>
      <c r="ZW156" s="41"/>
      <c r="ZX156" s="41"/>
      <c r="ZY156" s="41"/>
      <c r="ZZ156" s="41"/>
      <c r="AAA156" s="41"/>
      <c r="AAB156" s="41"/>
      <c r="AAC156" s="41"/>
    </row>
    <row r="157" spans="1:705" s="42" customFormat="1" ht="44.1" hidden="1" customHeight="1" x14ac:dyDescent="0.3">
      <c r="A157" s="26">
        <v>153</v>
      </c>
      <c r="B157" s="136">
        <v>240644</v>
      </c>
      <c r="C157" s="138">
        <v>153</v>
      </c>
      <c r="D157" s="139">
        <v>45939</v>
      </c>
      <c r="E157" s="139">
        <f t="shared" si="23"/>
        <v>45938</v>
      </c>
      <c r="F157" s="139">
        <f t="shared" si="22"/>
        <v>45949</v>
      </c>
      <c r="G157" s="139">
        <v>45949</v>
      </c>
      <c r="H157" s="139">
        <v>45955</v>
      </c>
      <c r="I157" s="139" t="s">
        <v>75</v>
      </c>
      <c r="J157" s="140" t="s">
        <v>407</v>
      </c>
      <c r="K157" s="141">
        <f t="shared" si="24"/>
        <v>6</v>
      </c>
      <c r="L157" s="142">
        <v>1153055</v>
      </c>
      <c r="M157" s="140" t="s">
        <v>15</v>
      </c>
      <c r="N157" s="142" t="s">
        <v>251</v>
      </c>
      <c r="O157" s="137" t="s">
        <v>251</v>
      </c>
      <c r="P157" s="190" t="s">
        <v>213</v>
      </c>
      <c r="Q157" s="190" t="s">
        <v>213</v>
      </c>
      <c r="R157" s="157" t="s">
        <v>211</v>
      </c>
      <c r="S157" s="156" t="s">
        <v>408</v>
      </c>
      <c r="T157" s="145">
        <v>1</v>
      </c>
      <c r="U157" s="137" t="s">
        <v>374</v>
      </c>
      <c r="V157" s="146">
        <v>0</v>
      </c>
      <c r="W157" s="146">
        <v>0</v>
      </c>
      <c r="X157" s="147">
        <v>0</v>
      </c>
      <c r="Y157" s="146">
        <v>0</v>
      </c>
      <c r="Z157" s="146">
        <v>0</v>
      </c>
      <c r="AA157" s="146">
        <v>0</v>
      </c>
      <c r="AB157" s="146">
        <v>0</v>
      </c>
      <c r="AC157" s="146">
        <v>0</v>
      </c>
      <c r="AD157" s="146">
        <v>0</v>
      </c>
      <c r="AE157" s="146">
        <v>0</v>
      </c>
      <c r="AF157" s="146">
        <v>0</v>
      </c>
      <c r="AG157" s="146">
        <v>0</v>
      </c>
      <c r="AH157" s="146">
        <v>1</v>
      </c>
      <c r="AI157" s="146">
        <v>1</v>
      </c>
      <c r="AJ157" s="146">
        <v>0</v>
      </c>
      <c r="AK157" s="146">
        <v>0</v>
      </c>
      <c r="AL157" s="146">
        <v>0</v>
      </c>
      <c r="AM157" s="146"/>
      <c r="AN157" s="146">
        <v>0</v>
      </c>
      <c r="AO157" s="146"/>
      <c r="AP157" s="146">
        <v>0</v>
      </c>
      <c r="AQ157" s="146">
        <v>0</v>
      </c>
      <c r="AR157" s="146">
        <v>0</v>
      </c>
      <c r="AS157" s="146">
        <v>0</v>
      </c>
      <c r="AT157" s="146">
        <v>1</v>
      </c>
      <c r="AU157" s="146">
        <v>1</v>
      </c>
      <c r="AV157" s="146">
        <v>0</v>
      </c>
      <c r="AW157" s="146">
        <v>0</v>
      </c>
      <c r="AX157" s="146">
        <f t="shared" si="25"/>
        <v>520</v>
      </c>
      <c r="AY157" s="146">
        <f t="shared" si="20"/>
        <v>520</v>
      </c>
      <c r="AZ157" s="140" t="s">
        <v>562</v>
      </c>
      <c r="BA157" s="140" t="s">
        <v>562</v>
      </c>
      <c r="BB157" s="140">
        <v>7</v>
      </c>
      <c r="BC157" s="148">
        <v>153</v>
      </c>
      <c r="BD157" s="149"/>
      <c r="BE157" s="145"/>
      <c r="BF157" s="150"/>
      <c r="BG157" s="188">
        <v>45931</v>
      </c>
      <c r="BH157" s="153" t="s">
        <v>15</v>
      </c>
      <c r="BI157" s="153" t="s">
        <v>562</v>
      </c>
      <c r="CC157" s="41"/>
      <c r="CD157" s="41"/>
      <c r="CE157" s="41"/>
      <c r="CF157" s="41"/>
      <c r="CG157" s="41"/>
      <c r="CH157" s="41"/>
      <c r="CI157" s="41"/>
      <c r="CJ157" s="41"/>
      <c r="CK157" s="41"/>
      <c r="CL157" s="41"/>
      <c r="CM157" s="41"/>
      <c r="CN157" s="41"/>
      <c r="CO157" s="41"/>
      <c r="CP157" s="41"/>
      <c r="CQ157" s="41"/>
      <c r="CR157" s="41"/>
      <c r="CS157" s="41"/>
      <c r="CT157" s="41"/>
      <c r="CU157" s="41"/>
      <c r="CV157" s="41"/>
      <c r="CW157" s="41"/>
      <c r="CX157" s="41"/>
      <c r="CY157" s="41"/>
      <c r="CZ157" s="41"/>
      <c r="DA157" s="41"/>
      <c r="DB157" s="41"/>
      <c r="DC157" s="41"/>
      <c r="DD157" s="41"/>
      <c r="DE157" s="41"/>
      <c r="DF157" s="41"/>
      <c r="DG157" s="41"/>
      <c r="DH157" s="41"/>
      <c r="DI157" s="41"/>
      <c r="DJ157" s="41"/>
      <c r="DK157" s="41"/>
      <c r="DL157" s="41"/>
      <c r="DM157" s="41"/>
      <c r="DN157" s="41"/>
      <c r="DO157" s="41"/>
      <c r="DP157" s="41"/>
      <c r="DQ157" s="41"/>
      <c r="DR157" s="41"/>
      <c r="DS157" s="41"/>
      <c r="DT157" s="41"/>
      <c r="DU157" s="41"/>
      <c r="DV157" s="41"/>
      <c r="DW157" s="41"/>
      <c r="DX157" s="41"/>
      <c r="DY157" s="41"/>
      <c r="DZ157" s="41"/>
      <c r="EA157" s="41"/>
      <c r="EB157" s="41"/>
      <c r="EC157" s="41"/>
      <c r="ED157" s="41"/>
      <c r="EE157" s="41"/>
      <c r="EF157" s="41"/>
      <c r="EG157" s="41"/>
      <c r="EH157" s="41"/>
      <c r="EI157" s="41"/>
      <c r="EJ157" s="41"/>
      <c r="EK157" s="41"/>
      <c r="EL157" s="41"/>
      <c r="EM157" s="41"/>
      <c r="EN157" s="41"/>
      <c r="EO157" s="41"/>
      <c r="EP157" s="41"/>
      <c r="EQ157" s="41"/>
      <c r="ER157" s="41"/>
      <c r="ES157" s="41"/>
      <c r="ET157" s="41"/>
      <c r="EU157" s="41"/>
      <c r="EV157" s="41"/>
      <c r="EW157" s="41"/>
      <c r="EX157" s="41"/>
      <c r="EY157" s="41"/>
      <c r="EZ157" s="41"/>
      <c r="FA157" s="41"/>
      <c r="FB157" s="41"/>
      <c r="FC157" s="41"/>
      <c r="FD157" s="41"/>
      <c r="FE157" s="41"/>
      <c r="FF157" s="41"/>
      <c r="FG157" s="41"/>
      <c r="FH157" s="41"/>
      <c r="FI157" s="41"/>
      <c r="FJ157" s="41"/>
      <c r="FK157" s="41"/>
      <c r="FL157" s="41"/>
      <c r="FM157" s="41"/>
      <c r="FN157" s="41"/>
      <c r="FO157" s="41"/>
      <c r="FP157" s="41"/>
      <c r="FQ157" s="41"/>
      <c r="FR157" s="41"/>
      <c r="FS157" s="41"/>
      <c r="FT157" s="41"/>
      <c r="FU157" s="41"/>
      <c r="FV157" s="41"/>
      <c r="FW157" s="41"/>
      <c r="FX157" s="41"/>
      <c r="FY157" s="41"/>
      <c r="FZ157" s="41"/>
      <c r="GA157" s="41"/>
      <c r="GB157" s="41"/>
      <c r="GC157" s="41"/>
      <c r="GD157" s="41"/>
      <c r="GE157" s="41"/>
      <c r="GF157" s="41"/>
      <c r="GG157" s="41"/>
      <c r="GH157" s="41"/>
      <c r="GI157" s="41"/>
      <c r="GJ157" s="41"/>
      <c r="GK157" s="41"/>
      <c r="GL157" s="41"/>
      <c r="GM157" s="41"/>
      <c r="GN157" s="41"/>
      <c r="GO157" s="41"/>
      <c r="GP157" s="41"/>
      <c r="GQ157" s="41"/>
      <c r="GR157" s="41"/>
      <c r="GS157" s="41"/>
      <c r="GT157" s="41"/>
      <c r="GU157" s="41"/>
      <c r="GV157" s="41"/>
      <c r="GW157" s="41"/>
      <c r="GX157" s="41"/>
      <c r="GY157" s="41"/>
      <c r="GZ157" s="41"/>
      <c r="HA157" s="41"/>
      <c r="HB157" s="41"/>
      <c r="HC157" s="41"/>
      <c r="HD157" s="41"/>
      <c r="HE157" s="41"/>
      <c r="HF157" s="41"/>
      <c r="HG157" s="41"/>
      <c r="HH157" s="41"/>
      <c r="HI157" s="41"/>
      <c r="HJ157" s="41"/>
      <c r="HK157" s="41"/>
      <c r="HL157" s="41"/>
      <c r="HM157" s="41"/>
      <c r="HN157" s="41"/>
      <c r="HO157" s="41"/>
      <c r="HP157" s="41"/>
      <c r="HQ157" s="41"/>
      <c r="HR157" s="41"/>
      <c r="HS157" s="41"/>
      <c r="HT157" s="41"/>
      <c r="HU157" s="41"/>
      <c r="HV157" s="41"/>
      <c r="HW157" s="41"/>
      <c r="HX157" s="41"/>
      <c r="HY157" s="41"/>
      <c r="HZ157" s="41"/>
      <c r="IA157" s="41"/>
      <c r="IB157" s="41"/>
      <c r="IC157" s="41"/>
      <c r="ID157" s="41"/>
      <c r="IE157" s="41"/>
      <c r="IF157" s="41"/>
      <c r="IG157" s="41"/>
      <c r="IH157" s="41"/>
      <c r="II157" s="41"/>
      <c r="IJ157" s="41"/>
      <c r="IK157" s="41"/>
      <c r="IL157" s="41"/>
      <c r="IM157" s="41"/>
      <c r="IN157" s="41"/>
      <c r="IO157" s="41"/>
      <c r="IP157" s="41"/>
      <c r="IQ157" s="41"/>
      <c r="IR157" s="41"/>
      <c r="IS157" s="41"/>
      <c r="IT157" s="41"/>
      <c r="IU157" s="41"/>
      <c r="IV157" s="41"/>
      <c r="IW157" s="41"/>
      <c r="IX157" s="41"/>
      <c r="IY157" s="41"/>
      <c r="IZ157" s="41"/>
      <c r="JA157" s="41"/>
      <c r="JB157" s="41"/>
      <c r="JC157" s="41"/>
      <c r="JD157" s="41"/>
      <c r="JE157" s="41"/>
      <c r="JF157" s="41"/>
      <c r="JG157" s="41"/>
      <c r="JH157" s="41"/>
      <c r="JI157" s="41"/>
      <c r="JJ157" s="41"/>
      <c r="JK157" s="41"/>
      <c r="JL157" s="41"/>
      <c r="JM157" s="41"/>
      <c r="JN157" s="41"/>
      <c r="JO157" s="41"/>
      <c r="JP157" s="41"/>
      <c r="JQ157" s="41"/>
      <c r="JR157" s="41"/>
      <c r="JS157" s="41"/>
      <c r="JT157" s="41"/>
      <c r="JU157" s="41"/>
      <c r="JV157" s="41"/>
      <c r="JW157" s="41"/>
      <c r="JX157" s="41"/>
      <c r="JY157" s="41"/>
      <c r="JZ157" s="41"/>
      <c r="KA157" s="41"/>
      <c r="KB157" s="41"/>
      <c r="KC157" s="41"/>
      <c r="KD157" s="41"/>
      <c r="KE157" s="41"/>
      <c r="KF157" s="41"/>
      <c r="KG157" s="41"/>
      <c r="KH157" s="41"/>
      <c r="KI157" s="41"/>
      <c r="KJ157" s="41"/>
      <c r="KK157" s="41"/>
      <c r="KL157" s="41"/>
      <c r="KM157" s="41"/>
      <c r="KN157" s="41"/>
      <c r="KO157" s="41"/>
      <c r="KP157" s="41"/>
      <c r="KQ157" s="41"/>
      <c r="KR157" s="41"/>
      <c r="KS157" s="41"/>
      <c r="KT157" s="41"/>
      <c r="KU157" s="41"/>
      <c r="KV157" s="41"/>
      <c r="KW157" s="41"/>
      <c r="KX157" s="41"/>
      <c r="KY157" s="41"/>
      <c r="KZ157" s="41"/>
      <c r="LA157" s="41"/>
      <c r="LB157" s="41"/>
      <c r="LC157" s="41"/>
      <c r="LD157" s="41"/>
      <c r="LE157" s="41"/>
      <c r="LF157" s="41"/>
      <c r="LG157" s="41"/>
      <c r="LH157" s="41"/>
      <c r="LI157" s="41"/>
      <c r="LJ157" s="41"/>
      <c r="LK157" s="41"/>
      <c r="LL157" s="41"/>
      <c r="LM157" s="41"/>
      <c r="LN157" s="41"/>
      <c r="LO157" s="41"/>
      <c r="LP157" s="41"/>
      <c r="LQ157" s="41"/>
      <c r="LR157" s="41"/>
      <c r="LS157" s="41"/>
      <c r="LT157" s="41"/>
      <c r="LU157" s="41"/>
      <c r="LV157" s="41"/>
      <c r="LW157" s="41"/>
      <c r="LX157" s="41"/>
      <c r="LY157" s="41"/>
      <c r="LZ157" s="41"/>
      <c r="MA157" s="41"/>
      <c r="MB157" s="41"/>
      <c r="MC157" s="41"/>
      <c r="MD157" s="41"/>
      <c r="ME157" s="41"/>
      <c r="MF157" s="41"/>
      <c r="MG157" s="41"/>
      <c r="MH157" s="41"/>
      <c r="MI157" s="41"/>
      <c r="MJ157" s="41"/>
      <c r="MK157" s="41"/>
      <c r="ML157" s="41"/>
      <c r="MM157" s="41"/>
      <c r="MN157" s="41"/>
      <c r="MO157" s="41"/>
      <c r="MP157" s="41"/>
      <c r="MQ157" s="41"/>
      <c r="MR157" s="41"/>
      <c r="MS157" s="41"/>
      <c r="MT157" s="41"/>
      <c r="MU157" s="41"/>
      <c r="MV157" s="41"/>
      <c r="MW157" s="41"/>
      <c r="MX157" s="41"/>
      <c r="MY157" s="41"/>
      <c r="MZ157" s="41"/>
      <c r="NA157" s="41"/>
      <c r="NB157" s="41"/>
      <c r="NC157" s="41"/>
      <c r="ND157" s="41"/>
      <c r="NE157" s="41"/>
      <c r="NF157" s="41"/>
      <c r="NG157" s="41"/>
      <c r="NH157" s="41"/>
      <c r="NI157" s="41"/>
      <c r="NJ157" s="41"/>
      <c r="NK157" s="41"/>
      <c r="NL157" s="41"/>
      <c r="NM157" s="41"/>
      <c r="NN157" s="41"/>
      <c r="NO157" s="41"/>
      <c r="NP157" s="41"/>
      <c r="NQ157" s="41"/>
      <c r="NR157" s="41"/>
      <c r="NS157" s="41"/>
      <c r="NT157" s="41"/>
      <c r="NU157" s="41"/>
      <c r="NV157" s="41"/>
      <c r="NW157" s="41"/>
      <c r="NX157" s="41"/>
      <c r="NY157" s="41"/>
      <c r="NZ157" s="41"/>
      <c r="OA157" s="41"/>
      <c r="OB157" s="41"/>
      <c r="OC157" s="41"/>
      <c r="OD157" s="41"/>
      <c r="OE157" s="41"/>
      <c r="OF157" s="41"/>
      <c r="OG157" s="41"/>
      <c r="OH157" s="41"/>
      <c r="OI157" s="41"/>
      <c r="OJ157" s="41"/>
      <c r="OK157" s="41"/>
      <c r="OL157" s="41"/>
      <c r="OM157" s="41"/>
      <c r="ON157" s="41"/>
      <c r="OO157" s="41"/>
      <c r="OP157" s="41"/>
      <c r="OQ157" s="41"/>
      <c r="OR157" s="41"/>
      <c r="OS157" s="41"/>
      <c r="OT157" s="41"/>
      <c r="OU157" s="41"/>
      <c r="OV157" s="41"/>
      <c r="OW157" s="41"/>
      <c r="OX157" s="41"/>
      <c r="OY157" s="41"/>
      <c r="OZ157" s="41"/>
      <c r="PA157" s="41"/>
      <c r="PB157" s="41"/>
      <c r="PC157" s="41"/>
      <c r="PD157" s="41"/>
      <c r="PE157" s="41"/>
      <c r="PF157" s="41"/>
      <c r="PG157" s="41"/>
      <c r="PH157" s="41"/>
      <c r="PI157" s="41"/>
      <c r="PJ157" s="41"/>
      <c r="PK157" s="41"/>
      <c r="PL157" s="41"/>
      <c r="PM157" s="41"/>
      <c r="PN157" s="41"/>
      <c r="PO157" s="41"/>
      <c r="PP157" s="41"/>
      <c r="PQ157" s="41"/>
      <c r="PR157" s="41"/>
      <c r="PS157" s="41"/>
      <c r="PT157" s="41"/>
      <c r="PU157" s="41"/>
      <c r="PV157" s="41"/>
      <c r="PW157" s="41"/>
      <c r="PX157" s="41"/>
      <c r="PY157" s="41"/>
      <c r="PZ157" s="41"/>
      <c r="QA157" s="41"/>
      <c r="QB157" s="41"/>
      <c r="QC157" s="41"/>
      <c r="QD157" s="41"/>
      <c r="QE157" s="41"/>
      <c r="QF157" s="41"/>
      <c r="QG157" s="41"/>
      <c r="QH157" s="41"/>
      <c r="QI157" s="41"/>
      <c r="QJ157" s="41"/>
      <c r="QK157" s="41"/>
      <c r="QL157" s="41"/>
      <c r="QM157" s="41"/>
      <c r="QN157" s="41"/>
      <c r="QO157" s="41"/>
      <c r="QP157" s="41"/>
      <c r="QQ157" s="41"/>
      <c r="QR157" s="41"/>
      <c r="QS157" s="41"/>
      <c r="QT157" s="41"/>
      <c r="QU157" s="41"/>
      <c r="QV157" s="41"/>
      <c r="QW157" s="41"/>
      <c r="QX157" s="41"/>
      <c r="QY157" s="41"/>
      <c r="QZ157" s="41"/>
      <c r="RA157" s="41"/>
      <c r="RB157" s="41"/>
      <c r="RC157" s="41"/>
      <c r="RD157" s="41"/>
      <c r="RE157" s="41"/>
      <c r="RF157" s="41"/>
      <c r="RG157" s="41"/>
      <c r="RH157" s="41"/>
      <c r="RI157" s="41"/>
      <c r="RJ157" s="41"/>
      <c r="RK157" s="41"/>
      <c r="RL157" s="41"/>
      <c r="RM157" s="41"/>
      <c r="RN157" s="41"/>
      <c r="RO157" s="41"/>
      <c r="RP157" s="41"/>
      <c r="RQ157" s="41"/>
      <c r="RR157" s="41"/>
      <c r="RS157" s="41"/>
      <c r="RT157" s="41"/>
      <c r="RU157" s="41"/>
      <c r="RV157" s="41"/>
      <c r="RW157" s="41"/>
      <c r="RX157" s="41"/>
      <c r="RY157" s="41"/>
      <c r="RZ157" s="41"/>
      <c r="SA157" s="41"/>
      <c r="SB157" s="41"/>
      <c r="SC157" s="41"/>
      <c r="SD157" s="41"/>
      <c r="SE157" s="41"/>
      <c r="SF157" s="41"/>
      <c r="SG157" s="41"/>
      <c r="SH157" s="41"/>
      <c r="SI157" s="41"/>
      <c r="SJ157" s="41"/>
      <c r="SK157" s="41"/>
      <c r="SL157" s="41"/>
      <c r="SM157" s="41"/>
      <c r="SN157" s="41"/>
      <c r="SO157" s="41"/>
      <c r="SP157" s="41"/>
      <c r="SQ157" s="41"/>
      <c r="SR157" s="41"/>
      <c r="SS157" s="41"/>
      <c r="ST157" s="41"/>
      <c r="SU157" s="41"/>
      <c r="SV157" s="41"/>
      <c r="SW157" s="41"/>
      <c r="SX157" s="41"/>
      <c r="SY157" s="41"/>
      <c r="SZ157" s="41"/>
      <c r="TA157" s="41"/>
      <c r="TB157" s="41"/>
      <c r="TC157" s="41"/>
      <c r="TD157" s="41"/>
      <c r="TE157" s="41"/>
      <c r="TF157" s="41"/>
      <c r="TG157" s="41"/>
      <c r="TH157" s="41"/>
      <c r="TI157" s="41"/>
      <c r="TJ157" s="41"/>
      <c r="TK157" s="41"/>
      <c r="TL157" s="41"/>
      <c r="TM157" s="41"/>
      <c r="TN157" s="41"/>
      <c r="TO157" s="41"/>
      <c r="TP157" s="41"/>
      <c r="TQ157" s="41"/>
      <c r="TR157" s="41"/>
      <c r="TS157" s="41"/>
      <c r="TT157" s="41"/>
      <c r="TU157" s="41"/>
      <c r="TV157" s="41"/>
      <c r="TW157" s="41"/>
      <c r="TX157" s="41"/>
      <c r="TY157" s="41"/>
      <c r="TZ157" s="41"/>
      <c r="UA157" s="41"/>
      <c r="UB157" s="41"/>
      <c r="UC157" s="41"/>
      <c r="UD157" s="41"/>
      <c r="UE157" s="41"/>
      <c r="UF157" s="41"/>
      <c r="UG157" s="41"/>
      <c r="UH157" s="41"/>
      <c r="UI157" s="41"/>
      <c r="UJ157" s="41"/>
      <c r="UK157" s="41"/>
      <c r="UL157" s="41"/>
      <c r="UM157" s="41"/>
      <c r="UN157" s="41"/>
      <c r="UO157" s="41"/>
      <c r="UP157" s="41"/>
      <c r="UQ157" s="41"/>
      <c r="UR157" s="41"/>
      <c r="US157" s="41"/>
      <c r="UT157" s="41"/>
      <c r="UU157" s="41"/>
      <c r="UV157" s="41"/>
      <c r="UW157" s="41"/>
      <c r="UX157" s="41"/>
      <c r="UY157" s="41"/>
      <c r="UZ157" s="41"/>
      <c r="VA157" s="41"/>
      <c r="VB157" s="41"/>
      <c r="VC157" s="41"/>
      <c r="VD157" s="41"/>
      <c r="VE157" s="41"/>
      <c r="VF157" s="41"/>
      <c r="VG157" s="41"/>
      <c r="VH157" s="41"/>
      <c r="VI157" s="41"/>
      <c r="VJ157" s="41"/>
      <c r="VK157" s="41"/>
      <c r="VL157" s="41"/>
      <c r="VM157" s="41"/>
      <c r="VN157" s="41"/>
      <c r="VO157" s="41"/>
      <c r="VP157" s="41"/>
      <c r="VQ157" s="41"/>
      <c r="VR157" s="41"/>
      <c r="VS157" s="41"/>
      <c r="VT157" s="41"/>
      <c r="VU157" s="41"/>
      <c r="VV157" s="41"/>
      <c r="VW157" s="41"/>
      <c r="VX157" s="41"/>
      <c r="VY157" s="41"/>
      <c r="VZ157" s="41"/>
      <c r="WA157" s="41"/>
      <c r="WB157" s="41"/>
      <c r="WC157" s="41"/>
      <c r="WD157" s="41"/>
      <c r="WE157" s="41"/>
      <c r="WF157" s="41"/>
      <c r="WG157" s="41"/>
      <c r="WH157" s="41"/>
      <c r="WI157" s="41"/>
      <c r="WJ157" s="41"/>
      <c r="WK157" s="41"/>
      <c r="WL157" s="41"/>
      <c r="WM157" s="41"/>
      <c r="WN157" s="41"/>
      <c r="WO157" s="41"/>
      <c r="WP157" s="41"/>
      <c r="WQ157" s="41"/>
      <c r="WR157" s="41"/>
      <c r="WS157" s="41"/>
      <c r="WT157" s="41"/>
      <c r="WU157" s="41"/>
      <c r="WV157" s="41"/>
      <c r="WW157" s="41"/>
      <c r="WX157" s="41"/>
      <c r="WY157" s="41"/>
      <c r="WZ157" s="41"/>
      <c r="XA157" s="41"/>
      <c r="XB157" s="41"/>
      <c r="XC157" s="41"/>
      <c r="XD157" s="41"/>
      <c r="XE157" s="41"/>
      <c r="XF157" s="41"/>
      <c r="XG157" s="41"/>
      <c r="XH157" s="41"/>
      <c r="XI157" s="41"/>
      <c r="XJ157" s="41"/>
      <c r="XK157" s="41"/>
      <c r="XL157" s="41"/>
      <c r="XM157" s="41"/>
      <c r="XN157" s="41"/>
      <c r="XO157" s="41"/>
      <c r="XP157" s="41"/>
      <c r="XQ157" s="41"/>
      <c r="XR157" s="41"/>
      <c r="XS157" s="41"/>
      <c r="XT157" s="41"/>
      <c r="XU157" s="41"/>
      <c r="XV157" s="41"/>
      <c r="XW157" s="41"/>
      <c r="XX157" s="41"/>
      <c r="XY157" s="41"/>
      <c r="XZ157" s="41"/>
      <c r="YA157" s="41"/>
      <c r="YB157" s="41"/>
      <c r="YC157" s="41"/>
      <c r="YD157" s="41"/>
      <c r="YE157" s="41"/>
      <c r="YF157" s="41"/>
      <c r="YG157" s="41"/>
      <c r="YH157" s="41"/>
      <c r="YI157" s="41"/>
      <c r="YJ157" s="41"/>
      <c r="YK157" s="41"/>
      <c r="YL157" s="41"/>
      <c r="YM157" s="41"/>
      <c r="YN157" s="41"/>
      <c r="YO157" s="41"/>
      <c r="YP157" s="41"/>
      <c r="YQ157" s="41"/>
      <c r="YR157" s="41"/>
      <c r="YS157" s="41"/>
      <c r="YT157" s="41"/>
      <c r="YU157" s="41"/>
      <c r="YV157" s="41"/>
      <c r="YW157" s="41"/>
      <c r="YX157" s="41"/>
      <c r="YY157" s="41"/>
      <c r="YZ157" s="41"/>
      <c r="ZA157" s="41"/>
      <c r="ZB157" s="41"/>
      <c r="ZC157" s="41"/>
      <c r="ZD157" s="41"/>
      <c r="ZE157" s="41"/>
      <c r="ZF157" s="41"/>
      <c r="ZG157" s="41"/>
      <c r="ZH157" s="41"/>
      <c r="ZI157" s="41"/>
      <c r="ZJ157" s="41"/>
      <c r="ZK157" s="41"/>
      <c r="ZL157" s="41"/>
      <c r="ZM157" s="41"/>
      <c r="ZN157" s="41"/>
      <c r="ZO157" s="41"/>
      <c r="ZP157" s="41"/>
      <c r="ZQ157" s="41"/>
      <c r="ZR157" s="41"/>
      <c r="ZS157" s="41"/>
      <c r="ZT157" s="41"/>
      <c r="ZU157" s="41"/>
      <c r="ZV157" s="41"/>
      <c r="ZW157" s="41"/>
      <c r="ZX157" s="41"/>
      <c r="ZY157" s="41"/>
      <c r="ZZ157" s="41"/>
      <c r="AAA157" s="41"/>
      <c r="AAB157" s="41"/>
      <c r="AAC157" s="41"/>
    </row>
    <row r="158" spans="1:705" s="42" customFormat="1" ht="44.1" hidden="1" customHeight="1" x14ac:dyDescent="0.3">
      <c r="A158" s="26">
        <v>154</v>
      </c>
      <c r="B158" s="136">
        <v>240648</v>
      </c>
      <c r="C158" s="138">
        <v>154</v>
      </c>
      <c r="D158" s="139">
        <v>45939</v>
      </c>
      <c r="E158" s="139">
        <f t="shared" si="23"/>
        <v>45938</v>
      </c>
      <c r="F158" s="139">
        <f t="shared" si="22"/>
        <v>45949</v>
      </c>
      <c r="G158" s="139">
        <v>45949</v>
      </c>
      <c r="H158" s="139">
        <v>45967</v>
      </c>
      <c r="I158" s="139" t="s">
        <v>75</v>
      </c>
      <c r="J158" s="140" t="s">
        <v>409</v>
      </c>
      <c r="K158" s="141">
        <f t="shared" si="24"/>
        <v>18</v>
      </c>
      <c r="L158" s="141">
        <v>1153076</v>
      </c>
      <c r="M158" s="140" t="s">
        <v>15</v>
      </c>
      <c r="N158" s="142">
        <v>806481</v>
      </c>
      <c r="O158" s="137" t="s">
        <v>246</v>
      </c>
      <c r="P158" s="190">
        <v>45955</v>
      </c>
      <c r="Q158" s="190">
        <v>45970</v>
      </c>
      <c r="R158" s="157" t="s">
        <v>211</v>
      </c>
      <c r="S158" s="144" t="s">
        <v>410</v>
      </c>
      <c r="T158" s="145">
        <v>1</v>
      </c>
      <c r="U158" s="137" t="s">
        <v>98</v>
      </c>
      <c r="V158" s="146">
        <v>5</v>
      </c>
      <c r="W158" s="146">
        <v>5</v>
      </c>
      <c r="X158" s="147">
        <v>0</v>
      </c>
      <c r="Y158" s="146">
        <v>0</v>
      </c>
      <c r="Z158" s="146">
        <v>0</v>
      </c>
      <c r="AA158" s="146">
        <v>0</v>
      </c>
      <c r="AB158" s="146">
        <v>5</v>
      </c>
      <c r="AC158" s="146">
        <v>5</v>
      </c>
      <c r="AD158" s="146">
        <v>0</v>
      </c>
      <c r="AE158" s="146">
        <v>0</v>
      </c>
      <c r="AF158" s="146">
        <v>0</v>
      </c>
      <c r="AG158" s="146">
        <v>0</v>
      </c>
      <c r="AH158" s="146">
        <v>1</v>
      </c>
      <c r="AI158" s="146">
        <v>1</v>
      </c>
      <c r="AJ158" s="146">
        <v>0</v>
      </c>
      <c r="AK158" s="146">
        <v>0</v>
      </c>
      <c r="AL158" s="146">
        <v>0</v>
      </c>
      <c r="AM158" s="146"/>
      <c r="AN158" s="146">
        <v>0</v>
      </c>
      <c r="AO158" s="146"/>
      <c r="AP158" s="146">
        <v>1</v>
      </c>
      <c r="AQ158" s="146">
        <v>1</v>
      </c>
      <c r="AR158" s="146">
        <v>0</v>
      </c>
      <c r="AS158" s="146">
        <v>0</v>
      </c>
      <c r="AT158" s="146">
        <v>1</v>
      </c>
      <c r="AU158" s="146">
        <v>1</v>
      </c>
      <c r="AV158" s="146">
        <v>0</v>
      </c>
      <c r="AW158" s="146">
        <v>0</v>
      </c>
      <c r="AX158" s="146">
        <f t="shared" si="25"/>
        <v>1735</v>
      </c>
      <c r="AY158" s="146">
        <f t="shared" si="20"/>
        <v>1735</v>
      </c>
      <c r="AZ158" s="140" t="s">
        <v>562</v>
      </c>
      <c r="BA158" s="140" t="s">
        <v>562</v>
      </c>
      <c r="BB158" s="140">
        <v>2</v>
      </c>
      <c r="BC158" s="148">
        <v>154</v>
      </c>
      <c r="BD158" s="149"/>
      <c r="BE158" s="145"/>
      <c r="BF158" s="150"/>
      <c r="BG158" s="151">
        <v>45931</v>
      </c>
      <c r="BH158" s="153" t="s">
        <v>535</v>
      </c>
      <c r="BI158" s="153" t="s">
        <v>562</v>
      </c>
      <c r="CC158" s="41"/>
      <c r="CD158" s="41"/>
      <c r="CE158" s="41"/>
      <c r="CF158" s="41"/>
      <c r="CG158" s="41"/>
      <c r="CH158" s="41"/>
      <c r="CI158" s="41"/>
      <c r="CJ158" s="41"/>
      <c r="CK158" s="41"/>
      <c r="CL158" s="41"/>
      <c r="CM158" s="41"/>
      <c r="CN158" s="41"/>
      <c r="CO158" s="41"/>
      <c r="CP158" s="41"/>
      <c r="CQ158" s="41"/>
      <c r="CR158" s="41"/>
      <c r="CS158" s="41"/>
      <c r="CT158" s="41"/>
      <c r="CU158" s="41"/>
      <c r="CV158" s="41"/>
      <c r="CW158" s="41"/>
      <c r="CX158" s="41"/>
      <c r="CY158" s="41"/>
      <c r="CZ158" s="41"/>
      <c r="DA158" s="41"/>
      <c r="DB158" s="41"/>
      <c r="DC158" s="41"/>
      <c r="DD158" s="41"/>
      <c r="DE158" s="41"/>
      <c r="DF158" s="41"/>
      <c r="DG158" s="41"/>
      <c r="DH158" s="41"/>
      <c r="DI158" s="41"/>
      <c r="DJ158" s="41"/>
      <c r="DK158" s="41"/>
      <c r="DL158" s="41"/>
      <c r="DM158" s="41"/>
      <c r="DN158" s="41"/>
      <c r="DO158" s="41"/>
      <c r="DP158" s="41"/>
      <c r="DQ158" s="41"/>
      <c r="DR158" s="41"/>
      <c r="DS158" s="41"/>
      <c r="DT158" s="41"/>
      <c r="DU158" s="41"/>
      <c r="DV158" s="41"/>
      <c r="DW158" s="41"/>
      <c r="DX158" s="41"/>
      <c r="DY158" s="41"/>
      <c r="DZ158" s="41"/>
      <c r="EA158" s="41"/>
      <c r="EB158" s="41"/>
      <c r="EC158" s="41"/>
      <c r="ED158" s="41"/>
      <c r="EE158" s="41"/>
      <c r="EF158" s="41"/>
      <c r="EG158" s="41"/>
      <c r="EH158" s="41"/>
      <c r="EI158" s="41"/>
      <c r="EJ158" s="41"/>
      <c r="EK158" s="41"/>
      <c r="EL158" s="41"/>
      <c r="EM158" s="41"/>
      <c r="EN158" s="41"/>
      <c r="EO158" s="41"/>
      <c r="EP158" s="41"/>
      <c r="EQ158" s="41"/>
      <c r="ER158" s="41"/>
      <c r="ES158" s="41"/>
      <c r="ET158" s="41"/>
      <c r="EU158" s="41"/>
      <c r="EV158" s="41"/>
      <c r="EW158" s="41"/>
      <c r="EX158" s="41"/>
      <c r="EY158" s="41"/>
      <c r="EZ158" s="41"/>
      <c r="FA158" s="41"/>
      <c r="FB158" s="41"/>
      <c r="FC158" s="41"/>
      <c r="FD158" s="41"/>
      <c r="FE158" s="41"/>
      <c r="FF158" s="41"/>
      <c r="FG158" s="41"/>
      <c r="FH158" s="41"/>
      <c r="FI158" s="41"/>
      <c r="FJ158" s="41"/>
      <c r="FK158" s="41"/>
      <c r="FL158" s="41"/>
      <c r="FM158" s="41"/>
      <c r="FN158" s="41"/>
      <c r="FO158" s="41"/>
      <c r="FP158" s="41"/>
      <c r="FQ158" s="41"/>
      <c r="FR158" s="41"/>
      <c r="FS158" s="41"/>
      <c r="FT158" s="41"/>
      <c r="FU158" s="41"/>
      <c r="FV158" s="41"/>
      <c r="FW158" s="41"/>
      <c r="FX158" s="41"/>
      <c r="FY158" s="41"/>
      <c r="FZ158" s="41"/>
      <c r="GA158" s="41"/>
      <c r="GB158" s="41"/>
      <c r="GC158" s="41"/>
      <c r="GD158" s="41"/>
      <c r="GE158" s="41"/>
      <c r="GF158" s="41"/>
      <c r="GG158" s="41"/>
      <c r="GH158" s="41"/>
      <c r="GI158" s="41"/>
      <c r="GJ158" s="41"/>
      <c r="GK158" s="41"/>
      <c r="GL158" s="41"/>
      <c r="GM158" s="41"/>
      <c r="GN158" s="41"/>
      <c r="GO158" s="41"/>
      <c r="GP158" s="41"/>
      <c r="GQ158" s="41"/>
      <c r="GR158" s="41"/>
      <c r="GS158" s="41"/>
      <c r="GT158" s="41"/>
      <c r="GU158" s="41"/>
      <c r="GV158" s="41"/>
      <c r="GW158" s="41"/>
      <c r="GX158" s="41"/>
      <c r="GY158" s="41"/>
      <c r="GZ158" s="41"/>
      <c r="HA158" s="41"/>
      <c r="HB158" s="41"/>
      <c r="HC158" s="41"/>
      <c r="HD158" s="41"/>
      <c r="HE158" s="41"/>
      <c r="HF158" s="41"/>
      <c r="HG158" s="41"/>
      <c r="HH158" s="41"/>
      <c r="HI158" s="41"/>
      <c r="HJ158" s="41"/>
      <c r="HK158" s="41"/>
      <c r="HL158" s="41"/>
      <c r="HM158" s="41"/>
      <c r="HN158" s="41"/>
      <c r="HO158" s="41"/>
      <c r="HP158" s="41"/>
      <c r="HQ158" s="41"/>
      <c r="HR158" s="41"/>
      <c r="HS158" s="41"/>
      <c r="HT158" s="41"/>
      <c r="HU158" s="41"/>
      <c r="HV158" s="41"/>
      <c r="HW158" s="41"/>
      <c r="HX158" s="41"/>
      <c r="HY158" s="41"/>
      <c r="HZ158" s="41"/>
      <c r="IA158" s="41"/>
      <c r="IB158" s="41"/>
      <c r="IC158" s="41"/>
      <c r="ID158" s="41"/>
      <c r="IE158" s="41"/>
      <c r="IF158" s="41"/>
      <c r="IG158" s="41"/>
      <c r="IH158" s="41"/>
      <c r="II158" s="41"/>
      <c r="IJ158" s="41"/>
      <c r="IK158" s="41"/>
      <c r="IL158" s="41"/>
      <c r="IM158" s="41"/>
      <c r="IN158" s="41"/>
      <c r="IO158" s="41"/>
      <c r="IP158" s="41"/>
      <c r="IQ158" s="41"/>
      <c r="IR158" s="41"/>
      <c r="IS158" s="41"/>
      <c r="IT158" s="41"/>
      <c r="IU158" s="41"/>
      <c r="IV158" s="41"/>
      <c r="IW158" s="41"/>
      <c r="IX158" s="41"/>
      <c r="IY158" s="41"/>
      <c r="IZ158" s="41"/>
      <c r="JA158" s="41"/>
      <c r="JB158" s="41"/>
      <c r="JC158" s="41"/>
      <c r="JD158" s="41"/>
      <c r="JE158" s="41"/>
      <c r="JF158" s="41"/>
      <c r="JG158" s="41"/>
      <c r="JH158" s="41"/>
      <c r="JI158" s="41"/>
      <c r="JJ158" s="41"/>
      <c r="JK158" s="41"/>
      <c r="JL158" s="41"/>
      <c r="JM158" s="41"/>
      <c r="JN158" s="41"/>
      <c r="JO158" s="41"/>
      <c r="JP158" s="41"/>
      <c r="JQ158" s="41"/>
      <c r="JR158" s="41"/>
      <c r="JS158" s="41"/>
      <c r="JT158" s="41"/>
      <c r="JU158" s="41"/>
      <c r="JV158" s="41"/>
      <c r="JW158" s="41"/>
      <c r="JX158" s="41"/>
      <c r="JY158" s="41"/>
      <c r="JZ158" s="41"/>
      <c r="KA158" s="41"/>
      <c r="KB158" s="41"/>
      <c r="KC158" s="41"/>
      <c r="KD158" s="41"/>
      <c r="KE158" s="41"/>
      <c r="KF158" s="41"/>
      <c r="KG158" s="41"/>
      <c r="KH158" s="41"/>
      <c r="KI158" s="41"/>
      <c r="KJ158" s="41"/>
      <c r="KK158" s="41"/>
      <c r="KL158" s="41"/>
      <c r="KM158" s="41"/>
      <c r="KN158" s="41"/>
      <c r="KO158" s="41"/>
      <c r="KP158" s="41"/>
      <c r="KQ158" s="41"/>
      <c r="KR158" s="41"/>
      <c r="KS158" s="41"/>
      <c r="KT158" s="41"/>
      <c r="KU158" s="41"/>
      <c r="KV158" s="41"/>
      <c r="KW158" s="41"/>
      <c r="KX158" s="41"/>
      <c r="KY158" s="41"/>
      <c r="KZ158" s="41"/>
      <c r="LA158" s="41"/>
      <c r="LB158" s="41"/>
      <c r="LC158" s="41"/>
      <c r="LD158" s="41"/>
      <c r="LE158" s="41"/>
      <c r="LF158" s="41"/>
      <c r="LG158" s="41"/>
      <c r="LH158" s="41"/>
      <c r="LI158" s="41"/>
      <c r="LJ158" s="41"/>
      <c r="LK158" s="41"/>
      <c r="LL158" s="41"/>
      <c r="LM158" s="41"/>
      <c r="LN158" s="41"/>
      <c r="LO158" s="41"/>
      <c r="LP158" s="41"/>
      <c r="LQ158" s="41"/>
      <c r="LR158" s="41"/>
      <c r="LS158" s="41"/>
      <c r="LT158" s="41"/>
      <c r="LU158" s="41"/>
      <c r="LV158" s="41"/>
      <c r="LW158" s="41"/>
      <c r="LX158" s="41"/>
      <c r="LY158" s="41"/>
      <c r="LZ158" s="41"/>
      <c r="MA158" s="41"/>
      <c r="MB158" s="41"/>
      <c r="MC158" s="41"/>
      <c r="MD158" s="41"/>
      <c r="ME158" s="41"/>
      <c r="MF158" s="41"/>
      <c r="MG158" s="41"/>
      <c r="MH158" s="41"/>
      <c r="MI158" s="41"/>
      <c r="MJ158" s="41"/>
      <c r="MK158" s="41"/>
      <c r="ML158" s="41"/>
      <c r="MM158" s="41"/>
      <c r="MN158" s="41"/>
      <c r="MO158" s="41"/>
      <c r="MP158" s="41"/>
      <c r="MQ158" s="41"/>
      <c r="MR158" s="41"/>
      <c r="MS158" s="41"/>
      <c r="MT158" s="41"/>
      <c r="MU158" s="41"/>
      <c r="MV158" s="41"/>
      <c r="MW158" s="41"/>
      <c r="MX158" s="41"/>
      <c r="MY158" s="41"/>
      <c r="MZ158" s="41"/>
      <c r="NA158" s="41"/>
      <c r="NB158" s="41"/>
      <c r="NC158" s="41"/>
      <c r="ND158" s="41"/>
      <c r="NE158" s="41"/>
      <c r="NF158" s="41"/>
      <c r="NG158" s="41"/>
      <c r="NH158" s="41"/>
      <c r="NI158" s="41"/>
      <c r="NJ158" s="41"/>
      <c r="NK158" s="41"/>
      <c r="NL158" s="41"/>
      <c r="NM158" s="41"/>
      <c r="NN158" s="41"/>
      <c r="NO158" s="41"/>
      <c r="NP158" s="41"/>
      <c r="NQ158" s="41"/>
      <c r="NR158" s="41"/>
      <c r="NS158" s="41"/>
      <c r="NT158" s="41"/>
      <c r="NU158" s="41"/>
      <c r="NV158" s="41"/>
      <c r="NW158" s="41"/>
      <c r="NX158" s="41"/>
      <c r="NY158" s="41"/>
      <c r="NZ158" s="41"/>
      <c r="OA158" s="41"/>
      <c r="OB158" s="41"/>
      <c r="OC158" s="41"/>
      <c r="OD158" s="41"/>
      <c r="OE158" s="41"/>
      <c r="OF158" s="41"/>
      <c r="OG158" s="41"/>
      <c r="OH158" s="41"/>
      <c r="OI158" s="41"/>
      <c r="OJ158" s="41"/>
      <c r="OK158" s="41"/>
      <c r="OL158" s="41"/>
      <c r="OM158" s="41"/>
      <c r="ON158" s="41"/>
      <c r="OO158" s="41"/>
      <c r="OP158" s="41"/>
      <c r="OQ158" s="41"/>
      <c r="OR158" s="41"/>
      <c r="OS158" s="41"/>
      <c r="OT158" s="41"/>
      <c r="OU158" s="41"/>
      <c r="OV158" s="41"/>
      <c r="OW158" s="41"/>
      <c r="OX158" s="41"/>
      <c r="OY158" s="41"/>
      <c r="OZ158" s="41"/>
      <c r="PA158" s="41"/>
      <c r="PB158" s="41"/>
      <c r="PC158" s="41"/>
      <c r="PD158" s="41"/>
      <c r="PE158" s="41"/>
      <c r="PF158" s="41"/>
      <c r="PG158" s="41"/>
      <c r="PH158" s="41"/>
      <c r="PI158" s="41"/>
      <c r="PJ158" s="41"/>
      <c r="PK158" s="41"/>
      <c r="PL158" s="41"/>
      <c r="PM158" s="41"/>
      <c r="PN158" s="41"/>
      <c r="PO158" s="41"/>
      <c r="PP158" s="41"/>
      <c r="PQ158" s="41"/>
      <c r="PR158" s="41"/>
      <c r="PS158" s="41"/>
      <c r="PT158" s="41"/>
      <c r="PU158" s="41"/>
      <c r="PV158" s="41"/>
      <c r="PW158" s="41"/>
      <c r="PX158" s="41"/>
      <c r="PY158" s="41"/>
      <c r="PZ158" s="41"/>
      <c r="QA158" s="41"/>
      <c r="QB158" s="41"/>
      <c r="QC158" s="41"/>
      <c r="QD158" s="41"/>
      <c r="QE158" s="41"/>
      <c r="QF158" s="41"/>
      <c r="QG158" s="41"/>
      <c r="QH158" s="41"/>
      <c r="QI158" s="41"/>
      <c r="QJ158" s="41"/>
      <c r="QK158" s="41"/>
      <c r="QL158" s="41"/>
      <c r="QM158" s="41"/>
      <c r="QN158" s="41"/>
      <c r="QO158" s="41"/>
      <c r="QP158" s="41"/>
      <c r="QQ158" s="41"/>
      <c r="QR158" s="41"/>
      <c r="QS158" s="41"/>
      <c r="QT158" s="41"/>
      <c r="QU158" s="41"/>
      <c r="QV158" s="41"/>
      <c r="QW158" s="41"/>
      <c r="QX158" s="41"/>
      <c r="QY158" s="41"/>
      <c r="QZ158" s="41"/>
      <c r="RA158" s="41"/>
      <c r="RB158" s="41"/>
      <c r="RC158" s="41"/>
      <c r="RD158" s="41"/>
      <c r="RE158" s="41"/>
      <c r="RF158" s="41"/>
      <c r="RG158" s="41"/>
      <c r="RH158" s="41"/>
      <c r="RI158" s="41"/>
      <c r="RJ158" s="41"/>
      <c r="RK158" s="41"/>
      <c r="RL158" s="41"/>
      <c r="RM158" s="41"/>
      <c r="RN158" s="41"/>
      <c r="RO158" s="41"/>
      <c r="RP158" s="41"/>
      <c r="RQ158" s="41"/>
      <c r="RR158" s="41"/>
      <c r="RS158" s="41"/>
      <c r="RT158" s="41"/>
      <c r="RU158" s="41"/>
      <c r="RV158" s="41"/>
      <c r="RW158" s="41"/>
      <c r="RX158" s="41"/>
      <c r="RY158" s="41"/>
      <c r="RZ158" s="41"/>
      <c r="SA158" s="41"/>
      <c r="SB158" s="41"/>
      <c r="SC158" s="41"/>
      <c r="SD158" s="41"/>
      <c r="SE158" s="41"/>
      <c r="SF158" s="41"/>
      <c r="SG158" s="41"/>
      <c r="SH158" s="41"/>
      <c r="SI158" s="41"/>
      <c r="SJ158" s="41"/>
      <c r="SK158" s="41"/>
      <c r="SL158" s="41"/>
      <c r="SM158" s="41"/>
      <c r="SN158" s="41"/>
      <c r="SO158" s="41"/>
      <c r="SP158" s="41"/>
      <c r="SQ158" s="41"/>
      <c r="SR158" s="41"/>
      <c r="SS158" s="41"/>
      <c r="ST158" s="41"/>
      <c r="SU158" s="41"/>
      <c r="SV158" s="41"/>
      <c r="SW158" s="41"/>
      <c r="SX158" s="41"/>
      <c r="SY158" s="41"/>
      <c r="SZ158" s="41"/>
      <c r="TA158" s="41"/>
      <c r="TB158" s="41"/>
      <c r="TC158" s="41"/>
      <c r="TD158" s="41"/>
      <c r="TE158" s="41"/>
      <c r="TF158" s="41"/>
      <c r="TG158" s="41"/>
      <c r="TH158" s="41"/>
      <c r="TI158" s="41"/>
      <c r="TJ158" s="41"/>
      <c r="TK158" s="41"/>
      <c r="TL158" s="41"/>
      <c r="TM158" s="41"/>
      <c r="TN158" s="41"/>
      <c r="TO158" s="41"/>
      <c r="TP158" s="41"/>
      <c r="TQ158" s="41"/>
      <c r="TR158" s="41"/>
      <c r="TS158" s="41"/>
      <c r="TT158" s="41"/>
      <c r="TU158" s="41"/>
      <c r="TV158" s="41"/>
      <c r="TW158" s="41"/>
      <c r="TX158" s="41"/>
      <c r="TY158" s="41"/>
      <c r="TZ158" s="41"/>
      <c r="UA158" s="41"/>
      <c r="UB158" s="41"/>
      <c r="UC158" s="41"/>
      <c r="UD158" s="41"/>
      <c r="UE158" s="41"/>
      <c r="UF158" s="41"/>
      <c r="UG158" s="41"/>
      <c r="UH158" s="41"/>
      <c r="UI158" s="41"/>
      <c r="UJ158" s="41"/>
      <c r="UK158" s="41"/>
      <c r="UL158" s="41"/>
      <c r="UM158" s="41"/>
      <c r="UN158" s="41"/>
      <c r="UO158" s="41"/>
      <c r="UP158" s="41"/>
      <c r="UQ158" s="41"/>
      <c r="UR158" s="41"/>
      <c r="US158" s="41"/>
      <c r="UT158" s="41"/>
      <c r="UU158" s="41"/>
      <c r="UV158" s="41"/>
      <c r="UW158" s="41"/>
      <c r="UX158" s="41"/>
      <c r="UY158" s="41"/>
      <c r="UZ158" s="41"/>
      <c r="VA158" s="41"/>
      <c r="VB158" s="41"/>
      <c r="VC158" s="41"/>
      <c r="VD158" s="41"/>
      <c r="VE158" s="41"/>
      <c r="VF158" s="41"/>
      <c r="VG158" s="41"/>
      <c r="VH158" s="41"/>
      <c r="VI158" s="41"/>
      <c r="VJ158" s="41"/>
      <c r="VK158" s="41"/>
      <c r="VL158" s="41"/>
      <c r="VM158" s="41"/>
      <c r="VN158" s="41"/>
      <c r="VO158" s="41"/>
      <c r="VP158" s="41"/>
      <c r="VQ158" s="41"/>
      <c r="VR158" s="41"/>
      <c r="VS158" s="41"/>
      <c r="VT158" s="41"/>
      <c r="VU158" s="41"/>
      <c r="VV158" s="41"/>
      <c r="VW158" s="41"/>
      <c r="VX158" s="41"/>
      <c r="VY158" s="41"/>
      <c r="VZ158" s="41"/>
      <c r="WA158" s="41"/>
      <c r="WB158" s="41"/>
      <c r="WC158" s="41"/>
      <c r="WD158" s="41"/>
      <c r="WE158" s="41"/>
      <c r="WF158" s="41"/>
      <c r="WG158" s="41"/>
      <c r="WH158" s="41"/>
      <c r="WI158" s="41"/>
      <c r="WJ158" s="41"/>
      <c r="WK158" s="41"/>
      <c r="WL158" s="41"/>
      <c r="WM158" s="41"/>
      <c r="WN158" s="41"/>
      <c r="WO158" s="41"/>
      <c r="WP158" s="41"/>
      <c r="WQ158" s="41"/>
      <c r="WR158" s="41"/>
      <c r="WS158" s="41"/>
      <c r="WT158" s="41"/>
      <c r="WU158" s="41"/>
      <c r="WV158" s="41"/>
      <c r="WW158" s="41"/>
      <c r="WX158" s="41"/>
      <c r="WY158" s="41"/>
      <c r="WZ158" s="41"/>
      <c r="XA158" s="41"/>
      <c r="XB158" s="41"/>
      <c r="XC158" s="41"/>
      <c r="XD158" s="41"/>
      <c r="XE158" s="41"/>
      <c r="XF158" s="41"/>
      <c r="XG158" s="41"/>
      <c r="XH158" s="41"/>
      <c r="XI158" s="41"/>
      <c r="XJ158" s="41"/>
      <c r="XK158" s="41"/>
      <c r="XL158" s="41"/>
      <c r="XM158" s="41"/>
      <c r="XN158" s="41"/>
      <c r="XO158" s="41"/>
      <c r="XP158" s="41"/>
      <c r="XQ158" s="41"/>
      <c r="XR158" s="41"/>
      <c r="XS158" s="41"/>
      <c r="XT158" s="41"/>
      <c r="XU158" s="41"/>
      <c r="XV158" s="41"/>
      <c r="XW158" s="41"/>
      <c r="XX158" s="41"/>
      <c r="XY158" s="41"/>
      <c r="XZ158" s="41"/>
      <c r="YA158" s="41"/>
      <c r="YB158" s="41"/>
      <c r="YC158" s="41"/>
      <c r="YD158" s="41"/>
      <c r="YE158" s="41"/>
      <c r="YF158" s="41"/>
      <c r="YG158" s="41"/>
      <c r="YH158" s="41"/>
      <c r="YI158" s="41"/>
      <c r="YJ158" s="41"/>
      <c r="YK158" s="41"/>
      <c r="YL158" s="41"/>
      <c r="YM158" s="41"/>
      <c r="YN158" s="41"/>
      <c r="YO158" s="41"/>
      <c r="YP158" s="41"/>
      <c r="YQ158" s="41"/>
      <c r="YR158" s="41"/>
      <c r="YS158" s="41"/>
      <c r="YT158" s="41"/>
      <c r="YU158" s="41"/>
      <c r="YV158" s="41"/>
      <c r="YW158" s="41"/>
      <c r="YX158" s="41"/>
      <c r="YY158" s="41"/>
      <c r="YZ158" s="41"/>
      <c r="ZA158" s="41"/>
      <c r="ZB158" s="41"/>
      <c r="ZC158" s="41"/>
      <c r="ZD158" s="41"/>
      <c r="ZE158" s="41"/>
      <c r="ZF158" s="41"/>
      <c r="ZG158" s="41"/>
      <c r="ZH158" s="41"/>
      <c r="ZI158" s="41"/>
      <c r="ZJ158" s="41"/>
      <c r="ZK158" s="41"/>
      <c r="ZL158" s="41"/>
      <c r="ZM158" s="41"/>
      <c r="ZN158" s="41"/>
      <c r="ZO158" s="41"/>
      <c r="ZP158" s="41"/>
      <c r="ZQ158" s="41"/>
      <c r="ZR158" s="41"/>
      <c r="ZS158" s="41"/>
      <c r="ZT158" s="41"/>
      <c r="ZU158" s="41"/>
      <c r="ZV158" s="41"/>
      <c r="ZW158" s="41"/>
      <c r="ZX158" s="41"/>
      <c r="ZY158" s="41"/>
      <c r="ZZ158" s="41"/>
      <c r="AAA158" s="41"/>
      <c r="AAB158" s="41"/>
      <c r="AAC158" s="41"/>
    </row>
    <row r="159" spans="1:705" s="41" customFormat="1" ht="44.1" hidden="1" customHeight="1" x14ac:dyDescent="0.3">
      <c r="A159" s="26">
        <v>155</v>
      </c>
      <c r="B159" s="136">
        <v>240650</v>
      </c>
      <c r="C159" s="138">
        <v>155</v>
      </c>
      <c r="D159" s="139">
        <v>45939</v>
      </c>
      <c r="E159" s="139">
        <f t="shared" si="23"/>
        <v>45938</v>
      </c>
      <c r="F159" s="139">
        <f t="shared" si="22"/>
        <v>45949</v>
      </c>
      <c r="G159" s="139">
        <v>45949</v>
      </c>
      <c r="H159" s="139">
        <v>45957</v>
      </c>
      <c r="I159" s="139" t="s">
        <v>75</v>
      </c>
      <c r="J159" s="140" t="s">
        <v>411</v>
      </c>
      <c r="K159" s="141">
        <f t="shared" si="24"/>
        <v>8</v>
      </c>
      <c r="L159" s="142">
        <v>1153079</v>
      </c>
      <c r="M159" s="140" t="s">
        <v>15</v>
      </c>
      <c r="N159" s="142">
        <v>805649</v>
      </c>
      <c r="O159" s="137" t="s">
        <v>246</v>
      </c>
      <c r="P159" s="190">
        <v>45944</v>
      </c>
      <c r="Q159" s="190">
        <v>45959</v>
      </c>
      <c r="R159" s="157" t="s">
        <v>211</v>
      </c>
      <c r="S159" s="144" t="s">
        <v>412</v>
      </c>
      <c r="T159" s="145">
        <v>1</v>
      </c>
      <c r="U159" s="137" t="s">
        <v>98</v>
      </c>
      <c r="V159" s="146">
        <v>6</v>
      </c>
      <c r="W159" s="146">
        <v>6</v>
      </c>
      <c r="X159" s="147">
        <v>0</v>
      </c>
      <c r="Y159" s="146">
        <v>0</v>
      </c>
      <c r="Z159" s="146">
        <v>0</v>
      </c>
      <c r="AA159" s="146">
        <v>0</v>
      </c>
      <c r="AB159" s="146">
        <v>6</v>
      </c>
      <c r="AC159" s="146">
        <v>6</v>
      </c>
      <c r="AD159" s="146">
        <v>0</v>
      </c>
      <c r="AE159" s="146">
        <v>0</v>
      </c>
      <c r="AF159" s="146">
        <v>0</v>
      </c>
      <c r="AG159" s="146">
        <v>0</v>
      </c>
      <c r="AH159" s="146">
        <v>1</v>
      </c>
      <c r="AI159" s="146">
        <v>1</v>
      </c>
      <c r="AJ159" s="146">
        <v>0</v>
      </c>
      <c r="AK159" s="146">
        <v>0</v>
      </c>
      <c r="AL159" s="146">
        <v>0</v>
      </c>
      <c r="AM159" s="146"/>
      <c r="AN159" s="146">
        <v>1</v>
      </c>
      <c r="AO159" s="146">
        <v>1</v>
      </c>
      <c r="AP159" s="146">
        <v>1</v>
      </c>
      <c r="AQ159" s="146">
        <v>1</v>
      </c>
      <c r="AR159" s="146">
        <v>0</v>
      </c>
      <c r="AS159" s="146">
        <v>0</v>
      </c>
      <c r="AT159" s="146">
        <v>1</v>
      </c>
      <c r="AU159" s="146">
        <v>1</v>
      </c>
      <c r="AV159" s="146">
        <v>0</v>
      </c>
      <c r="AW159" s="146">
        <v>0</v>
      </c>
      <c r="AX159" s="146">
        <f t="shared" si="25"/>
        <v>1912</v>
      </c>
      <c r="AY159" s="146">
        <f t="shared" si="20"/>
        <v>1912</v>
      </c>
      <c r="AZ159" s="140" t="s">
        <v>562</v>
      </c>
      <c r="BA159" s="140" t="s">
        <v>562</v>
      </c>
      <c r="BB159" s="140">
        <v>3</v>
      </c>
      <c r="BC159" s="148">
        <v>155</v>
      </c>
      <c r="BD159" s="149"/>
      <c r="BE159" s="145"/>
      <c r="BF159" s="150"/>
      <c r="BG159" s="188">
        <v>45931</v>
      </c>
      <c r="BH159" s="153" t="s">
        <v>535</v>
      </c>
      <c r="BI159" s="153" t="s">
        <v>562</v>
      </c>
    </row>
    <row r="160" spans="1:705" s="41" customFormat="1" ht="44.1" hidden="1" customHeight="1" x14ac:dyDescent="0.3">
      <c r="A160" s="26">
        <v>156</v>
      </c>
      <c r="B160" s="136">
        <v>240651</v>
      </c>
      <c r="C160" s="138">
        <v>156</v>
      </c>
      <c r="D160" s="139">
        <v>45939</v>
      </c>
      <c r="E160" s="139">
        <f t="shared" si="23"/>
        <v>45938</v>
      </c>
      <c r="F160" s="139">
        <f t="shared" si="22"/>
        <v>45949</v>
      </c>
      <c r="G160" s="139">
        <v>45949</v>
      </c>
      <c r="H160" s="139">
        <v>45963</v>
      </c>
      <c r="I160" s="139" t="s">
        <v>75</v>
      </c>
      <c r="J160" s="140" t="s">
        <v>413</v>
      </c>
      <c r="K160" s="141">
        <f t="shared" si="24"/>
        <v>14</v>
      </c>
      <c r="L160" s="142">
        <v>1153081</v>
      </c>
      <c r="M160" s="140" t="s">
        <v>15</v>
      </c>
      <c r="N160" s="142">
        <v>806589</v>
      </c>
      <c r="O160" s="137" t="s">
        <v>246</v>
      </c>
      <c r="P160" s="190">
        <v>45955</v>
      </c>
      <c r="Q160" s="190">
        <v>45970</v>
      </c>
      <c r="R160" s="157" t="s">
        <v>211</v>
      </c>
      <c r="S160" s="144" t="s">
        <v>414</v>
      </c>
      <c r="T160" s="145">
        <v>2</v>
      </c>
      <c r="U160" s="137" t="s">
        <v>181</v>
      </c>
      <c r="V160" s="146">
        <v>14</v>
      </c>
      <c r="W160" s="146">
        <v>14</v>
      </c>
      <c r="X160" s="147">
        <v>0</v>
      </c>
      <c r="Y160" s="146">
        <v>0</v>
      </c>
      <c r="Z160" s="146">
        <v>0</v>
      </c>
      <c r="AA160" s="146">
        <v>0</v>
      </c>
      <c r="AB160" s="146">
        <v>14</v>
      </c>
      <c r="AC160" s="146">
        <v>14</v>
      </c>
      <c r="AD160" s="146">
        <v>0</v>
      </c>
      <c r="AE160" s="146">
        <v>0</v>
      </c>
      <c r="AF160" s="146">
        <v>0</v>
      </c>
      <c r="AG160" s="146">
        <v>0</v>
      </c>
      <c r="AH160" s="146">
        <v>2</v>
      </c>
      <c r="AI160" s="146">
        <v>2</v>
      </c>
      <c r="AJ160" s="146">
        <v>0</v>
      </c>
      <c r="AK160" s="146">
        <v>0</v>
      </c>
      <c r="AL160" s="146">
        <v>0</v>
      </c>
      <c r="AM160" s="146"/>
      <c r="AN160" s="146">
        <v>0</v>
      </c>
      <c r="AO160" s="146"/>
      <c r="AP160" s="146">
        <v>2</v>
      </c>
      <c r="AQ160" s="146">
        <v>2</v>
      </c>
      <c r="AR160" s="146">
        <v>0</v>
      </c>
      <c r="AS160" s="146">
        <v>0</v>
      </c>
      <c r="AT160" s="146">
        <v>2</v>
      </c>
      <c r="AU160" s="146">
        <v>2</v>
      </c>
      <c r="AV160" s="146">
        <v>0</v>
      </c>
      <c r="AW160" s="146">
        <v>0</v>
      </c>
      <c r="AX160" s="146">
        <f t="shared" si="25"/>
        <v>3938</v>
      </c>
      <c r="AY160" s="146">
        <f t="shared" si="20"/>
        <v>3938</v>
      </c>
      <c r="AZ160" s="140" t="s">
        <v>562</v>
      </c>
      <c r="BA160" s="140" t="s">
        <v>562</v>
      </c>
      <c r="BB160" s="140">
        <v>3</v>
      </c>
      <c r="BC160" s="148">
        <v>156</v>
      </c>
      <c r="BD160" s="149"/>
      <c r="BE160" s="145"/>
      <c r="BF160" s="150"/>
      <c r="BG160" s="188">
        <v>45931</v>
      </c>
      <c r="BH160" s="153" t="s">
        <v>535</v>
      </c>
      <c r="BI160" s="153" t="s">
        <v>562</v>
      </c>
    </row>
    <row r="161" spans="1:705" s="42" customFormat="1" ht="44.1" hidden="1" customHeight="1" x14ac:dyDescent="0.3">
      <c r="A161" s="26">
        <v>157</v>
      </c>
      <c r="B161" s="137">
        <v>240652</v>
      </c>
      <c r="C161" s="138">
        <v>157</v>
      </c>
      <c r="D161" s="139">
        <v>45939</v>
      </c>
      <c r="E161" s="139">
        <f t="shared" si="23"/>
        <v>45938</v>
      </c>
      <c r="F161" s="139">
        <f t="shared" si="22"/>
        <v>45949</v>
      </c>
      <c r="G161" s="139">
        <v>45949</v>
      </c>
      <c r="H161" s="139">
        <v>45957</v>
      </c>
      <c r="I161" s="139" t="s">
        <v>75</v>
      </c>
      <c r="J161" s="140" t="s">
        <v>415</v>
      </c>
      <c r="K161" s="141">
        <f t="shared" si="24"/>
        <v>8</v>
      </c>
      <c r="L161" s="141">
        <v>1153082</v>
      </c>
      <c r="M161" s="140" t="s">
        <v>15</v>
      </c>
      <c r="N161" s="142">
        <v>805738</v>
      </c>
      <c r="O161" s="137" t="s">
        <v>246</v>
      </c>
      <c r="P161" s="190">
        <v>45945</v>
      </c>
      <c r="Q161" s="190">
        <v>45960</v>
      </c>
      <c r="R161" s="157" t="s">
        <v>211</v>
      </c>
      <c r="S161" s="144" t="s">
        <v>272</v>
      </c>
      <c r="T161" s="145">
        <v>1</v>
      </c>
      <c r="U161" s="137" t="s">
        <v>128</v>
      </c>
      <c r="V161" s="146">
        <v>6</v>
      </c>
      <c r="W161" s="146">
        <v>6</v>
      </c>
      <c r="X161" s="147">
        <v>0</v>
      </c>
      <c r="Y161" s="146">
        <v>0</v>
      </c>
      <c r="Z161" s="146">
        <v>0</v>
      </c>
      <c r="AA161" s="146">
        <v>0</v>
      </c>
      <c r="AB161" s="146">
        <v>0</v>
      </c>
      <c r="AC161" s="146"/>
      <c r="AD161" s="146">
        <v>0</v>
      </c>
      <c r="AE161" s="146">
        <v>0</v>
      </c>
      <c r="AF161" s="146">
        <v>0</v>
      </c>
      <c r="AG161" s="146">
        <v>0</v>
      </c>
      <c r="AH161" s="146">
        <v>1</v>
      </c>
      <c r="AI161" s="146">
        <v>1</v>
      </c>
      <c r="AJ161" s="146">
        <v>0</v>
      </c>
      <c r="AK161" s="146">
        <v>0</v>
      </c>
      <c r="AL161" s="146">
        <v>0</v>
      </c>
      <c r="AM161" s="146"/>
      <c r="AN161" s="146">
        <v>0</v>
      </c>
      <c r="AO161" s="146"/>
      <c r="AP161" s="146">
        <v>1</v>
      </c>
      <c r="AQ161" s="146">
        <v>1</v>
      </c>
      <c r="AR161" s="146">
        <v>0</v>
      </c>
      <c r="AS161" s="146">
        <v>0</v>
      </c>
      <c r="AT161" s="146">
        <v>1</v>
      </c>
      <c r="AU161" s="146">
        <v>1</v>
      </c>
      <c r="AV161" s="146">
        <v>0</v>
      </c>
      <c r="AW161" s="146">
        <v>0</v>
      </c>
      <c r="AX161" s="146">
        <f t="shared" si="25"/>
        <v>1510</v>
      </c>
      <c r="AY161" s="146">
        <f t="shared" si="20"/>
        <v>1510</v>
      </c>
      <c r="AZ161" s="140" t="s">
        <v>562</v>
      </c>
      <c r="BA161" s="140" t="s">
        <v>562</v>
      </c>
      <c r="BB161" s="140">
        <v>5</v>
      </c>
      <c r="BC161" s="148">
        <v>157</v>
      </c>
      <c r="BD161" s="149"/>
      <c r="BE161" s="145"/>
      <c r="BF161" s="150"/>
      <c r="BG161" s="151">
        <v>45931</v>
      </c>
      <c r="BH161" s="153" t="s">
        <v>15</v>
      </c>
      <c r="BI161" s="153" t="s">
        <v>562</v>
      </c>
      <c r="CC161" s="41"/>
      <c r="CD161" s="41"/>
      <c r="CE161" s="41"/>
      <c r="CF161" s="41"/>
      <c r="CG161" s="41"/>
      <c r="CH161" s="41"/>
      <c r="CI161" s="41"/>
      <c r="CJ161" s="41"/>
      <c r="CK161" s="41"/>
      <c r="CL161" s="41"/>
      <c r="CM161" s="41"/>
      <c r="CN161" s="41"/>
      <c r="CO161" s="41"/>
      <c r="CP161" s="41"/>
      <c r="CQ161" s="41"/>
      <c r="CR161" s="41"/>
      <c r="CS161" s="41"/>
      <c r="CT161" s="41"/>
      <c r="CU161" s="41"/>
      <c r="CV161" s="41"/>
      <c r="CW161" s="41"/>
      <c r="CX161" s="41"/>
      <c r="CY161" s="41"/>
      <c r="CZ161" s="41"/>
      <c r="DA161" s="41"/>
      <c r="DB161" s="41"/>
      <c r="DC161" s="41"/>
      <c r="DD161" s="41"/>
      <c r="DE161" s="41"/>
      <c r="DF161" s="41"/>
      <c r="DG161" s="41"/>
      <c r="DH161" s="41"/>
      <c r="DI161" s="41"/>
      <c r="DJ161" s="41"/>
      <c r="DK161" s="41"/>
      <c r="DL161" s="41"/>
      <c r="DM161" s="41"/>
      <c r="DN161" s="41"/>
      <c r="DO161" s="41"/>
      <c r="DP161" s="41"/>
      <c r="DQ161" s="41"/>
      <c r="DR161" s="41"/>
      <c r="DS161" s="41"/>
      <c r="DT161" s="41"/>
      <c r="DU161" s="41"/>
      <c r="DV161" s="41"/>
      <c r="DW161" s="41"/>
      <c r="DX161" s="41"/>
      <c r="DY161" s="41"/>
      <c r="DZ161" s="41"/>
      <c r="EA161" s="41"/>
      <c r="EB161" s="41"/>
      <c r="EC161" s="41"/>
      <c r="ED161" s="41"/>
      <c r="EE161" s="41"/>
      <c r="EF161" s="41"/>
      <c r="EG161" s="41"/>
      <c r="EH161" s="41"/>
      <c r="EI161" s="41"/>
      <c r="EJ161" s="41"/>
      <c r="EK161" s="41"/>
      <c r="EL161" s="41"/>
      <c r="EM161" s="41"/>
      <c r="EN161" s="41"/>
      <c r="EO161" s="41"/>
      <c r="EP161" s="41"/>
      <c r="EQ161" s="41"/>
      <c r="ER161" s="41"/>
      <c r="ES161" s="41"/>
      <c r="ET161" s="41"/>
      <c r="EU161" s="41"/>
      <c r="EV161" s="41"/>
      <c r="EW161" s="41"/>
      <c r="EX161" s="41"/>
      <c r="EY161" s="41"/>
      <c r="EZ161" s="41"/>
      <c r="FA161" s="41"/>
      <c r="FB161" s="41"/>
      <c r="FC161" s="41"/>
      <c r="FD161" s="41"/>
      <c r="FE161" s="41"/>
      <c r="FF161" s="41"/>
      <c r="FG161" s="41"/>
      <c r="FH161" s="41"/>
      <c r="FI161" s="41"/>
      <c r="FJ161" s="41"/>
      <c r="FK161" s="41"/>
      <c r="FL161" s="41"/>
      <c r="FM161" s="41"/>
      <c r="FN161" s="41"/>
      <c r="FO161" s="41"/>
      <c r="FP161" s="41"/>
      <c r="FQ161" s="41"/>
      <c r="FR161" s="41"/>
      <c r="FS161" s="41"/>
      <c r="FT161" s="41"/>
      <c r="FU161" s="41"/>
      <c r="FV161" s="41"/>
      <c r="FW161" s="41"/>
      <c r="FX161" s="41"/>
      <c r="FY161" s="41"/>
      <c r="FZ161" s="41"/>
      <c r="GA161" s="41"/>
      <c r="GB161" s="41"/>
      <c r="GC161" s="41"/>
      <c r="GD161" s="41"/>
      <c r="GE161" s="41"/>
      <c r="GF161" s="41"/>
      <c r="GG161" s="41"/>
      <c r="GH161" s="41"/>
      <c r="GI161" s="41"/>
      <c r="GJ161" s="41"/>
      <c r="GK161" s="41"/>
      <c r="GL161" s="41"/>
      <c r="GM161" s="41"/>
      <c r="GN161" s="41"/>
      <c r="GO161" s="41"/>
      <c r="GP161" s="41"/>
      <c r="GQ161" s="41"/>
      <c r="GR161" s="41"/>
      <c r="GS161" s="41"/>
      <c r="GT161" s="41"/>
      <c r="GU161" s="41"/>
      <c r="GV161" s="41"/>
      <c r="GW161" s="41"/>
      <c r="GX161" s="41"/>
      <c r="GY161" s="41"/>
      <c r="GZ161" s="41"/>
      <c r="HA161" s="41"/>
      <c r="HB161" s="41"/>
      <c r="HC161" s="41"/>
      <c r="HD161" s="41"/>
      <c r="HE161" s="41"/>
      <c r="HF161" s="41"/>
      <c r="HG161" s="41"/>
      <c r="HH161" s="41"/>
      <c r="HI161" s="41"/>
      <c r="HJ161" s="41"/>
      <c r="HK161" s="41"/>
      <c r="HL161" s="41"/>
      <c r="HM161" s="41"/>
      <c r="HN161" s="41"/>
      <c r="HO161" s="41"/>
      <c r="HP161" s="41"/>
      <c r="HQ161" s="41"/>
      <c r="HR161" s="41"/>
      <c r="HS161" s="41"/>
      <c r="HT161" s="41"/>
      <c r="HU161" s="41"/>
      <c r="HV161" s="41"/>
      <c r="HW161" s="41"/>
      <c r="HX161" s="41"/>
      <c r="HY161" s="41"/>
      <c r="HZ161" s="41"/>
      <c r="IA161" s="41"/>
      <c r="IB161" s="41"/>
      <c r="IC161" s="41"/>
      <c r="ID161" s="41"/>
      <c r="IE161" s="41"/>
      <c r="IF161" s="41"/>
      <c r="IG161" s="41"/>
      <c r="IH161" s="41"/>
      <c r="II161" s="41"/>
      <c r="IJ161" s="41"/>
      <c r="IK161" s="41"/>
      <c r="IL161" s="41"/>
      <c r="IM161" s="41"/>
      <c r="IN161" s="41"/>
      <c r="IO161" s="41"/>
      <c r="IP161" s="41"/>
      <c r="IQ161" s="41"/>
      <c r="IR161" s="41"/>
      <c r="IS161" s="41"/>
      <c r="IT161" s="41"/>
      <c r="IU161" s="41"/>
      <c r="IV161" s="41"/>
      <c r="IW161" s="41"/>
      <c r="IX161" s="41"/>
      <c r="IY161" s="41"/>
      <c r="IZ161" s="41"/>
      <c r="JA161" s="41"/>
      <c r="JB161" s="41"/>
      <c r="JC161" s="41"/>
      <c r="JD161" s="41"/>
      <c r="JE161" s="41"/>
      <c r="JF161" s="41"/>
      <c r="JG161" s="41"/>
      <c r="JH161" s="41"/>
      <c r="JI161" s="41"/>
      <c r="JJ161" s="41"/>
      <c r="JK161" s="41"/>
      <c r="JL161" s="41"/>
      <c r="JM161" s="41"/>
      <c r="JN161" s="41"/>
      <c r="JO161" s="41"/>
      <c r="JP161" s="41"/>
      <c r="JQ161" s="41"/>
      <c r="JR161" s="41"/>
      <c r="JS161" s="41"/>
      <c r="JT161" s="41"/>
      <c r="JU161" s="41"/>
      <c r="JV161" s="41"/>
      <c r="JW161" s="41"/>
      <c r="JX161" s="41"/>
      <c r="JY161" s="41"/>
      <c r="JZ161" s="41"/>
      <c r="KA161" s="41"/>
      <c r="KB161" s="41"/>
      <c r="KC161" s="41"/>
      <c r="KD161" s="41"/>
      <c r="KE161" s="41"/>
      <c r="KF161" s="41"/>
      <c r="KG161" s="41"/>
      <c r="KH161" s="41"/>
      <c r="KI161" s="41"/>
      <c r="KJ161" s="41"/>
      <c r="KK161" s="41"/>
      <c r="KL161" s="41"/>
      <c r="KM161" s="41"/>
      <c r="KN161" s="41"/>
      <c r="KO161" s="41"/>
      <c r="KP161" s="41"/>
      <c r="KQ161" s="41"/>
      <c r="KR161" s="41"/>
      <c r="KS161" s="41"/>
      <c r="KT161" s="41"/>
      <c r="KU161" s="41"/>
      <c r="KV161" s="41"/>
      <c r="KW161" s="41"/>
      <c r="KX161" s="41"/>
      <c r="KY161" s="41"/>
      <c r="KZ161" s="41"/>
      <c r="LA161" s="41"/>
      <c r="LB161" s="41"/>
      <c r="LC161" s="41"/>
      <c r="LD161" s="41"/>
      <c r="LE161" s="41"/>
      <c r="LF161" s="41"/>
      <c r="LG161" s="41"/>
      <c r="LH161" s="41"/>
      <c r="LI161" s="41"/>
      <c r="LJ161" s="41"/>
      <c r="LK161" s="41"/>
      <c r="LL161" s="41"/>
      <c r="LM161" s="41"/>
      <c r="LN161" s="41"/>
      <c r="LO161" s="41"/>
      <c r="LP161" s="41"/>
      <c r="LQ161" s="41"/>
      <c r="LR161" s="41"/>
      <c r="LS161" s="41"/>
      <c r="LT161" s="41"/>
      <c r="LU161" s="41"/>
      <c r="LV161" s="41"/>
      <c r="LW161" s="41"/>
      <c r="LX161" s="41"/>
      <c r="LY161" s="41"/>
      <c r="LZ161" s="41"/>
      <c r="MA161" s="41"/>
      <c r="MB161" s="41"/>
      <c r="MC161" s="41"/>
      <c r="MD161" s="41"/>
      <c r="ME161" s="41"/>
      <c r="MF161" s="41"/>
      <c r="MG161" s="41"/>
      <c r="MH161" s="41"/>
      <c r="MI161" s="41"/>
      <c r="MJ161" s="41"/>
      <c r="MK161" s="41"/>
      <c r="ML161" s="41"/>
      <c r="MM161" s="41"/>
      <c r="MN161" s="41"/>
      <c r="MO161" s="41"/>
      <c r="MP161" s="41"/>
      <c r="MQ161" s="41"/>
      <c r="MR161" s="41"/>
      <c r="MS161" s="41"/>
      <c r="MT161" s="41"/>
      <c r="MU161" s="41"/>
      <c r="MV161" s="41"/>
      <c r="MW161" s="41"/>
      <c r="MX161" s="41"/>
      <c r="MY161" s="41"/>
      <c r="MZ161" s="41"/>
      <c r="NA161" s="41"/>
      <c r="NB161" s="41"/>
      <c r="NC161" s="41"/>
      <c r="ND161" s="41"/>
      <c r="NE161" s="41"/>
      <c r="NF161" s="41"/>
      <c r="NG161" s="41"/>
      <c r="NH161" s="41"/>
      <c r="NI161" s="41"/>
      <c r="NJ161" s="41"/>
      <c r="NK161" s="41"/>
      <c r="NL161" s="41"/>
      <c r="NM161" s="41"/>
      <c r="NN161" s="41"/>
      <c r="NO161" s="41"/>
      <c r="NP161" s="41"/>
      <c r="NQ161" s="41"/>
      <c r="NR161" s="41"/>
      <c r="NS161" s="41"/>
      <c r="NT161" s="41"/>
      <c r="NU161" s="41"/>
      <c r="NV161" s="41"/>
      <c r="NW161" s="41"/>
      <c r="NX161" s="41"/>
      <c r="NY161" s="41"/>
      <c r="NZ161" s="41"/>
      <c r="OA161" s="41"/>
      <c r="OB161" s="41"/>
      <c r="OC161" s="41"/>
      <c r="OD161" s="41"/>
      <c r="OE161" s="41"/>
      <c r="OF161" s="41"/>
      <c r="OG161" s="41"/>
      <c r="OH161" s="41"/>
      <c r="OI161" s="41"/>
      <c r="OJ161" s="41"/>
      <c r="OK161" s="41"/>
      <c r="OL161" s="41"/>
      <c r="OM161" s="41"/>
      <c r="ON161" s="41"/>
      <c r="OO161" s="41"/>
      <c r="OP161" s="41"/>
      <c r="OQ161" s="41"/>
      <c r="OR161" s="41"/>
      <c r="OS161" s="41"/>
      <c r="OT161" s="41"/>
      <c r="OU161" s="41"/>
      <c r="OV161" s="41"/>
      <c r="OW161" s="41"/>
      <c r="OX161" s="41"/>
      <c r="OY161" s="41"/>
      <c r="OZ161" s="41"/>
      <c r="PA161" s="41"/>
      <c r="PB161" s="41"/>
      <c r="PC161" s="41"/>
      <c r="PD161" s="41"/>
      <c r="PE161" s="41"/>
      <c r="PF161" s="41"/>
      <c r="PG161" s="41"/>
      <c r="PH161" s="41"/>
      <c r="PI161" s="41"/>
      <c r="PJ161" s="41"/>
      <c r="PK161" s="41"/>
      <c r="PL161" s="41"/>
      <c r="PM161" s="41"/>
      <c r="PN161" s="41"/>
      <c r="PO161" s="41"/>
      <c r="PP161" s="41"/>
      <c r="PQ161" s="41"/>
      <c r="PR161" s="41"/>
      <c r="PS161" s="41"/>
      <c r="PT161" s="41"/>
      <c r="PU161" s="41"/>
      <c r="PV161" s="41"/>
      <c r="PW161" s="41"/>
      <c r="PX161" s="41"/>
      <c r="PY161" s="41"/>
      <c r="PZ161" s="41"/>
      <c r="QA161" s="41"/>
      <c r="QB161" s="41"/>
      <c r="QC161" s="41"/>
      <c r="QD161" s="41"/>
      <c r="QE161" s="41"/>
      <c r="QF161" s="41"/>
      <c r="QG161" s="41"/>
      <c r="QH161" s="41"/>
      <c r="QI161" s="41"/>
      <c r="QJ161" s="41"/>
      <c r="QK161" s="41"/>
      <c r="QL161" s="41"/>
      <c r="QM161" s="41"/>
      <c r="QN161" s="41"/>
      <c r="QO161" s="41"/>
      <c r="QP161" s="41"/>
      <c r="QQ161" s="41"/>
      <c r="QR161" s="41"/>
      <c r="QS161" s="41"/>
      <c r="QT161" s="41"/>
      <c r="QU161" s="41"/>
      <c r="QV161" s="41"/>
      <c r="QW161" s="41"/>
      <c r="QX161" s="41"/>
      <c r="QY161" s="41"/>
      <c r="QZ161" s="41"/>
      <c r="RA161" s="41"/>
      <c r="RB161" s="41"/>
      <c r="RC161" s="41"/>
      <c r="RD161" s="41"/>
      <c r="RE161" s="41"/>
      <c r="RF161" s="41"/>
      <c r="RG161" s="41"/>
      <c r="RH161" s="41"/>
      <c r="RI161" s="41"/>
      <c r="RJ161" s="41"/>
      <c r="RK161" s="41"/>
      <c r="RL161" s="41"/>
      <c r="RM161" s="41"/>
      <c r="RN161" s="41"/>
      <c r="RO161" s="41"/>
      <c r="RP161" s="41"/>
      <c r="RQ161" s="41"/>
      <c r="RR161" s="41"/>
      <c r="RS161" s="41"/>
      <c r="RT161" s="41"/>
      <c r="RU161" s="41"/>
      <c r="RV161" s="41"/>
      <c r="RW161" s="41"/>
      <c r="RX161" s="41"/>
      <c r="RY161" s="41"/>
      <c r="RZ161" s="41"/>
      <c r="SA161" s="41"/>
      <c r="SB161" s="41"/>
      <c r="SC161" s="41"/>
      <c r="SD161" s="41"/>
      <c r="SE161" s="41"/>
      <c r="SF161" s="41"/>
      <c r="SG161" s="41"/>
      <c r="SH161" s="41"/>
      <c r="SI161" s="41"/>
      <c r="SJ161" s="41"/>
      <c r="SK161" s="41"/>
      <c r="SL161" s="41"/>
      <c r="SM161" s="41"/>
      <c r="SN161" s="41"/>
      <c r="SO161" s="41"/>
      <c r="SP161" s="41"/>
      <c r="SQ161" s="41"/>
      <c r="SR161" s="41"/>
      <c r="SS161" s="41"/>
      <c r="ST161" s="41"/>
      <c r="SU161" s="41"/>
      <c r="SV161" s="41"/>
      <c r="SW161" s="41"/>
      <c r="SX161" s="41"/>
      <c r="SY161" s="41"/>
      <c r="SZ161" s="41"/>
      <c r="TA161" s="41"/>
      <c r="TB161" s="41"/>
      <c r="TC161" s="41"/>
      <c r="TD161" s="41"/>
      <c r="TE161" s="41"/>
      <c r="TF161" s="41"/>
      <c r="TG161" s="41"/>
      <c r="TH161" s="41"/>
      <c r="TI161" s="41"/>
      <c r="TJ161" s="41"/>
      <c r="TK161" s="41"/>
      <c r="TL161" s="41"/>
      <c r="TM161" s="41"/>
      <c r="TN161" s="41"/>
      <c r="TO161" s="41"/>
      <c r="TP161" s="41"/>
      <c r="TQ161" s="41"/>
      <c r="TR161" s="41"/>
      <c r="TS161" s="41"/>
      <c r="TT161" s="41"/>
      <c r="TU161" s="41"/>
      <c r="TV161" s="41"/>
      <c r="TW161" s="41"/>
      <c r="TX161" s="41"/>
      <c r="TY161" s="41"/>
      <c r="TZ161" s="41"/>
      <c r="UA161" s="41"/>
      <c r="UB161" s="41"/>
      <c r="UC161" s="41"/>
      <c r="UD161" s="41"/>
      <c r="UE161" s="41"/>
      <c r="UF161" s="41"/>
      <c r="UG161" s="41"/>
      <c r="UH161" s="41"/>
      <c r="UI161" s="41"/>
      <c r="UJ161" s="41"/>
      <c r="UK161" s="41"/>
      <c r="UL161" s="41"/>
      <c r="UM161" s="41"/>
      <c r="UN161" s="41"/>
      <c r="UO161" s="41"/>
      <c r="UP161" s="41"/>
      <c r="UQ161" s="41"/>
      <c r="UR161" s="41"/>
      <c r="US161" s="41"/>
      <c r="UT161" s="41"/>
      <c r="UU161" s="41"/>
      <c r="UV161" s="41"/>
      <c r="UW161" s="41"/>
      <c r="UX161" s="41"/>
      <c r="UY161" s="41"/>
      <c r="UZ161" s="41"/>
      <c r="VA161" s="41"/>
      <c r="VB161" s="41"/>
      <c r="VC161" s="41"/>
      <c r="VD161" s="41"/>
      <c r="VE161" s="41"/>
      <c r="VF161" s="41"/>
      <c r="VG161" s="41"/>
      <c r="VH161" s="41"/>
      <c r="VI161" s="41"/>
      <c r="VJ161" s="41"/>
      <c r="VK161" s="41"/>
      <c r="VL161" s="41"/>
      <c r="VM161" s="41"/>
      <c r="VN161" s="41"/>
      <c r="VO161" s="41"/>
      <c r="VP161" s="41"/>
      <c r="VQ161" s="41"/>
      <c r="VR161" s="41"/>
      <c r="VS161" s="41"/>
      <c r="VT161" s="41"/>
      <c r="VU161" s="41"/>
      <c r="VV161" s="41"/>
      <c r="VW161" s="41"/>
      <c r="VX161" s="41"/>
      <c r="VY161" s="41"/>
      <c r="VZ161" s="41"/>
      <c r="WA161" s="41"/>
      <c r="WB161" s="41"/>
      <c r="WC161" s="41"/>
      <c r="WD161" s="41"/>
      <c r="WE161" s="41"/>
      <c r="WF161" s="41"/>
      <c r="WG161" s="41"/>
      <c r="WH161" s="41"/>
      <c r="WI161" s="41"/>
      <c r="WJ161" s="41"/>
      <c r="WK161" s="41"/>
      <c r="WL161" s="41"/>
      <c r="WM161" s="41"/>
      <c r="WN161" s="41"/>
      <c r="WO161" s="41"/>
      <c r="WP161" s="41"/>
      <c r="WQ161" s="41"/>
      <c r="WR161" s="41"/>
      <c r="WS161" s="41"/>
      <c r="WT161" s="41"/>
      <c r="WU161" s="41"/>
      <c r="WV161" s="41"/>
      <c r="WW161" s="41"/>
      <c r="WX161" s="41"/>
      <c r="WY161" s="41"/>
      <c r="WZ161" s="41"/>
      <c r="XA161" s="41"/>
      <c r="XB161" s="41"/>
      <c r="XC161" s="41"/>
      <c r="XD161" s="41"/>
      <c r="XE161" s="41"/>
      <c r="XF161" s="41"/>
      <c r="XG161" s="41"/>
      <c r="XH161" s="41"/>
      <c r="XI161" s="41"/>
      <c r="XJ161" s="41"/>
      <c r="XK161" s="41"/>
      <c r="XL161" s="41"/>
      <c r="XM161" s="41"/>
      <c r="XN161" s="41"/>
      <c r="XO161" s="41"/>
      <c r="XP161" s="41"/>
      <c r="XQ161" s="41"/>
      <c r="XR161" s="41"/>
      <c r="XS161" s="41"/>
      <c r="XT161" s="41"/>
      <c r="XU161" s="41"/>
      <c r="XV161" s="41"/>
      <c r="XW161" s="41"/>
      <c r="XX161" s="41"/>
      <c r="XY161" s="41"/>
      <c r="XZ161" s="41"/>
      <c r="YA161" s="41"/>
      <c r="YB161" s="41"/>
      <c r="YC161" s="41"/>
      <c r="YD161" s="41"/>
      <c r="YE161" s="41"/>
      <c r="YF161" s="41"/>
      <c r="YG161" s="41"/>
      <c r="YH161" s="41"/>
      <c r="YI161" s="41"/>
      <c r="YJ161" s="41"/>
      <c r="YK161" s="41"/>
      <c r="YL161" s="41"/>
      <c r="YM161" s="41"/>
      <c r="YN161" s="41"/>
      <c r="YO161" s="41"/>
      <c r="YP161" s="41"/>
      <c r="YQ161" s="41"/>
      <c r="YR161" s="41"/>
      <c r="YS161" s="41"/>
      <c r="YT161" s="41"/>
      <c r="YU161" s="41"/>
      <c r="YV161" s="41"/>
      <c r="YW161" s="41"/>
      <c r="YX161" s="41"/>
      <c r="YY161" s="41"/>
      <c r="YZ161" s="41"/>
      <c r="ZA161" s="41"/>
      <c r="ZB161" s="41"/>
      <c r="ZC161" s="41"/>
      <c r="ZD161" s="41"/>
      <c r="ZE161" s="41"/>
      <c r="ZF161" s="41"/>
      <c r="ZG161" s="41"/>
      <c r="ZH161" s="41"/>
      <c r="ZI161" s="41"/>
      <c r="ZJ161" s="41"/>
      <c r="ZK161" s="41"/>
      <c r="ZL161" s="41"/>
      <c r="ZM161" s="41"/>
      <c r="ZN161" s="41"/>
      <c r="ZO161" s="41"/>
      <c r="ZP161" s="41"/>
      <c r="ZQ161" s="41"/>
      <c r="ZR161" s="41"/>
      <c r="ZS161" s="41"/>
      <c r="ZT161" s="41"/>
      <c r="ZU161" s="41"/>
      <c r="ZV161" s="41"/>
      <c r="ZW161" s="41"/>
      <c r="ZX161" s="41"/>
      <c r="ZY161" s="41"/>
      <c r="ZZ161" s="41"/>
      <c r="AAA161" s="41"/>
      <c r="AAB161" s="41"/>
      <c r="AAC161" s="41"/>
    </row>
    <row r="162" spans="1:705" s="134" customFormat="1" ht="44.1" hidden="1" customHeight="1" x14ac:dyDescent="0.3">
      <c r="A162" s="201">
        <v>158</v>
      </c>
      <c r="B162" s="137">
        <v>240653</v>
      </c>
      <c r="C162" s="138">
        <v>158</v>
      </c>
      <c r="D162" s="139">
        <v>45939</v>
      </c>
      <c r="E162" s="139">
        <f t="shared" si="23"/>
        <v>45938</v>
      </c>
      <c r="F162" s="139">
        <f t="shared" si="22"/>
        <v>45949</v>
      </c>
      <c r="G162" s="139">
        <v>46000</v>
      </c>
      <c r="H162" s="139">
        <v>46029</v>
      </c>
      <c r="I162" s="139" t="s">
        <v>617</v>
      </c>
      <c r="J162" s="140" t="s">
        <v>425</v>
      </c>
      <c r="K162" s="141">
        <f t="shared" si="24"/>
        <v>80</v>
      </c>
      <c r="L162" s="141">
        <v>1153083</v>
      </c>
      <c r="M162" s="140" t="s">
        <v>15</v>
      </c>
      <c r="N162" s="142" t="s">
        <v>1160</v>
      </c>
      <c r="O162" s="137" t="s">
        <v>246</v>
      </c>
      <c r="P162" s="190">
        <v>46128</v>
      </c>
      <c r="Q162" s="190">
        <v>46200</v>
      </c>
      <c r="R162" s="137" t="s">
        <v>211</v>
      </c>
      <c r="S162" s="144" t="s">
        <v>426</v>
      </c>
      <c r="T162" s="145">
        <v>1</v>
      </c>
      <c r="U162" s="137" t="s">
        <v>427</v>
      </c>
      <c r="V162" s="146">
        <v>318</v>
      </c>
      <c r="W162" s="146">
        <v>318</v>
      </c>
      <c r="X162" s="147">
        <v>96</v>
      </c>
      <c r="Y162" s="146">
        <v>96</v>
      </c>
      <c r="Z162" s="146">
        <v>0</v>
      </c>
      <c r="AA162" s="146">
        <v>0</v>
      </c>
      <c r="AB162" s="146">
        <v>268</v>
      </c>
      <c r="AC162" s="146">
        <v>268</v>
      </c>
      <c r="AD162" s="146">
        <v>44</v>
      </c>
      <c r="AE162" s="146">
        <v>44</v>
      </c>
      <c r="AF162" s="146">
        <v>120</v>
      </c>
      <c r="AG162" s="146">
        <v>120</v>
      </c>
      <c r="AH162" s="146">
        <v>2</v>
      </c>
      <c r="AI162" s="146">
        <v>2</v>
      </c>
      <c r="AJ162" s="146">
        <v>1</v>
      </c>
      <c r="AK162" s="146">
        <v>1</v>
      </c>
      <c r="AL162" s="146">
        <v>2</v>
      </c>
      <c r="AM162" s="146">
        <v>2</v>
      </c>
      <c r="AN162" s="146">
        <v>2</v>
      </c>
      <c r="AO162" s="146">
        <v>2</v>
      </c>
      <c r="AP162" s="146">
        <v>3</v>
      </c>
      <c r="AQ162" s="146">
        <v>3</v>
      </c>
      <c r="AR162" s="146">
        <v>0</v>
      </c>
      <c r="AS162" s="146">
        <v>0</v>
      </c>
      <c r="AT162" s="146">
        <v>0</v>
      </c>
      <c r="AU162" s="146">
        <v>0</v>
      </c>
      <c r="AV162" s="146">
        <v>2</v>
      </c>
      <c r="AW162" s="146">
        <v>2</v>
      </c>
      <c r="AX162" s="146">
        <f t="shared" si="25"/>
        <v>69741</v>
      </c>
      <c r="AY162" s="146">
        <f t="shared" si="20"/>
        <v>69741</v>
      </c>
      <c r="AZ162" s="140" t="s">
        <v>562</v>
      </c>
      <c r="BA162" s="140" t="s">
        <v>562</v>
      </c>
      <c r="BB162" s="140">
        <v>12</v>
      </c>
      <c r="BC162" s="148">
        <v>158</v>
      </c>
      <c r="BD162" s="149"/>
      <c r="BE162" s="145"/>
      <c r="BF162" s="150"/>
      <c r="BG162" s="151">
        <v>46023</v>
      </c>
      <c r="BH162" s="153" t="s">
        <v>535</v>
      </c>
      <c r="BI162" s="153" t="s">
        <v>562</v>
      </c>
      <c r="BK162" s="238"/>
      <c r="DB162" s="42"/>
      <c r="DC162" s="42"/>
      <c r="DD162" s="42"/>
      <c r="DE162" s="42"/>
      <c r="DF162" s="42"/>
      <c r="DG162" s="42"/>
      <c r="DH162" s="42"/>
      <c r="DI162" s="42"/>
      <c r="DJ162" s="42"/>
      <c r="DK162" s="42"/>
      <c r="DL162" s="42"/>
      <c r="DM162" s="42"/>
      <c r="DN162" s="42"/>
      <c r="DO162" s="42"/>
      <c r="DP162" s="42"/>
      <c r="DQ162" s="42"/>
      <c r="DR162" s="42"/>
      <c r="DS162" s="42"/>
      <c r="DT162" s="42"/>
      <c r="DU162" s="42"/>
      <c r="DV162" s="42"/>
      <c r="DW162" s="42"/>
      <c r="DX162" s="42"/>
      <c r="DY162" s="42"/>
      <c r="DZ162" s="42"/>
      <c r="EA162" s="42"/>
      <c r="EB162" s="42"/>
      <c r="EC162" s="42"/>
      <c r="ED162" s="42"/>
      <c r="EE162" s="42"/>
      <c r="EF162" s="42"/>
      <c r="EG162" s="42"/>
      <c r="EH162" s="42"/>
      <c r="EI162" s="42"/>
      <c r="EJ162" s="42"/>
      <c r="EK162" s="42"/>
      <c r="EL162" s="42"/>
      <c r="EM162" s="42"/>
      <c r="EN162" s="42"/>
      <c r="EO162" s="42"/>
      <c r="EP162" s="42"/>
      <c r="EQ162" s="42"/>
      <c r="ER162" s="42"/>
      <c r="ES162" s="42"/>
      <c r="ET162" s="42"/>
      <c r="EU162" s="42"/>
      <c r="EV162" s="42"/>
      <c r="EW162" s="42"/>
      <c r="EX162" s="42"/>
      <c r="EY162" s="42"/>
      <c r="EZ162" s="42"/>
      <c r="FA162" s="42"/>
      <c r="FB162" s="42"/>
      <c r="FC162" s="42"/>
      <c r="FD162" s="42"/>
      <c r="FE162" s="42"/>
      <c r="FF162" s="42"/>
      <c r="FG162" s="42"/>
      <c r="FH162" s="42"/>
      <c r="FI162" s="42"/>
      <c r="FJ162" s="42"/>
      <c r="FK162" s="42"/>
      <c r="FL162" s="42"/>
      <c r="FM162" s="42"/>
      <c r="FN162" s="42"/>
      <c r="FO162" s="42"/>
      <c r="FP162" s="42"/>
      <c r="FQ162" s="42"/>
      <c r="FR162" s="42"/>
      <c r="FS162" s="42"/>
      <c r="FT162" s="42"/>
      <c r="FU162" s="42"/>
    </row>
    <row r="163" spans="1:705" s="42" customFormat="1" ht="44.1" hidden="1" customHeight="1" x14ac:dyDescent="0.3">
      <c r="A163" s="26">
        <v>159</v>
      </c>
      <c r="B163" s="137">
        <v>240663</v>
      </c>
      <c r="C163" s="138">
        <v>159</v>
      </c>
      <c r="D163" s="139">
        <v>45942</v>
      </c>
      <c r="E163" s="139">
        <f t="shared" si="23"/>
        <v>45941</v>
      </c>
      <c r="F163" s="139">
        <f t="shared" si="22"/>
        <v>45952</v>
      </c>
      <c r="G163" s="139">
        <v>46003</v>
      </c>
      <c r="H163" s="139">
        <v>45985</v>
      </c>
      <c r="I163" s="139" t="s">
        <v>123</v>
      </c>
      <c r="J163" s="140" t="s">
        <v>428</v>
      </c>
      <c r="K163" s="141">
        <f t="shared" si="24"/>
        <v>33</v>
      </c>
      <c r="L163" s="141">
        <v>1153688</v>
      </c>
      <c r="M163" s="140" t="s">
        <v>15</v>
      </c>
      <c r="N163" s="142">
        <v>806344</v>
      </c>
      <c r="O163" s="137" t="s">
        <v>246</v>
      </c>
      <c r="P163" s="190">
        <v>45966</v>
      </c>
      <c r="Q163" s="190">
        <v>46135</v>
      </c>
      <c r="R163" s="137" t="s">
        <v>211</v>
      </c>
      <c r="S163" s="144" t="s">
        <v>429</v>
      </c>
      <c r="T163" s="145">
        <v>1</v>
      </c>
      <c r="U163" s="137" t="s">
        <v>195</v>
      </c>
      <c r="V163" s="146">
        <v>73</v>
      </c>
      <c r="W163" s="146">
        <v>73</v>
      </c>
      <c r="X163" s="147">
        <v>0</v>
      </c>
      <c r="Y163" s="146">
        <v>0</v>
      </c>
      <c r="Z163" s="146">
        <v>0</v>
      </c>
      <c r="AA163" s="146">
        <v>0</v>
      </c>
      <c r="AB163" s="146">
        <v>45</v>
      </c>
      <c r="AC163" s="146">
        <v>45</v>
      </c>
      <c r="AD163" s="146">
        <v>0</v>
      </c>
      <c r="AE163" s="146">
        <v>0</v>
      </c>
      <c r="AF163" s="146">
        <v>0</v>
      </c>
      <c r="AG163" s="146">
        <v>0</v>
      </c>
      <c r="AH163" s="146">
        <v>1</v>
      </c>
      <c r="AI163" s="146">
        <v>1</v>
      </c>
      <c r="AJ163" s="146">
        <v>0</v>
      </c>
      <c r="AK163" s="146">
        <v>0</v>
      </c>
      <c r="AL163" s="146">
        <v>0</v>
      </c>
      <c r="AM163" s="146"/>
      <c r="AN163" s="146">
        <v>1</v>
      </c>
      <c r="AO163" s="146">
        <v>1</v>
      </c>
      <c r="AP163" s="146">
        <v>2</v>
      </c>
      <c r="AQ163" s="146">
        <v>2</v>
      </c>
      <c r="AR163" s="146">
        <v>0</v>
      </c>
      <c r="AS163" s="146">
        <v>0</v>
      </c>
      <c r="AT163" s="146">
        <v>1</v>
      </c>
      <c r="AU163" s="146">
        <v>1</v>
      </c>
      <c r="AV163" s="146">
        <v>0</v>
      </c>
      <c r="AW163" s="146">
        <v>0</v>
      </c>
      <c r="AX163" s="146">
        <f t="shared" si="25"/>
        <v>8785</v>
      </c>
      <c r="AY163" s="146">
        <f t="shared" si="20"/>
        <v>8785</v>
      </c>
      <c r="AZ163" s="140" t="s">
        <v>562</v>
      </c>
      <c r="BA163" s="140" t="s">
        <v>562</v>
      </c>
      <c r="BB163" s="140">
        <v>4</v>
      </c>
      <c r="BC163" s="148">
        <v>159</v>
      </c>
      <c r="BD163" s="149"/>
      <c r="BE163" s="145"/>
      <c r="BF163" s="150"/>
      <c r="BG163" s="151">
        <v>45962</v>
      </c>
      <c r="BH163" s="153" t="s">
        <v>535</v>
      </c>
      <c r="BI163" s="153" t="s">
        <v>562</v>
      </c>
      <c r="CC163" s="41"/>
      <c r="CD163" s="41"/>
      <c r="CE163" s="41"/>
      <c r="CF163" s="41"/>
      <c r="CG163" s="41"/>
      <c r="CH163" s="41"/>
      <c r="CI163" s="41"/>
      <c r="CJ163" s="41"/>
      <c r="CK163" s="41"/>
      <c r="CL163" s="41"/>
      <c r="CM163" s="41"/>
      <c r="CN163" s="41"/>
      <c r="CO163" s="41"/>
      <c r="CP163" s="41"/>
      <c r="CQ163" s="41"/>
      <c r="CR163" s="41"/>
      <c r="CS163" s="41"/>
      <c r="CT163" s="41"/>
      <c r="CU163" s="41"/>
      <c r="CV163" s="41"/>
      <c r="CW163" s="41"/>
      <c r="CX163" s="41"/>
      <c r="CY163" s="41"/>
      <c r="CZ163" s="41"/>
      <c r="DA163" s="41"/>
      <c r="DB163" s="41"/>
      <c r="DC163" s="41"/>
      <c r="DD163" s="41"/>
      <c r="DE163" s="41"/>
      <c r="DF163" s="41"/>
      <c r="DG163" s="41"/>
      <c r="DH163" s="41"/>
      <c r="DI163" s="41"/>
      <c r="DJ163" s="41"/>
      <c r="DK163" s="41"/>
      <c r="DL163" s="41"/>
      <c r="DM163" s="41"/>
      <c r="DN163" s="41"/>
      <c r="DO163" s="41"/>
      <c r="DP163" s="41"/>
      <c r="DQ163" s="41"/>
      <c r="DR163" s="41"/>
      <c r="DS163" s="41"/>
      <c r="DT163" s="41"/>
      <c r="DU163" s="41"/>
      <c r="DV163" s="41"/>
      <c r="DW163" s="41"/>
      <c r="DX163" s="41"/>
      <c r="DY163" s="41"/>
      <c r="DZ163" s="41"/>
      <c r="EA163" s="41"/>
      <c r="EB163" s="41"/>
      <c r="EC163" s="41"/>
      <c r="ED163" s="41"/>
      <c r="EE163" s="41"/>
      <c r="EF163" s="41"/>
      <c r="EG163" s="41"/>
      <c r="EH163" s="41"/>
      <c r="EI163" s="41"/>
      <c r="EJ163" s="41"/>
      <c r="EK163" s="41"/>
      <c r="EL163" s="41"/>
      <c r="EM163" s="41"/>
      <c r="EN163" s="41"/>
      <c r="EO163" s="41"/>
      <c r="EP163" s="41"/>
      <c r="EQ163" s="41"/>
      <c r="ER163" s="41"/>
      <c r="ES163" s="41"/>
      <c r="ET163" s="41"/>
      <c r="EU163" s="41"/>
      <c r="EV163" s="41"/>
      <c r="EW163" s="41"/>
      <c r="EX163" s="41"/>
      <c r="EY163" s="41"/>
      <c r="EZ163" s="41"/>
      <c r="FA163" s="41"/>
      <c r="FB163" s="41"/>
      <c r="FC163" s="41"/>
      <c r="FD163" s="41"/>
      <c r="FE163" s="41"/>
      <c r="FF163" s="41"/>
      <c r="FG163" s="41"/>
      <c r="FH163" s="41"/>
      <c r="FI163" s="41"/>
      <c r="FJ163" s="41"/>
      <c r="FK163" s="41"/>
      <c r="FL163" s="41"/>
      <c r="FM163" s="41"/>
      <c r="FN163" s="41"/>
      <c r="FO163" s="41"/>
      <c r="FP163" s="41"/>
      <c r="FQ163" s="41"/>
      <c r="FR163" s="41"/>
      <c r="FS163" s="41"/>
      <c r="FT163" s="41"/>
      <c r="FU163" s="41"/>
      <c r="FV163" s="41"/>
      <c r="FW163" s="41"/>
      <c r="FX163" s="41"/>
      <c r="FY163" s="41"/>
      <c r="FZ163" s="41"/>
      <c r="GA163" s="41"/>
      <c r="GB163" s="41"/>
      <c r="GC163" s="41"/>
      <c r="GD163" s="41"/>
      <c r="GE163" s="41"/>
      <c r="GF163" s="41"/>
      <c r="GG163" s="41"/>
      <c r="GH163" s="41"/>
      <c r="GI163" s="41"/>
      <c r="GJ163" s="41"/>
      <c r="GK163" s="41"/>
      <c r="GL163" s="41"/>
      <c r="GM163" s="41"/>
      <c r="GN163" s="41"/>
      <c r="GO163" s="41"/>
      <c r="GP163" s="41"/>
      <c r="GQ163" s="41"/>
      <c r="GR163" s="41"/>
      <c r="GS163" s="41"/>
      <c r="GT163" s="41"/>
      <c r="GU163" s="41"/>
      <c r="GV163" s="41"/>
      <c r="GW163" s="41"/>
      <c r="GX163" s="41"/>
      <c r="GY163" s="41"/>
      <c r="GZ163" s="41"/>
      <c r="HA163" s="41"/>
      <c r="HB163" s="41"/>
      <c r="HC163" s="41"/>
      <c r="HD163" s="41"/>
      <c r="HE163" s="41"/>
      <c r="HF163" s="41"/>
      <c r="HG163" s="41"/>
      <c r="HH163" s="41"/>
      <c r="HI163" s="41"/>
      <c r="HJ163" s="41"/>
      <c r="HK163" s="41"/>
      <c r="HL163" s="41"/>
      <c r="HM163" s="41"/>
      <c r="HN163" s="41"/>
      <c r="HO163" s="41"/>
      <c r="HP163" s="41"/>
      <c r="HQ163" s="41"/>
      <c r="HR163" s="41"/>
      <c r="HS163" s="41"/>
      <c r="HT163" s="41"/>
      <c r="HU163" s="41"/>
      <c r="HV163" s="41"/>
      <c r="HW163" s="41"/>
      <c r="HX163" s="41"/>
      <c r="HY163" s="41"/>
      <c r="HZ163" s="41"/>
      <c r="IA163" s="41"/>
      <c r="IB163" s="41"/>
      <c r="IC163" s="41"/>
      <c r="ID163" s="41"/>
      <c r="IE163" s="41"/>
      <c r="IF163" s="41"/>
      <c r="IG163" s="41"/>
      <c r="IH163" s="41"/>
      <c r="II163" s="41"/>
      <c r="IJ163" s="41"/>
      <c r="IK163" s="41"/>
      <c r="IL163" s="41"/>
      <c r="IM163" s="41"/>
      <c r="IN163" s="41"/>
      <c r="IO163" s="41"/>
      <c r="IP163" s="41"/>
      <c r="IQ163" s="41"/>
      <c r="IR163" s="41"/>
      <c r="IS163" s="41"/>
      <c r="IT163" s="41"/>
      <c r="IU163" s="41"/>
      <c r="IV163" s="41"/>
      <c r="IW163" s="41"/>
      <c r="IX163" s="41"/>
      <c r="IY163" s="41"/>
      <c r="IZ163" s="41"/>
      <c r="JA163" s="41"/>
      <c r="JB163" s="41"/>
      <c r="JC163" s="41"/>
      <c r="JD163" s="41"/>
      <c r="JE163" s="41"/>
      <c r="JF163" s="41"/>
      <c r="JG163" s="41"/>
      <c r="JH163" s="41"/>
      <c r="JI163" s="41"/>
      <c r="JJ163" s="41"/>
      <c r="JK163" s="41"/>
      <c r="JL163" s="41"/>
      <c r="JM163" s="41"/>
      <c r="JN163" s="41"/>
      <c r="JO163" s="41"/>
      <c r="JP163" s="41"/>
      <c r="JQ163" s="41"/>
      <c r="JR163" s="41"/>
      <c r="JS163" s="41"/>
      <c r="JT163" s="41"/>
      <c r="JU163" s="41"/>
      <c r="JV163" s="41"/>
      <c r="JW163" s="41"/>
      <c r="JX163" s="41"/>
      <c r="JY163" s="41"/>
      <c r="JZ163" s="41"/>
      <c r="KA163" s="41"/>
      <c r="KB163" s="41"/>
      <c r="KC163" s="41"/>
      <c r="KD163" s="41"/>
      <c r="KE163" s="41"/>
      <c r="KF163" s="41"/>
      <c r="KG163" s="41"/>
      <c r="KH163" s="41"/>
      <c r="KI163" s="41"/>
      <c r="KJ163" s="41"/>
      <c r="KK163" s="41"/>
      <c r="KL163" s="41"/>
      <c r="KM163" s="41"/>
      <c r="KN163" s="41"/>
      <c r="KO163" s="41"/>
      <c r="KP163" s="41"/>
      <c r="KQ163" s="41"/>
      <c r="KR163" s="41"/>
      <c r="KS163" s="41"/>
      <c r="KT163" s="41"/>
      <c r="KU163" s="41"/>
      <c r="KV163" s="41"/>
      <c r="KW163" s="41"/>
      <c r="KX163" s="41"/>
      <c r="KY163" s="41"/>
      <c r="KZ163" s="41"/>
      <c r="LA163" s="41"/>
      <c r="LB163" s="41"/>
      <c r="LC163" s="41"/>
      <c r="LD163" s="41"/>
      <c r="LE163" s="41"/>
      <c r="LF163" s="41"/>
      <c r="LG163" s="41"/>
      <c r="LH163" s="41"/>
      <c r="LI163" s="41"/>
      <c r="LJ163" s="41"/>
      <c r="LK163" s="41"/>
      <c r="LL163" s="41"/>
      <c r="LM163" s="41"/>
      <c r="LN163" s="41"/>
      <c r="LO163" s="41"/>
      <c r="LP163" s="41"/>
      <c r="LQ163" s="41"/>
      <c r="LR163" s="41"/>
      <c r="LS163" s="41"/>
      <c r="LT163" s="41"/>
      <c r="LU163" s="41"/>
      <c r="LV163" s="41"/>
      <c r="LW163" s="41"/>
      <c r="LX163" s="41"/>
      <c r="LY163" s="41"/>
      <c r="LZ163" s="41"/>
      <c r="MA163" s="41"/>
      <c r="MB163" s="41"/>
      <c r="MC163" s="41"/>
      <c r="MD163" s="41"/>
      <c r="ME163" s="41"/>
      <c r="MF163" s="41"/>
      <c r="MG163" s="41"/>
      <c r="MH163" s="41"/>
      <c r="MI163" s="41"/>
      <c r="MJ163" s="41"/>
      <c r="MK163" s="41"/>
      <c r="ML163" s="41"/>
      <c r="MM163" s="41"/>
      <c r="MN163" s="41"/>
      <c r="MO163" s="41"/>
      <c r="MP163" s="41"/>
      <c r="MQ163" s="41"/>
      <c r="MR163" s="41"/>
      <c r="MS163" s="41"/>
      <c r="MT163" s="41"/>
      <c r="MU163" s="41"/>
      <c r="MV163" s="41"/>
      <c r="MW163" s="41"/>
      <c r="MX163" s="41"/>
      <c r="MY163" s="41"/>
      <c r="MZ163" s="41"/>
      <c r="NA163" s="41"/>
      <c r="NB163" s="41"/>
      <c r="NC163" s="41"/>
      <c r="ND163" s="41"/>
      <c r="NE163" s="41"/>
      <c r="NF163" s="41"/>
      <c r="NG163" s="41"/>
      <c r="NH163" s="41"/>
      <c r="NI163" s="41"/>
      <c r="NJ163" s="41"/>
      <c r="NK163" s="41"/>
      <c r="NL163" s="41"/>
      <c r="NM163" s="41"/>
      <c r="NN163" s="41"/>
      <c r="NO163" s="41"/>
      <c r="NP163" s="41"/>
      <c r="NQ163" s="41"/>
      <c r="NR163" s="41"/>
      <c r="NS163" s="41"/>
      <c r="NT163" s="41"/>
      <c r="NU163" s="41"/>
      <c r="NV163" s="41"/>
      <c r="NW163" s="41"/>
      <c r="NX163" s="41"/>
      <c r="NY163" s="41"/>
      <c r="NZ163" s="41"/>
      <c r="OA163" s="41"/>
      <c r="OB163" s="41"/>
      <c r="OC163" s="41"/>
      <c r="OD163" s="41"/>
      <c r="OE163" s="41"/>
      <c r="OF163" s="41"/>
      <c r="OG163" s="41"/>
      <c r="OH163" s="41"/>
      <c r="OI163" s="41"/>
      <c r="OJ163" s="41"/>
      <c r="OK163" s="41"/>
      <c r="OL163" s="41"/>
      <c r="OM163" s="41"/>
      <c r="ON163" s="41"/>
      <c r="OO163" s="41"/>
      <c r="OP163" s="41"/>
      <c r="OQ163" s="41"/>
      <c r="OR163" s="41"/>
      <c r="OS163" s="41"/>
      <c r="OT163" s="41"/>
      <c r="OU163" s="41"/>
      <c r="OV163" s="41"/>
      <c r="OW163" s="41"/>
      <c r="OX163" s="41"/>
      <c r="OY163" s="41"/>
      <c r="OZ163" s="41"/>
      <c r="PA163" s="41"/>
      <c r="PB163" s="41"/>
      <c r="PC163" s="41"/>
      <c r="PD163" s="41"/>
      <c r="PE163" s="41"/>
      <c r="PF163" s="41"/>
      <c r="PG163" s="41"/>
      <c r="PH163" s="41"/>
      <c r="PI163" s="41"/>
      <c r="PJ163" s="41"/>
      <c r="PK163" s="41"/>
      <c r="PL163" s="41"/>
      <c r="PM163" s="41"/>
      <c r="PN163" s="41"/>
      <c r="PO163" s="41"/>
      <c r="PP163" s="41"/>
      <c r="PQ163" s="41"/>
      <c r="PR163" s="41"/>
      <c r="PS163" s="41"/>
      <c r="PT163" s="41"/>
      <c r="PU163" s="41"/>
      <c r="PV163" s="41"/>
      <c r="PW163" s="41"/>
      <c r="PX163" s="41"/>
      <c r="PY163" s="41"/>
      <c r="PZ163" s="41"/>
      <c r="QA163" s="41"/>
      <c r="QB163" s="41"/>
      <c r="QC163" s="41"/>
      <c r="QD163" s="41"/>
      <c r="QE163" s="41"/>
      <c r="QF163" s="41"/>
      <c r="QG163" s="41"/>
      <c r="QH163" s="41"/>
      <c r="QI163" s="41"/>
      <c r="QJ163" s="41"/>
      <c r="QK163" s="41"/>
      <c r="QL163" s="41"/>
      <c r="QM163" s="41"/>
      <c r="QN163" s="41"/>
      <c r="QO163" s="41"/>
      <c r="QP163" s="41"/>
      <c r="QQ163" s="41"/>
      <c r="QR163" s="41"/>
      <c r="QS163" s="41"/>
      <c r="QT163" s="41"/>
      <c r="QU163" s="41"/>
      <c r="QV163" s="41"/>
      <c r="QW163" s="41"/>
      <c r="QX163" s="41"/>
      <c r="QY163" s="41"/>
      <c r="QZ163" s="41"/>
      <c r="RA163" s="41"/>
      <c r="RB163" s="41"/>
      <c r="RC163" s="41"/>
      <c r="RD163" s="41"/>
      <c r="RE163" s="41"/>
      <c r="RF163" s="41"/>
      <c r="RG163" s="41"/>
      <c r="RH163" s="41"/>
      <c r="RI163" s="41"/>
      <c r="RJ163" s="41"/>
      <c r="RK163" s="41"/>
      <c r="RL163" s="41"/>
      <c r="RM163" s="41"/>
      <c r="RN163" s="41"/>
      <c r="RO163" s="41"/>
      <c r="RP163" s="41"/>
      <c r="RQ163" s="41"/>
      <c r="RR163" s="41"/>
      <c r="RS163" s="41"/>
      <c r="RT163" s="41"/>
      <c r="RU163" s="41"/>
      <c r="RV163" s="41"/>
      <c r="RW163" s="41"/>
      <c r="RX163" s="41"/>
      <c r="RY163" s="41"/>
      <c r="RZ163" s="41"/>
      <c r="SA163" s="41"/>
      <c r="SB163" s="41"/>
      <c r="SC163" s="41"/>
      <c r="SD163" s="41"/>
      <c r="SE163" s="41"/>
      <c r="SF163" s="41"/>
      <c r="SG163" s="41"/>
      <c r="SH163" s="41"/>
      <c r="SI163" s="41"/>
      <c r="SJ163" s="41"/>
      <c r="SK163" s="41"/>
      <c r="SL163" s="41"/>
      <c r="SM163" s="41"/>
      <c r="SN163" s="41"/>
      <c r="SO163" s="41"/>
      <c r="SP163" s="41"/>
      <c r="SQ163" s="41"/>
      <c r="SR163" s="41"/>
      <c r="SS163" s="41"/>
      <c r="ST163" s="41"/>
      <c r="SU163" s="41"/>
      <c r="SV163" s="41"/>
      <c r="SW163" s="41"/>
      <c r="SX163" s="41"/>
      <c r="SY163" s="41"/>
      <c r="SZ163" s="41"/>
      <c r="TA163" s="41"/>
      <c r="TB163" s="41"/>
      <c r="TC163" s="41"/>
      <c r="TD163" s="41"/>
      <c r="TE163" s="41"/>
      <c r="TF163" s="41"/>
      <c r="TG163" s="41"/>
      <c r="TH163" s="41"/>
      <c r="TI163" s="41"/>
      <c r="TJ163" s="41"/>
      <c r="TK163" s="41"/>
      <c r="TL163" s="41"/>
      <c r="TM163" s="41"/>
      <c r="TN163" s="41"/>
      <c r="TO163" s="41"/>
      <c r="TP163" s="41"/>
      <c r="TQ163" s="41"/>
      <c r="TR163" s="41"/>
      <c r="TS163" s="41"/>
      <c r="TT163" s="41"/>
      <c r="TU163" s="41"/>
      <c r="TV163" s="41"/>
      <c r="TW163" s="41"/>
      <c r="TX163" s="41"/>
      <c r="TY163" s="41"/>
      <c r="TZ163" s="41"/>
      <c r="UA163" s="41"/>
      <c r="UB163" s="41"/>
      <c r="UC163" s="41"/>
      <c r="UD163" s="41"/>
      <c r="UE163" s="41"/>
      <c r="UF163" s="41"/>
      <c r="UG163" s="41"/>
      <c r="UH163" s="41"/>
      <c r="UI163" s="41"/>
      <c r="UJ163" s="41"/>
      <c r="UK163" s="41"/>
      <c r="UL163" s="41"/>
      <c r="UM163" s="41"/>
      <c r="UN163" s="41"/>
      <c r="UO163" s="41"/>
      <c r="UP163" s="41"/>
      <c r="UQ163" s="41"/>
      <c r="UR163" s="41"/>
      <c r="US163" s="41"/>
      <c r="UT163" s="41"/>
      <c r="UU163" s="41"/>
      <c r="UV163" s="41"/>
      <c r="UW163" s="41"/>
      <c r="UX163" s="41"/>
      <c r="UY163" s="41"/>
      <c r="UZ163" s="41"/>
      <c r="VA163" s="41"/>
      <c r="VB163" s="41"/>
      <c r="VC163" s="41"/>
      <c r="VD163" s="41"/>
      <c r="VE163" s="41"/>
      <c r="VF163" s="41"/>
      <c r="VG163" s="41"/>
      <c r="VH163" s="41"/>
      <c r="VI163" s="41"/>
      <c r="VJ163" s="41"/>
      <c r="VK163" s="41"/>
      <c r="VL163" s="41"/>
      <c r="VM163" s="41"/>
      <c r="VN163" s="41"/>
      <c r="VO163" s="41"/>
      <c r="VP163" s="41"/>
      <c r="VQ163" s="41"/>
      <c r="VR163" s="41"/>
      <c r="VS163" s="41"/>
      <c r="VT163" s="41"/>
      <c r="VU163" s="41"/>
      <c r="VV163" s="41"/>
      <c r="VW163" s="41"/>
      <c r="VX163" s="41"/>
      <c r="VY163" s="41"/>
      <c r="VZ163" s="41"/>
      <c r="WA163" s="41"/>
      <c r="WB163" s="41"/>
      <c r="WC163" s="41"/>
      <c r="WD163" s="41"/>
      <c r="WE163" s="41"/>
      <c r="WF163" s="41"/>
      <c r="WG163" s="41"/>
      <c r="WH163" s="41"/>
      <c r="WI163" s="41"/>
      <c r="WJ163" s="41"/>
      <c r="WK163" s="41"/>
      <c r="WL163" s="41"/>
      <c r="WM163" s="41"/>
      <c r="WN163" s="41"/>
      <c r="WO163" s="41"/>
      <c r="WP163" s="41"/>
      <c r="WQ163" s="41"/>
      <c r="WR163" s="41"/>
      <c r="WS163" s="41"/>
      <c r="WT163" s="41"/>
      <c r="WU163" s="41"/>
      <c r="WV163" s="41"/>
      <c r="WW163" s="41"/>
      <c r="WX163" s="41"/>
      <c r="WY163" s="41"/>
      <c r="WZ163" s="41"/>
      <c r="XA163" s="41"/>
      <c r="XB163" s="41"/>
      <c r="XC163" s="41"/>
      <c r="XD163" s="41"/>
      <c r="XE163" s="41"/>
      <c r="XF163" s="41"/>
      <c r="XG163" s="41"/>
      <c r="XH163" s="41"/>
      <c r="XI163" s="41"/>
      <c r="XJ163" s="41"/>
      <c r="XK163" s="41"/>
      <c r="XL163" s="41"/>
      <c r="XM163" s="41"/>
      <c r="XN163" s="41"/>
      <c r="XO163" s="41"/>
      <c r="XP163" s="41"/>
      <c r="XQ163" s="41"/>
      <c r="XR163" s="41"/>
      <c r="XS163" s="41"/>
      <c r="XT163" s="41"/>
      <c r="XU163" s="41"/>
      <c r="XV163" s="41"/>
      <c r="XW163" s="41"/>
      <c r="XX163" s="41"/>
      <c r="XY163" s="41"/>
      <c r="XZ163" s="41"/>
      <c r="YA163" s="41"/>
      <c r="YB163" s="41"/>
      <c r="YC163" s="41"/>
      <c r="YD163" s="41"/>
      <c r="YE163" s="41"/>
      <c r="YF163" s="41"/>
      <c r="YG163" s="41"/>
      <c r="YH163" s="41"/>
      <c r="YI163" s="41"/>
      <c r="YJ163" s="41"/>
      <c r="YK163" s="41"/>
      <c r="YL163" s="41"/>
      <c r="YM163" s="41"/>
      <c r="YN163" s="41"/>
      <c r="YO163" s="41"/>
      <c r="YP163" s="41"/>
      <c r="YQ163" s="41"/>
      <c r="YR163" s="41"/>
      <c r="YS163" s="41"/>
      <c r="YT163" s="41"/>
      <c r="YU163" s="41"/>
      <c r="YV163" s="41"/>
      <c r="YW163" s="41"/>
      <c r="YX163" s="41"/>
      <c r="YY163" s="41"/>
      <c r="YZ163" s="41"/>
      <c r="ZA163" s="41"/>
      <c r="ZB163" s="41"/>
      <c r="ZC163" s="41"/>
      <c r="ZD163" s="41"/>
      <c r="ZE163" s="41"/>
      <c r="ZF163" s="41"/>
      <c r="ZG163" s="41"/>
      <c r="ZH163" s="41"/>
      <c r="ZI163" s="41"/>
      <c r="ZJ163" s="41"/>
      <c r="ZK163" s="41"/>
      <c r="ZL163" s="41"/>
      <c r="ZM163" s="41"/>
      <c r="ZN163" s="41"/>
      <c r="ZO163" s="41"/>
      <c r="ZP163" s="41"/>
      <c r="ZQ163" s="41"/>
      <c r="ZR163" s="41"/>
      <c r="ZS163" s="41"/>
      <c r="ZT163" s="41"/>
      <c r="ZU163" s="41"/>
      <c r="ZV163" s="41"/>
      <c r="ZW163" s="41"/>
      <c r="ZX163" s="41"/>
      <c r="ZY163" s="41"/>
      <c r="ZZ163" s="41"/>
      <c r="AAA163" s="41"/>
      <c r="AAB163" s="41"/>
      <c r="AAC163" s="41"/>
    </row>
    <row r="164" spans="1:705" s="42" customFormat="1" ht="44.1" hidden="1" customHeight="1" x14ac:dyDescent="0.3">
      <c r="A164" s="26">
        <v>160</v>
      </c>
      <c r="B164" s="136">
        <v>240664</v>
      </c>
      <c r="C164" s="138">
        <v>160</v>
      </c>
      <c r="D164" s="139">
        <v>45942</v>
      </c>
      <c r="E164" s="139">
        <f t="shared" si="23"/>
        <v>45941</v>
      </c>
      <c r="F164" s="139">
        <f t="shared" si="22"/>
        <v>45952</v>
      </c>
      <c r="G164" s="139">
        <v>45952</v>
      </c>
      <c r="H164" s="139">
        <v>45948</v>
      </c>
      <c r="I164" s="139" t="s">
        <v>75</v>
      </c>
      <c r="J164" s="140" t="s">
        <v>416</v>
      </c>
      <c r="K164" s="141">
        <f t="shared" si="24"/>
        <v>-4</v>
      </c>
      <c r="L164" s="141">
        <v>1153693</v>
      </c>
      <c r="M164" s="140" t="s">
        <v>15</v>
      </c>
      <c r="N164" s="140" t="s">
        <v>251</v>
      </c>
      <c r="O164" s="137" t="s">
        <v>251</v>
      </c>
      <c r="P164" s="143" t="s">
        <v>213</v>
      </c>
      <c r="Q164" s="143" t="s">
        <v>213</v>
      </c>
      <c r="R164" s="137" t="s">
        <v>211</v>
      </c>
      <c r="S164" s="144" t="s">
        <v>417</v>
      </c>
      <c r="T164" s="145">
        <v>1</v>
      </c>
      <c r="U164" s="137" t="s">
        <v>374</v>
      </c>
      <c r="V164" s="146">
        <v>0</v>
      </c>
      <c r="W164" s="146"/>
      <c r="X164" s="147">
        <v>0</v>
      </c>
      <c r="Y164" s="146">
        <v>0</v>
      </c>
      <c r="Z164" s="146">
        <v>0</v>
      </c>
      <c r="AA164" s="146">
        <v>0</v>
      </c>
      <c r="AB164" s="146">
        <v>0</v>
      </c>
      <c r="AC164" s="146"/>
      <c r="AD164" s="146">
        <v>0</v>
      </c>
      <c r="AE164" s="146">
        <v>0</v>
      </c>
      <c r="AF164" s="146">
        <v>0</v>
      </c>
      <c r="AG164" s="146">
        <v>0</v>
      </c>
      <c r="AH164" s="146">
        <v>1</v>
      </c>
      <c r="AI164" s="146">
        <v>1</v>
      </c>
      <c r="AJ164" s="146">
        <v>0</v>
      </c>
      <c r="AK164" s="146">
        <v>0</v>
      </c>
      <c r="AL164" s="146">
        <v>0</v>
      </c>
      <c r="AM164" s="146">
        <v>0</v>
      </c>
      <c r="AN164" s="146">
        <v>0</v>
      </c>
      <c r="AO164" s="146"/>
      <c r="AP164" s="146">
        <v>0</v>
      </c>
      <c r="AQ164" s="146"/>
      <c r="AR164" s="146">
        <v>0</v>
      </c>
      <c r="AS164" s="146">
        <v>0</v>
      </c>
      <c r="AT164" s="146">
        <v>1</v>
      </c>
      <c r="AU164" s="146">
        <v>1</v>
      </c>
      <c r="AV164" s="146">
        <v>0</v>
      </c>
      <c r="AW164" s="146">
        <v>0</v>
      </c>
      <c r="AX164" s="146">
        <f t="shared" si="25"/>
        <v>520</v>
      </c>
      <c r="AY164" s="146">
        <f t="shared" si="20"/>
        <v>520</v>
      </c>
      <c r="AZ164" s="140" t="s">
        <v>562</v>
      </c>
      <c r="BA164" s="140" t="s">
        <v>562</v>
      </c>
      <c r="BB164" s="189">
        <v>6</v>
      </c>
      <c r="BC164" s="148">
        <v>160</v>
      </c>
      <c r="BD164" s="149"/>
      <c r="BE164" s="145"/>
      <c r="BF164" s="150"/>
      <c r="BG164" s="151">
        <v>45931</v>
      </c>
      <c r="BH164" s="153" t="s">
        <v>15</v>
      </c>
      <c r="BI164" s="153" t="s">
        <v>562</v>
      </c>
      <c r="BJ164" s="41"/>
      <c r="BK164" s="41"/>
      <c r="BL164" s="41"/>
      <c r="BM164" s="41"/>
      <c r="BN164" s="41"/>
      <c r="BO164" s="41"/>
      <c r="BP164" s="41"/>
      <c r="BQ164" s="41"/>
      <c r="BR164" s="41"/>
      <c r="BS164" s="41"/>
      <c r="BT164" s="41"/>
      <c r="BU164" s="41"/>
      <c r="BV164" s="41"/>
      <c r="BW164" s="41"/>
      <c r="BX164" s="41"/>
      <c r="BY164" s="41"/>
      <c r="BZ164" s="41"/>
      <c r="CA164" s="41"/>
      <c r="CB164" s="41"/>
      <c r="CC164" s="41"/>
      <c r="CD164" s="41"/>
      <c r="CE164" s="41"/>
      <c r="CF164" s="41"/>
      <c r="CG164" s="41"/>
      <c r="CH164" s="41"/>
      <c r="CI164" s="41"/>
      <c r="CJ164" s="41"/>
      <c r="CK164" s="41"/>
      <c r="CL164" s="41"/>
      <c r="CM164" s="41"/>
      <c r="CN164" s="41"/>
      <c r="CO164" s="41"/>
      <c r="CP164" s="41"/>
      <c r="CQ164" s="41"/>
      <c r="CR164" s="41"/>
      <c r="CS164" s="41"/>
      <c r="CT164" s="41"/>
      <c r="CU164" s="41"/>
      <c r="CV164" s="41"/>
      <c r="CW164" s="41"/>
      <c r="CX164" s="41"/>
      <c r="CY164" s="41"/>
      <c r="CZ164" s="41"/>
      <c r="DA164" s="41"/>
      <c r="DB164" s="41"/>
      <c r="DC164" s="41"/>
      <c r="DD164" s="41"/>
      <c r="DE164" s="41"/>
      <c r="DF164" s="41"/>
      <c r="DG164" s="41"/>
      <c r="DH164" s="41"/>
      <c r="DI164" s="41"/>
      <c r="DJ164" s="41"/>
      <c r="DK164" s="41"/>
      <c r="DL164" s="41"/>
      <c r="DM164" s="41"/>
      <c r="DN164" s="41"/>
      <c r="DO164" s="41"/>
      <c r="DP164" s="41"/>
      <c r="DQ164" s="41"/>
      <c r="DR164" s="41"/>
      <c r="DS164" s="41"/>
      <c r="DT164" s="41"/>
      <c r="DU164" s="41"/>
      <c r="DV164" s="41"/>
      <c r="DW164" s="41"/>
      <c r="DX164" s="41"/>
      <c r="DY164" s="41"/>
      <c r="DZ164" s="41"/>
      <c r="EA164" s="41"/>
      <c r="EB164" s="41"/>
      <c r="EC164" s="41"/>
      <c r="ED164" s="41"/>
      <c r="EE164" s="41"/>
      <c r="EF164" s="41"/>
      <c r="EG164" s="41"/>
      <c r="EH164" s="41"/>
      <c r="EI164" s="41"/>
      <c r="EJ164" s="41"/>
      <c r="EK164" s="41"/>
      <c r="EL164" s="41"/>
      <c r="EM164" s="41"/>
      <c r="EN164" s="41"/>
      <c r="EO164" s="41"/>
      <c r="EP164" s="41"/>
      <c r="EQ164" s="41"/>
      <c r="ER164" s="41"/>
      <c r="ES164" s="41"/>
      <c r="ET164" s="41"/>
      <c r="EU164" s="41"/>
      <c r="EV164" s="41"/>
      <c r="EW164" s="41"/>
      <c r="EX164" s="41"/>
      <c r="EY164" s="41"/>
      <c r="EZ164" s="41"/>
      <c r="FA164" s="41"/>
      <c r="FB164" s="41"/>
      <c r="FC164" s="41"/>
      <c r="FD164" s="41"/>
      <c r="FE164" s="41"/>
      <c r="FF164" s="41"/>
      <c r="FG164" s="41"/>
      <c r="FH164" s="41"/>
      <c r="FI164" s="41"/>
      <c r="FJ164" s="41"/>
      <c r="FK164" s="41"/>
      <c r="FL164" s="41"/>
      <c r="FM164" s="41"/>
      <c r="FN164" s="41"/>
      <c r="FO164" s="41"/>
      <c r="FP164" s="41"/>
      <c r="FQ164" s="41"/>
      <c r="FR164" s="41"/>
      <c r="FS164" s="41"/>
      <c r="FT164" s="41"/>
      <c r="FU164" s="41"/>
      <c r="FV164" s="41"/>
      <c r="FW164" s="41"/>
      <c r="FX164" s="41"/>
      <c r="FY164" s="41"/>
      <c r="FZ164" s="41"/>
      <c r="GA164" s="41"/>
      <c r="GB164" s="41"/>
      <c r="GC164" s="41"/>
      <c r="GD164" s="41"/>
      <c r="GE164" s="41"/>
      <c r="GF164" s="41"/>
      <c r="GG164" s="41"/>
      <c r="GH164" s="41"/>
      <c r="GI164" s="41"/>
      <c r="GJ164" s="41"/>
      <c r="GK164" s="41"/>
      <c r="GL164" s="41"/>
      <c r="GM164" s="41"/>
      <c r="GN164" s="41"/>
      <c r="GO164" s="41"/>
      <c r="GP164" s="41"/>
      <c r="GQ164" s="41"/>
      <c r="GR164" s="41"/>
      <c r="GS164" s="41"/>
      <c r="GT164" s="41"/>
      <c r="GU164" s="41"/>
      <c r="GV164" s="41"/>
      <c r="GW164" s="41"/>
      <c r="GX164" s="41"/>
      <c r="GY164" s="41"/>
      <c r="GZ164" s="41"/>
      <c r="HA164" s="41"/>
      <c r="HB164" s="41"/>
      <c r="HC164" s="41"/>
      <c r="HD164" s="41"/>
      <c r="HE164" s="41"/>
      <c r="HF164" s="41"/>
      <c r="HG164" s="41"/>
      <c r="HH164" s="41"/>
      <c r="HI164" s="41"/>
      <c r="HJ164" s="41"/>
      <c r="HK164" s="41"/>
      <c r="HL164" s="41"/>
      <c r="HM164" s="41"/>
      <c r="HN164" s="41"/>
      <c r="HO164" s="41"/>
      <c r="HP164" s="41"/>
      <c r="HQ164" s="41"/>
      <c r="HR164" s="41"/>
      <c r="HS164" s="41"/>
      <c r="HT164" s="41"/>
      <c r="HU164" s="41"/>
      <c r="HV164" s="41"/>
      <c r="HW164" s="41"/>
      <c r="HX164" s="41"/>
      <c r="HY164" s="41"/>
      <c r="HZ164" s="41"/>
      <c r="IA164" s="41"/>
      <c r="IB164" s="41"/>
      <c r="IC164" s="41"/>
      <c r="ID164" s="41"/>
      <c r="IE164" s="41"/>
      <c r="IF164" s="41"/>
      <c r="IG164" s="41"/>
      <c r="IH164" s="41"/>
      <c r="II164" s="41"/>
      <c r="IJ164" s="41"/>
      <c r="IK164" s="41"/>
      <c r="IL164" s="41"/>
      <c r="IM164" s="41"/>
      <c r="IN164" s="41"/>
      <c r="IO164" s="41"/>
      <c r="IP164" s="41"/>
      <c r="IQ164" s="41"/>
      <c r="IR164" s="41"/>
      <c r="IS164" s="41"/>
      <c r="IT164" s="41"/>
      <c r="IU164" s="41"/>
      <c r="IV164" s="41"/>
      <c r="IW164" s="41"/>
      <c r="IX164" s="41"/>
      <c r="IY164" s="41"/>
      <c r="IZ164" s="41"/>
      <c r="JA164" s="41"/>
      <c r="JB164" s="41"/>
      <c r="JC164" s="41"/>
      <c r="JD164" s="41"/>
      <c r="JE164" s="41"/>
      <c r="JF164" s="41"/>
      <c r="JG164" s="41"/>
      <c r="JH164" s="41"/>
      <c r="JI164" s="41"/>
      <c r="JJ164" s="41"/>
      <c r="JK164" s="41"/>
      <c r="JL164" s="41"/>
      <c r="JM164" s="41"/>
      <c r="JN164" s="41"/>
      <c r="JO164" s="41"/>
      <c r="JP164" s="41"/>
      <c r="JQ164" s="41"/>
      <c r="JR164" s="41"/>
      <c r="JS164" s="41"/>
      <c r="JT164" s="41"/>
      <c r="JU164" s="41"/>
      <c r="JV164" s="41"/>
      <c r="JW164" s="41"/>
      <c r="JX164" s="41"/>
      <c r="JY164" s="41"/>
      <c r="JZ164" s="41"/>
      <c r="KA164" s="41"/>
      <c r="KB164" s="41"/>
      <c r="KC164" s="41"/>
      <c r="KD164" s="41"/>
      <c r="KE164" s="41"/>
      <c r="KF164" s="41"/>
      <c r="KG164" s="41"/>
      <c r="KH164" s="41"/>
      <c r="KI164" s="41"/>
      <c r="KJ164" s="41"/>
      <c r="KK164" s="41"/>
      <c r="KL164" s="41"/>
      <c r="KM164" s="41"/>
      <c r="KN164" s="41"/>
      <c r="KO164" s="41"/>
      <c r="KP164" s="41"/>
      <c r="KQ164" s="41"/>
      <c r="KR164" s="41"/>
      <c r="KS164" s="41"/>
      <c r="KT164" s="41"/>
      <c r="KU164" s="41"/>
      <c r="KV164" s="41"/>
      <c r="KW164" s="41"/>
      <c r="KX164" s="41"/>
      <c r="KY164" s="41"/>
      <c r="KZ164" s="41"/>
      <c r="LA164" s="41"/>
      <c r="LB164" s="41"/>
      <c r="LC164" s="41"/>
      <c r="LD164" s="41"/>
      <c r="LE164" s="41"/>
      <c r="LF164" s="41"/>
      <c r="LG164" s="41"/>
      <c r="LH164" s="41"/>
      <c r="LI164" s="41"/>
      <c r="LJ164" s="41"/>
      <c r="LK164" s="41"/>
      <c r="LL164" s="41"/>
      <c r="LM164" s="41"/>
      <c r="LN164" s="41"/>
      <c r="LO164" s="41"/>
      <c r="LP164" s="41"/>
      <c r="LQ164" s="41"/>
      <c r="LR164" s="41"/>
      <c r="LS164" s="41"/>
      <c r="LT164" s="41"/>
      <c r="LU164" s="41"/>
      <c r="LV164" s="41"/>
      <c r="LW164" s="41"/>
      <c r="LX164" s="41"/>
      <c r="LY164" s="41"/>
      <c r="LZ164" s="41"/>
      <c r="MA164" s="41"/>
      <c r="MB164" s="41"/>
      <c r="MC164" s="41"/>
      <c r="MD164" s="41"/>
      <c r="ME164" s="41"/>
      <c r="MF164" s="41"/>
      <c r="MG164" s="41"/>
      <c r="MH164" s="41"/>
      <c r="MI164" s="41"/>
      <c r="MJ164" s="41"/>
      <c r="MK164" s="41"/>
      <c r="ML164" s="41"/>
      <c r="MM164" s="41"/>
      <c r="MN164" s="41"/>
      <c r="MO164" s="41"/>
      <c r="MP164" s="41"/>
      <c r="MQ164" s="41"/>
      <c r="MR164" s="41"/>
      <c r="MS164" s="41"/>
      <c r="MT164" s="41"/>
      <c r="MU164" s="41"/>
      <c r="MV164" s="41"/>
      <c r="MW164" s="41"/>
      <c r="MX164" s="41"/>
      <c r="MY164" s="41"/>
      <c r="MZ164" s="41"/>
      <c r="NA164" s="41"/>
      <c r="NB164" s="41"/>
      <c r="NC164" s="41"/>
      <c r="ND164" s="41"/>
      <c r="NE164" s="41"/>
      <c r="NF164" s="41"/>
      <c r="NG164" s="41"/>
      <c r="NH164" s="41"/>
      <c r="NI164" s="41"/>
      <c r="NJ164" s="41"/>
      <c r="NK164" s="41"/>
      <c r="NL164" s="41"/>
      <c r="NM164" s="41"/>
      <c r="NN164" s="41"/>
      <c r="NO164" s="41"/>
      <c r="NP164" s="41"/>
      <c r="NQ164" s="41"/>
      <c r="NR164" s="41"/>
      <c r="NS164" s="41"/>
      <c r="NT164" s="41"/>
      <c r="NU164" s="41"/>
      <c r="NV164" s="41"/>
      <c r="NW164" s="41"/>
      <c r="NX164" s="41"/>
      <c r="NY164" s="41"/>
      <c r="NZ164" s="41"/>
      <c r="OA164" s="41"/>
      <c r="OB164" s="41"/>
      <c r="OC164" s="41"/>
      <c r="OD164" s="41"/>
      <c r="OE164" s="41"/>
      <c r="OF164" s="41"/>
      <c r="OG164" s="41"/>
      <c r="OH164" s="41"/>
      <c r="OI164" s="41"/>
      <c r="OJ164" s="41"/>
      <c r="OK164" s="41"/>
      <c r="OL164" s="41"/>
      <c r="OM164" s="41"/>
      <c r="ON164" s="41"/>
      <c r="OO164" s="41"/>
      <c r="OP164" s="41"/>
      <c r="OQ164" s="41"/>
      <c r="OR164" s="41"/>
      <c r="OS164" s="41"/>
      <c r="OT164" s="41"/>
      <c r="OU164" s="41"/>
      <c r="OV164" s="41"/>
      <c r="OW164" s="41"/>
      <c r="OX164" s="41"/>
      <c r="OY164" s="41"/>
      <c r="OZ164" s="41"/>
      <c r="PA164" s="41"/>
      <c r="PB164" s="41"/>
      <c r="PC164" s="41"/>
      <c r="PD164" s="41"/>
      <c r="PE164" s="41"/>
      <c r="PF164" s="41"/>
      <c r="PG164" s="41"/>
      <c r="PH164" s="41"/>
      <c r="PI164" s="41"/>
      <c r="PJ164" s="41"/>
      <c r="PK164" s="41"/>
      <c r="PL164" s="41"/>
      <c r="PM164" s="41"/>
      <c r="PN164" s="41"/>
      <c r="PO164" s="41"/>
      <c r="PP164" s="41"/>
      <c r="PQ164" s="41"/>
      <c r="PR164" s="41"/>
      <c r="PS164" s="41"/>
      <c r="PT164" s="41"/>
      <c r="PU164" s="41"/>
      <c r="PV164" s="41"/>
      <c r="PW164" s="41"/>
      <c r="PX164" s="41"/>
      <c r="PY164" s="41"/>
      <c r="PZ164" s="41"/>
      <c r="QA164" s="41"/>
      <c r="QB164" s="41"/>
      <c r="QC164" s="41"/>
      <c r="QD164" s="41"/>
      <c r="QE164" s="41"/>
      <c r="QF164" s="41"/>
      <c r="QG164" s="41"/>
      <c r="QH164" s="41"/>
      <c r="QI164" s="41"/>
      <c r="QJ164" s="41"/>
      <c r="QK164" s="41"/>
      <c r="QL164" s="41"/>
      <c r="QM164" s="41"/>
      <c r="QN164" s="41"/>
      <c r="QO164" s="41"/>
      <c r="QP164" s="41"/>
      <c r="QQ164" s="41"/>
      <c r="QR164" s="41"/>
      <c r="QS164" s="41"/>
      <c r="QT164" s="41"/>
      <c r="QU164" s="41"/>
      <c r="QV164" s="41"/>
      <c r="QW164" s="41"/>
      <c r="QX164" s="41"/>
      <c r="QY164" s="41"/>
      <c r="QZ164" s="41"/>
      <c r="RA164" s="41"/>
      <c r="RB164" s="41"/>
      <c r="RC164" s="41"/>
      <c r="RD164" s="41"/>
      <c r="RE164" s="41"/>
      <c r="RF164" s="41"/>
      <c r="RG164" s="41"/>
      <c r="RH164" s="41"/>
      <c r="RI164" s="41"/>
      <c r="RJ164" s="41"/>
      <c r="RK164" s="41"/>
      <c r="RL164" s="41"/>
      <c r="RM164" s="41"/>
      <c r="RN164" s="41"/>
      <c r="RO164" s="41"/>
      <c r="RP164" s="41"/>
      <c r="RQ164" s="41"/>
      <c r="RR164" s="41"/>
      <c r="RS164" s="41"/>
      <c r="RT164" s="41"/>
      <c r="RU164" s="41"/>
      <c r="RV164" s="41"/>
      <c r="RW164" s="41"/>
      <c r="RX164" s="41"/>
      <c r="RY164" s="41"/>
      <c r="RZ164" s="41"/>
      <c r="SA164" s="41"/>
      <c r="SB164" s="41"/>
      <c r="SC164" s="41"/>
      <c r="SD164" s="41"/>
      <c r="SE164" s="41"/>
      <c r="SF164" s="41"/>
      <c r="SG164" s="41"/>
      <c r="SH164" s="41"/>
      <c r="SI164" s="41"/>
      <c r="SJ164" s="41"/>
      <c r="SK164" s="41"/>
      <c r="SL164" s="41"/>
      <c r="SM164" s="41"/>
      <c r="SN164" s="41"/>
      <c r="SO164" s="41"/>
      <c r="SP164" s="41"/>
      <c r="SQ164" s="41"/>
      <c r="SR164" s="41"/>
      <c r="SS164" s="41"/>
      <c r="ST164" s="41"/>
      <c r="SU164" s="41"/>
      <c r="SV164" s="41"/>
      <c r="SW164" s="41"/>
      <c r="SX164" s="41"/>
      <c r="SY164" s="41"/>
      <c r="SZ164" s="41"/>
      <c r="TA164" s="41"/>
      <c r="TB164" s="41"/>
      <c r="TC164" s="41"/>
      <c r="TD164" s="41"/>
      <c r="TE164" s="41"/>
      <c r="TF164" s="41"/>
      <c r="TG164" s="41"/>
      <c r="TH164" s="41"/>
      <c r="TI164" s="41"/>
      <c r="TJ164" s="41"/>
      <c r="TK164" s="41"/>
      <c r="TL164" s="41"/>
      <c r="TM164" s="41"/>
      <c r="TN164" s="41"/>
      <c r="TO164" s="41"/>
      <c r="TP164" s="41"/>
      <c r="TQ164" s="41"/>
      <c r="TR164" s="41"/>
      <c r="TS164" s="41"/>
      <c r="TT164" s="41"/>
      <c r="TU164" s="41"/>
      <c r="TV164" s="41"/>
      <c r="TW164" s="41"/>
      <c r="TX164" s="41"/>
      <c r="TY164" s="41"/>
      <c r="TZ164" s="41"/>
      <c r="UA164" s="41"/>
      <c r="UB164" s="41"/>
      <c r="UC164" s="41"/>
      <c r="UD164" s="41"/>
      <c r="UE164" s="41"/>
      <c r="UF164" s="41"/>
      <c r="UG164" s="41"/>
      <c r="UH164" s="41"/>
      <c r="UI164" s="41"/>
      <c r="UJ164" s="41"/>
      <c r="UK164" s="41"/>
      <c r="UL164" s="41"/>
      <c r="UM164" s="41"/>
      <c r="UN164" s="41"/>
      <c r="UO164" s="41"/>
      <c r="UP164" s="41"/>
      <c r="UQ164" s="41"/>
      <c r="UR164" s="41"/>
      <c r="US164" s="41"/>
      <c r="UT164" s="41"/>
      <c r="UU164" s="41"/>
      <c r="UV164" s="41"/>
      <c r="UW164" s="41"/>
      <c r="UX164" s="41"/>
      <c r="UY164" s="41"/>
      <c r="UZ164" s="41"/>
      <c r="VA164" s="41"/>
      <c r="VB164" s="41"/>
      <c r="VC164" s="41"/>
      <c r="VD164" s="41"/>
      <c r="VE164" s="41"/>
      <c r="VF164" s="41"/>
      <c r="VG164" s="41"/>
      <c r="VH164" s="41"/>
      <c r="VI164" s="41"/>
      <c r="VJ164" s="41"/>
      <c r="VK164" s="41"/>
      <c r="VL164" s="41"/>
      <c r="VM164" s="41"/>
      <c r="VN164" s="41"/>
      <c r="VO164" s="41"/>
      <c r="VP164" s="41"/>
      <c r="VQ164" s="41"/>
      <c r="VR164" s="41"/>
      <c r="VS164" s="41"/>
      <c r="VT164" s="41"/>
      <c r="VU164" s="41"/>
      <c r="VV164" s="41"/>
      <c r="VW164" s="41"/>
      <c r="VX164" s="41"/>
      <c r="VY164" s="41"/>
      <c r="VZ164" s="41"/>
      <c r="WA164" s="41"/>
      <c r="WB164" s="41"/>
      <c r="WC164" s="41"/>
      <c r="WD164" s="41"/>
      <c r="WE164" s="41"/>
      <c r="WF164" s="41"/>
      <c r="WG164" s="41"/>
      <c r="WH164" s="41"/>
      <c r="WI164" s="41"/>
      <c r="WJ164" s="41"/>
      <c r="WK164" s="41"/>
      <c r="WL164" s="41"/>
      <c r="WM164" s="41"/>
      <c r="WN164" s="41"/>
      <c r="WO164" s="41"/>
      <c r="WP164" s="41"/>
      <c r="WQ164" s="41"/>
      <c r="WR164" s="41"/>
      <c r="WS164" s="41"/>
      <c r="WT164" s="41"/>
      <c r="WU164" s="41"/>
      <c r="WV164" s="41"/>
      <c r="WW164" s="41"/>
      <c r="WX164" s="41"/>
      <c r="WY164" s="41"/>
      <c r="WZ164" s="41"/>
      <c r="XA164" s="41"/>
      <c r="XB164" s="41"/>
      <c r="XC164" s="41"/>
      <c r="XD164" s="41"/>
      <c r="XE164" s="41"/>
      <c r="XF164" s="41"/>
      <c r="XG164" s="41"/>
      <c r="XH164" s="41"/>
      <c r="XI164" s="41"/>
      <c r="XJ164" s="41"/>
      <c r="XK164" s="41"/>
      <c r="XL164" s="41"/>
      <c r="XM164" s="41"/>
      <c r="XN164" s="41"/>
      <c r="XO164" s="41"/>
      <c r="XP164" s="41"/>
      <c r="XQ164" s="41"/>
      <c r="XR164" s="41"/>
      <c r="XS164" s="41"/>
      <c r="XT164" s="41"/>
      <c r="XU164" s="41"/>
      <c r="XV164" s="41"/>
      <c r="XW164" s="41"/>
      <c r="XX164" s="41"/>
      <c r="XY164" s="41"/>
      <c r="XZ164" s="41"/>
      <c r="YA164" s="41"/>
      <c r="YB164" s="41"/>
      <c r="YC164" s="41"/>
      <c r="YD164" s="41"/>
      <c r="YE164" s="41"/>
      <c r="YF164" s="41"/>
      <c r="YG164" s="41"/>
      <c r="YH164" s="41"/>
      <c r="YI164" s="41"/>
      <c r="YJ164" s="41"/>
      <c r="YK164" s="41"/>
      <c r="YL164" s="41"/>
      <c r="YM164" s="41"/>
      <c r="YN164" s="41"/>
      <c r="YO164" s="41"/>
      <c r="YP164" s="41"/>
      <c r="YQ164" s="41"/>
      <c r="YR164" s="41"/>
      <c r="YS164" s="41"/>
      <c r="YT164" s="41"/>
      <c r="YU164" s="41"/>
      <c r="YV164" s="41"/>
      <c r="YW164" s="41"/>
      <c r="YX164" s="41"/>
      <c r="YY164" s="41"/>
      <c r="YZ164" s="41"/>
      <c r="ZA164" s="41"/>
      <c r="ZB164" s="41"/>
      <c r="ZC164" s="41"/>
      <c r="ZD164" s="41"/>
      <c r="ZE164" s="41"/>
      <c r="ZF164" s="41"/>
      <c r="ZG164" s="41"/>
      <c r="ZH164" s="41"/>
      <c r="ZI164" s="41"/>
      <c r="ZJ164" s="41"/>
      <c r="ZK164" s="41"/>
      <c r="ZL164" s="41"/>
      <c r="ZM164" s="41"/>
      <c r="ZN164" s="41"/>
      <c r="ZO164" s="41"/>
      <c r="ZP164" s="41"/>
      <c r="ZQ164" s="41"/>
      <c r="ZR164" s="41"/>
      <c r="ZS164" s="41"/>
      <c r="ZT164" s="41"/>
      <c r="ZU164" s="41"/>
      <c r="ZV164" s="41"/>
      <c r="ZW164" s="41"/>
      <c r="ZX164" s="41"/>
      <c r="ZY164" s="41"/>
      <c r="ZZ164" s="41"/>
      <c r="AAA164" s="41"/>
      <c r="AAB164" s="41"/>
      <c r="AAC164" s="41"/>
    </row>
    <row r="165" spans="1:705" s="41" customFormat="1" ht="44.1" hidden="1" customHeight="1" x14ac:dyDescent="0.3">
      <c r="A165" s="26">
        <v>161</v>
      </c>
      <c r="B165" s="136">
        <v>240666</v>
      </c>
      <c r="C165" s="138">
        <v>161</v>
      </c>
      <c r="D165" s="139">
        <v>45942</v>
      </c>
      <c r="E165" s="139">
        <f t="shared" si="23"/>
        <v>45941</v>
      </c>
      <c r="F165" s="139">
        <f t="shared" ref="F165:F199" si="26">D165+10</f>
        <v>45952</v>
      </c>
      <c r="G165" s="139">
        <v>45952</v>
      </c>
      <c r="H165" s="139">
        <v>45966</v>
      </c>
      <c r="I165" s="139" t="s">
        <v>123</v>
      </c>
      <c r="J165" s="140" t="s">
        <v>430</v>
      </c>
      <c r="K165" s="141">
        <f t="shared" si="24"/>
        <v>14</v>
      </c>
      <c r="L165" s="141">
        <v>1153811</v>
      </c>
      <c r="M165" s="140" t="s">
        <v>15</v>
      </c>
      <c r="N165" s="140">
        <v>805739</v>
      </c>
      <c r="O165" s="137" t="s">
        <v>246</v>
      </c>
      <c r="P165" s="143">
        <v>45949</v>
      </c>
      <c r="Q165" s="143">
        <v>46128</v>
      </c>
      <c r="R165" s="137" t="s">
        <v>211</v>
      </c>
      <c r="S165" s="144" t="s">
        <v>431</v>
      </c>
      <c r="T165" s="145">
        <v>3</v>
      </c>
      <c r="U165" s="137" t="s">
        <v>98</v>
      </c>
      <c r="V165" s="146">
        <v>375</v>
      </c>
      <c r="W165" s="146">
        <v>375</v>
      </c>
      <c r="X165" s="147">
        <v>0</v>
      </c>
      <c r="Y165" s="146">
        <v>0</v>
      </c>
      <c r="Z165" s="146">
        <v>60</v>
      </c>
      <c r="AA165" s="146">
        <v>60</v>
      </c>
      <c r="AB165" s="146">
        <v>0</v>
      </c>
      <c r="AC165" s="146"/>
      <c r="AD165" s="146">
        <v>0</v>
      </c>
      <c r="AE165" s="146">
        <v>0</v>
      </c>
      <c r="AF165" s="146">
        <v>0</v>
      </c>
      <c r="AG165" s="146">
        <v>0</v>
      </c>
      <c r="AH165" s="146">
        <v>3</v>
      </c>
      <c r="AI165" s="146">
        <v>3</v>
      </c>
      <c r="AJ165" s="146">
        <v>0</v>
      </c>
      <c r="AK165" s="146">
        <v>0</v>
      </c>
      <c r="AL165" s="146">
        <v>2</v>
      </c>
      <c r="AM165" s="146">
        <v>2</v>
      </c>
      <c r="AN165" s="146">
        <v>2</v>
      </c>
      <c r="AO165" s="146">
        <v>2</v>
      </c>
      <c r="AP165" s="146">
        <v>3</v>
      </c>
      <c r="AQ165" s="146">
        <v>3</v>
      </c>
      <c r="AR165" s="146">
        <v>0</v>
      </c>
      <c r="AS165" s="146">
        <v>0</v>
      </c>
      <c r="AT165" s="146">
        <v>3</v>
      </c>
      <c r="AU165" s="146">
        <v>3</v>
      </c>
      <c r="AV165" s="146">
        <v>0</v>
      </c>
      <c r="AW165" s="146">
        <v>0</v>
      </c>
      <c r="AX165" s="146">
        <f t="shared" si="25"/>
        <v>29530</v>
      </c>
      <c r="AY165" s="146">
        <f t="shared" si="20"/>
        <v>29530</v>
      </c>
      <c r="AZ165" s="140" t="s">
        <v>562</v>
      </c>
      <c r="BA165" s="140" t="s">
        <v>562</v>
      </c>
      <c r="BB165" s="189">
        <v>2</v>
      </c>
      <c r="BC165" s="148">
        <v>161</v>
      </c>
      <c r="BD165" s="149"/>
      <c r="BE165" s="145"/>
      <c r="BF165" s="150"/>
      <c r="BG165" s="151">
        <v>45962</v>
      </c>
      <c r="BH165" s="153" t="s">
        <v>535</v>
      </c>
      <c r="BI165" s="153" t="s">
        <v>562</v>
      </c>
    </row>
    <row r="166" spans="1:705" s="41" customFormat="1" ht="44.1" hidden="1" customHeight="1" x14ac:dyDescent="0.3">
      <c r="A166" s="26">
        <v>162</v>
      </c>
      <c r="B166" s="136">
        <v>240669</v>
      </c>
      <c r="C166" s="138">
        <v>162</v>
      </c>
      <c r="D166" s="139">
        <v>45942</v>
      </c>
      <c r="E166" s="139">
        <f t="shared" si="23"/>
        <v>45941</v>
      </c>
      <c r="F166" s="139">
        <f t="shared" si="26"/>
        <v>45952</v>
      </c>
      <c r="G166" s="139">
        <v>45952</v>
      </c>
      <c r="H166" s="139">
        <f ca="1">TODAY()</f>
        <v>46277</v>
      </c>
      <c r="I166" s="139" t="s">
        <v>123</v>
      </c>
      <c r="J166" s="140" t="s">
        <v>432</v>
      </c>
      <c r="K166" s="141">
        <f t="shared" ca="1" si="24"/>
        <v>325</v>
      </c>
      <c r="L166" s="141">
        <v>1153819</v>
      </c>
      <c r="M166" s="140" t="s">
        <v>15</v>
      </c>
      <c r="N166" s="140">
        <v>806345</v>
      </c>
      <c r="O166" s="137" t="s">
        <v>246</v>
      </c>
      <c r="P166" s="143">
        <v>45958</v>
      </c>
      <c r="Q166" s="143">
        <v>46135</v>
      </c>
      <c r="R166" s="137" t="s">
        <v>211</v>
      </c>
      <c r="S166" s="144" t="s">
        <v>433</v>
      </c>
      <c r="T166" s="145">
        <v>1</v>
      </c>
      <c r="U166" s="137" t="s">
        <v>81</v>
      </c>
      <c r="V166" s="146">
        <v>150</v>
      </c>
      <c r="W166" s="146">
        <v>150</v>
      </c>
      <c r="X166" s="147">
        <v>0</v>
      </c>
      <c r="Y166" s="146">
        <v>0</v>
      </c>
      <c r="Z166" s="146">
        <v>0</v>
      </c>
      <c r="AA166" s="146">
        <v>0</v>
      </c>
      <c r="AB166" s="146">
        <v>150</v>
      </c>
      <c r="AC166" s="146">
        <v>150</v>
      </c>
      <c r="AD166" s="146">
        <v>0</v>
      </c>
      <c r="AE166" s="146">
        <v>0</v>
      </c>
      <c r="AF166" s="146">
        <v>0</v>
      </c>
      <c r="AG166" s="146">
        <v>0</v>
      </c>
      <c r="AH166" s="146">
        <v>1</v>
      </c>
      <c r="AI166" s="146">
        <v>1</v>
      </c>
      <c r="AJ166" s="146">
        <v>0</v>
      </c>
      <c r="AK166" s="146">
        <v>0</v>
      </c>
      <c r="AL166" s="146">
        <v>2</v>
      </c>
      <c r="AM166" s="146">
        <v>2</v>
      </c>
      <c r="AN166" s="146">
        <v>2</v>
      </c>
      <c r="AO166" s="146">
        <v>2</v>
      </c>
      <c r="AP166" s="146">
        <v>3</v>
      </c>
      <c r="AQ166" s="146">
        <v>3</v>
      </c>
      <c r="AR166" s="146">
        <v>0</v>
      </c>
      <c r="AS166" s="146">
        <v>0</v>
      </c>
      <c r="AT166" s="146">
        <v>1</v>
      </c>
      <c r="AU166" s="146">
        <v>1</v>
      </c>
      <c r="AV166" s="146">
        <v>0</v>
      </c>
      <c r="AW166" s="146">
        <v>0</v>
      </c>
      <c r="AX166" s="146">
        <f t="shared" si="25"/>
        <v>21260</v>
      </c>
      <c r="AY166" s="146">
        <f t="shared" si="20"/>
        <v>21260</v>
      </c>
      <c r="AZ166" s="140" t="s">
        <v>562</v>
      </c>
      <c r="BA166" s="140" t="s">
        <v>562</v>
      </c>
      <c r="BB166" s="137">
        <v>4</v>
      </c>
      <c r="BC166" s="148">
        <v>162</v>
      </c>
      <c r="BD166" s="149"/>
      <c r="BE166" s="145"/>
      <c r="BF166" s="150"/>
      <c r="BG166" s="151">
        <v>45962</v>
      </c>
      <c r="BH166" s="153" t="s">
        <v>535</v>
      </c>
      <c r="BI166" s="153" t="s">
        <v>562</v>
      </c>
    </row>
    <row r="167" spans="1:705" s="42" customFormat="1" ht="44.1" hidden="1" customHeight="1" x14ac:dyDescent="0.3">
      <c r="A167" s="26">
        <v>163</v>
      </c>
      <c r="B167" s="136">
        <v>240665</v>
      </c>
      <c r="C167" s="138">
        <v>163</v>
      </c>
      <c r="D167" s="139">
        <v>45942</v>
      </c>
      <c r="E167" s="139">
        <f t="shared" si="23"/>
        <v>45941</v>
      </c>
      <c r="F167" s="139">
        <f t="shared" si="26"/>
        <v>45952</v>
      </c>
      <c r="G167" s="139">
        <v>46033</v>
      </c>
      <c r="H167" s="139">
        <v>45988</v>
      </c>
      <c r="I167" s="139" t="s">
        <v>321</v>
      </c>
      <c r="J167" s="140" t="s">
        <v>418</v>
      </c>
      <c r="K167" s="141">
        <f t="shared" si="24"/>
        <v>36</v>
      </c>
      <c r="L167" s="141">
        <v>1153799</v>
      </c>
      <c r="M167" s="140" t="s">
        <v>15</v>
      </c>
      <c r="N167" s="140">
        <v>806346</v>
      </c>
      <c r="O167" s="137" t="s">
        <v>246</v>
      </c>
      <c r="P167" s="143">
        <v>45970</v>
      </c>
      <c r="Q167" s="143">
        <v>46135</v>
      </c>
      <c r="R167" s="137" t="s">
        <v>211</v>
      </c>
      <c r="S167" s="144" t="s">
        <v>419</v>
      </c>
      <c r="T167" s="145">
        <v>1</v>
      </c>
      <c r="U167" s="137" t="s">
        <v>264</v>
      </c>
      <c r="V167" s="146">
        <v>392</v>
      </c>
      <c r="W167" s="146">
        <v>392</v>
      </c>
      <c r="X167" s="147">
        <v>0</v>
      </c>
      <c r="Y167" s="146"/>
      <c r="Z167" s="146">
        <v>0</v>
      </c>
      <c r="AA167" s="146">
        <v>0</v>
      </c>
      <c r="AB167" s="146">
        <v>24</v>
      </c>
      <c r="AC167" s="146">
        <v>24</v>
      </c>
      <c r="AD167" s="146">
        <v>0</v>
      </c>
      <c r="AE167" s="146">
        <v>0</v>
      </c>
      <c r="AF167" s="146">
        <v>0</v>
      </c>
      <c r="AG167" s="146">
        <v>0</v>
      </c>
      <c r="AH167" s="146">
        <v>0</v>
      </c>
      <c r="AI167" s="146">
        <v>0</v>
      </c>
      <c r="AJ167" s="146">
        <v>1</v>
      </c>
      <c r="AK167" s="146">
        <v>1</v>
      </c>
      <c r="AL167" s="146">
        <v>2</v>
      </c>
      <c r="AM167" s="146">
        <v>2</v>
      </c>
      <c r="AN167" s="146">
        <v>2</v>
      </c>
      <c r="AO167" s="146">
        <v>2</v>
      </c>
      <c r="AP167" s="146">
        <v>1</v>
      </c>
      <c r="AQ167" s="146">
        <v>1</v>
      </c>
      <c r="AR167" s="146">
        <v>0</v>
      </c>
      <c r="AS167" s="146">
        <v>0</v>
      </c>
      <c r="AT167" s="146">
        <v>0</v>
      </c>
      <c r="AU167" s="146"/>
      <c r="AV167" s="146">
        <v>0</v>
      </c>
      <c r="AW167" s="146">
        <v>0</v>
      </c>
      <c r="AX167" s="146">
        <f t="shared" si="25"/>
        <v>27193</v>
      </c>
      <c r="AY167" s="146">
        <f t="shared" si="20"/>
        <v>27193</v>
      </c>
      <c r="AZ167" s="140" t="s">
        <v>562</v>
      </c>
      <c r="BA167" s="140" t="s">
        <v>562</v>
      </c>
      <c r="BB167" s="137">
        <v>4</v>
      </c>
      <c r="BC167" s="148">
        <v>163</v>
      </c>
      <c r="BD167" s="149"/>
      <c r="BE167" s="145"/>
      <c r="BF167" s="150"/>
      <c r="BG167" s="151">
        <v>45962</v>
      </c>
      <c r="BH167" s="153" t="s">
        <v>535</v>
      </c>
      <c r="BI167" s="153" t="s">
        <v>562</v>
      </c>
    </row>
    <row r="168" spans="1:705" s="42" customFormat="1" ht="44.1" hidden="1" customHeight="1" x14ac:dyDescent="0.3">
      <c r="A168" s="26">
        <v>164</v>
      </c>
      <c r="B168" s="136">
        <v>240667</v>
      </c>
      <c r="C168" s="138">
        <v>164</v>
      </c>
      <c r="D168" s="139">
        <v>45942</v>
      </c>
      <c r="E168" s="139">
        <f t="shared" ref="E168:E199" si="27">D168-1</f>
        <v>45941</v>
      </c>
      <c r="F168" s="139">
        <f t="shared" si="26"/>
        <v>45952</v>
      </c>
      <c r="G168" s="139">
        <v>46033</v>
      </c>
      <c r="H168" s="139">
        <v>46015</v>
      </c>
      <c r="I168" s="139" t="s">
        <v>321</v>
      </c>
      <c r="J168" s="140" t="s">
        <v>420</v>
      </c>
      <c r="K168" s="141">
        <f t="shared" ref="K168:K199" si="28">H168-F168</f>
        <v>63</v>
      </c>
      <c r="L168" s="141">
        <v>1153809</v>
      </c>
      <c r="M168" s="140" t="s">
        <v>15</v>
      </c>
      <c r="N168" s="140">
        <v>806347</v>
      </c>
      <c r="O168" s="137" t="s">
        <v>246</v>
      </c>
      <c r="P168" s="143">
        <v>45969</v>
      </c>
      <c r="Q168" s="143">
        <v>46135</v>
      </c>
      <c r="R168" s="137" t="s">
        <v>211</v>
      </c>
      <c r="S168" s="144" t="s">
        <v>421</v>
      </c>
      <c r="T168" s="145">
        <v>1</v>
      </c>
      <c r="U168" s="137" t="s">
        <v>186</v>
      </c>
      <c r="V168" s="146">
        <v>260</v>
      </c>
      <c r="W168" s="146">
        <v>260</v>
      </c>
      <c r="X168" s="147">
        <v>0</v>
      </c>
      <c r="Y168" s="146"/>
      <c r="Z168" s="146">
        <v>0</v>
      </c>
      <c r="AA168" s="146">
        <v>0</v>
      </c>
      <c r="AB168" s="146">
        <v>228</v>
      </c>
      <c r="AC168" s="146">
        <v>228</v>
      </c>
      <c r="AD168" s="146">
        <v>0</v>
      </c>
      <c r="AE168" s="146">
        <v>0</v>
      </c>
      <c r="AF168" s="146">
        <v>0</v>
      </c>
      <c r="AG168" s="146">
        <v>0</v>
      </c>
      <c r="AH168" s="146">
        <v>0</v>
      </c>
      <c r="AI168" s="146">
        <v>0</v>
      </c>
      <c r="AJ168" s="146">
        <v>0</v>
      </c>
      <c r="AK168" s="146">
        <v>0</v>
      </c>
      <c r="AL168" s="146">
        <v>1</v>
      </c>
      <c r="AM168" s="146">
        <v>1</v>
      </c>
      <c r="AN168" s="146">
        <v>2</v>
      </c>
      <c r="AO168" s="146">
        <v>2</v>
      </c>
      <c r="AP168" s="146">
        <v>1</v>
      </c>
      <c r="AQ168" s="146">
        <v>1</v>
      </c>
      <c r="AR168" s="146">
        <v>0</v>
      </c>
      <c r="AS168" s="146">
        <v>0</v>
      </c>
      <c r="AT168" s="146">
        <v>0</v>
      </c>
      <c r="AU168" s="146">
        <v>0</v>
      </c>
      <c r="AV168" s="146">
        <v>0</v>
      </c>
      <c r="AW168" s="146">
        <v>0</v>
      </c>
      <c r="AX168" s="146">
        <f t="shared" si="25"/>
        <v>29936</v>
      </c>
      <c r="AY168" s="146">
        <f t="shared" si="20"/>
        <v>29936</v>
      </c>
      <c r="AZ168" s="140" t="s">
        <v>562</v>
      </c>
      <c r="BA168" s="140" t="s">
        <v>562</v>
      </c>
      <c r="BB168" s="137">
        <v>6</v>
      </c>
      <c r="BC168" s="148">
        <v>164</v>
      </c>
      <c r="BD168" s="149"/>
      <c r="BE168" s="145"/>
      <c r="BF168" s="150"/>
      <c r="BG168" s="151">
        <v>45992</v>
      </c>
      <c r="BH168" s="153" t="s">
        <v>535</v>
      </c>
      <c r="BI168" s="153" t="s">
        <v>562</v>
      </c>
    </row>
    <row r="169" spans="1:705" s="42" customFormat="1" ht="44.1" hidden="1" customHeight="1" x14ac:dyDescent="0.3">
      <c r="A169" s="26">
        <v>165</v>
      </c>
      <c r="B169" s="136">
        <v>240668</v>
      </c>
      <c r="C169" s="138">
        <v>165</v>
      </c>
      <c r="D169" s="139">
        <v>45942</v>
      </c>
      <c r="E169" s="139">
        <f t="shared" si="27"/>
        <v>45941</v>
      </c>
      <c r="F169" s="139">
        <f t="shared" si="26"/>
        <v>45952</v>
      </c>
      <c r="G169" s="139">
        <v>46033</v>
      </c>
      <c r="H169" s="139">
        <v>46076</v>
      </c>
      <c r="I169" s="139" t="s">
        <v>321</v>
      </c>
      <c r="J169" s="140" t="s">
        <v>422</v>
      </c>
      <c r="K169" s="141">
        <f t="shared" si="28"/>
        <v>124</v>
      </c>
      <c r="L169" s="141">
        <v>1153817</v>
      </c>
      <c r="M169" s="140" t="s">
        <v>15</v>
      </c>
      <c r="N169" s="140">
        <v>810947</v>
      </c>
      <c r="O169" s="140" t="s">
        <v>246</v>
      </c>
      <c r="P169" s="143">
        <v>46022</v>
      </c>
      <c r="Q169" s="143">
        <v>46198</v>
      </c>
      <c r="R169" s="137" t="s">
        <v>211</v>
      </c>
      <c r="S169" s="144" t="s">
        <v>423</v>
      </c>
      <c r="T169" s="145">
        <v>1</v>
      </c>
      <c r="U169" s="137" t="s">
        <v>82</v>
      </c>
      <c r="V169" s="146">
        <v>214</v>
      </c>
      <c r="W169" s="146">
        <v>214</v>
      </c>
      <c r="X169" s="147">
        <v>0</v>
      </c>
      <c r="Y169" s="146"/>
      <c r="Z169" s="146">
        <v>0</v>
      </c>
      <c r="AA169" s="146">
        <v>0</v>
      </c>
      <c r="AB169" s="146">
        <v>214</v>
      </c>
      <c r="AC169" s="146">
        <v>214</v>
      </c>
      <c r="AD169" s="146">
        <v>0</v>
      </c>
      <c r="AE169" s="146">
        <v>0</v>
      </c>
      <c r="AF169" s="146">
        <v>0</v>
      </c>
      <c r="AG169" s="146">
        <v>0</v>
      </c>
      <c r="AH169" s="146">
        <v>0</v>
      </c>
      <c r="AI169" s="146">
        <v>0</v>
      </c>
      <c r="AJ169" s="146">
        <v>0</v>
      </c>
      <c r="AK169" s="146">
        <v>0</v>
      </c>
      <c r="AL169" s="146">
        <v>3</v>
      </c>
      <c r="AM169" s="146">
        <v>3</v>
      </c>
      <c r="AN169" s="146">
        <v>2</v>
      </c>
      <c r="AO169" s="146">
        <v>2</v>
      </c>
      <c r="AP169" s="146">
        <v>1</v>
      </c>
      <c r="AQ169" s="146">
        <v>1</v>
      </c>
      <c r="AR169" s="146">
        <v>0</v>
      </c>
      <c r="AS169" s="146">
        <v>0</v>
      </c>
      <c r="AT169" s="146">
        <v>0</v>
      </c>
      <c r="AU169" s="146">
        <v>0</v>
      </c>
      <c r="AV169" s="146">
        <v>0</v>
      </c>
      <c r="AW169" s="146">
        <v>0</v>
      </c>
      <c r="AX169" s="146">
        <f t="shared" si="25"/>
        <v>27558</v>
      </c>
      <c r="AY169" s="146">
        <f t="shared" si="20"/>
        <v>27558</v>
      </c>
      <c r="AZ169" s="140" t="s">
        <v>562</v>
      </c>
      <c r="BA169" s="140" t="s">
        <v>562</v>
      </c>
      <c r="BB169" s="137">
        <v>8</v>
      </c>
      <c r="BC169" s="148">
        <v>165</v>
      </c>
      <c r="BD169" s="149"/>
      <c r="BE169" s="145"/>
      <c r="BF169" s="150"/>
      <c r="BG169" s="151">
        <v>46054</v>
      </c>
      <c r="BH169" s="153" t="s">
        <v>15</v>
      </c>
      <c r="BI169" s="153" t="s">
        <v>562</v>
      </c>
    </row>
    <row r="170" spans="1:705" s="16" customFormat="1" ht="44.1" hidden="1" customHeight="1" x14ac:dyDescent="0.3">
      <c r="A170" s="26">
        <v>166</v>
      </c>
      <c r="B170" s="138">
        <v>240689</v>
      </c>
      <c r="C170" s="138">
        <v>166</v>
      </c>
      <c r="D170" s="139">
        <v>46035</v>
      </c>
      <c r="E170" s="139">
        <f t="shared" si="27"/>
        <v>46034</v>
      </c>
      <c r="F170" s="139">
        <f t="shared" si="26"/>
        <v>46045</v>
      </c>
      <c r="G170" s="139">
        <v>46094</v>
      </c>
      <c r="H170" s="139">
        <v>46067</v>
      </c>
      <c r="I170" s="139" t="s">
        <v>123</v>
      </c>
      <c r="J170" s="140" t="s">
        <v>908</v>
      </c>
      <c r="K170" s="141">
        <f t="shared" si="28"/>
        <v>22</v>
      </c>
      <c r="L170" s="141">
        <v>1153897</v>
      </c>
      <c r="M170" s="140" t="s">
        <v>15</v>
      </c>
      <c r="N170" s="140">
        <v>810945</v>
      </c>
      <c r="O170" s="137" t="s">
        <v>246</v>
      </c>
      <c r="P170" s="143">
        <v>46020</v>
      </c>
      <c r="Q170" s="143">
        <v>46198</v>
      </c>
      <c r="R170" s="185" t="s">
        <v>211</v>
      </c>
      <c r="S170" s="144" t="s">
        <v>424</v>
      </c>
      <c r="T170" s="145">
        <v>1</v>
      </c>
      <c r="U170" s="186" t="s">
        <v>82</v>
      </c>
      <c r="V170" s="146">
        <v>105</v>
      </c>
      <c r="W170" s="146">
        <v>105</v>
      </c>
      <c r="X170" s="147">
        <v>0</v>
      </c>
      <c r="Y170" s="146"/>
      <c r="Z170" s="146">
        <v>0</v>
      </c>
      <c r="AA170" s="146">
        <v>0</v>
      </c>
      <c r="AB170" s="146">
        <v>0</v>
      </c>
      <c r="AC170" s="146"/>
      <c r="AD170" s="146">
        <v>0</v>
      </c>
      <c r="AE170" s="146">
        <v>0</v>
      </c>
      <c r="AF170" s="146">
        <v>20</v>
      </c>
      <c r="AG170" s="146">
        <v>20</v>
      </c>
      <c r="AH170" s="146">
        <v>1</v>
      </c>
      <c r="AI170" s="146">
        <v>1</v>
      </c>
      <c r="AJ170" s="146">
        <v>0</v>
      </c>
      <c r="AK170" s="146">
        <v>0</v>
      </c>
      <c r="AL170" s="146">
        <v>1</v>
      </c>
      <c r="AM170" s="146">
        <v>1</v>
      </c>
      <c r="AN170" s="146">
        <v>1</v>
      </c>
      <c r="AO170" s="146">
        <v>1</v>
      </c>
      <c r="AP170" s="146">
        <v>1</v>
      </c>
      <c r="AQ170" s="146">
        <v>1</v>
      </c>
      <c r="AR170" s="146">
        <v>0</v>
      </c>
      <c r="AS170" s="146">
        <v>0</v>
      </c>
      <c r="AT170" s="146">
        <v>1</v>
      </c>
      <c r="AU170" s="146">
        <v>1</v>
      </c>
      <c r="AV170" s="146">
        <v>0</v>
      </c>
      <c r="AW170" s="146">
        <v>0</v>
      </c>
      <c r="AX170" s="146">
        <f t="shared" si="25"/>
        <v>11200</v>
      </c>
      <c r="AY170" s="146">
        <f t="shared" si="20"/>
        <v>11200</v>
      </c>
      <c r="AZ170" s="140" t="s">
        <v>562</v>
      </c>
      <c r="BA170" s="140" t="s">
        <v>562</v>
      </c>
      <c r="BB170" s="137">
        <v>13</v>
      </c>
      <c r="BC170" s="187">
        <v>166</v>
      </c>
      <c r="BD170" s="149"/>
      <c r="BE170" s="145"/>
      <c r="BF170" s="150"/>
      <c r="BG170" s="188">
        <v>46054</v>
      </c>
      <c r="BH170" s="153" t="s">
        <v>15</v>
      </c>
      <c r="BI170" s="153" t="s">
        <v>562</v>
      </c>
      <c r="BK170" s="238"/>
    </row>
    <row r="171" spans="1:705" s="16" customFormat="1" ht="44.1" hidden="1" customHeight="1" x14ac:dyDescent="0.3">
      <c r="A171" s="26">
        <v>167</v>
      </c>
      <c r="B171" s="138">
        <v>240702</v>
      </c>
      <c r="C171" s="138">
        <v>167</v>
      </c>
      <c r="D171" s="139">
        <v>45942</v>
      </c>
      <c r="E171" s="139">
        <f t="shared" si="27"/>
        <v>45941</v>
      </c>
      <c r="F171" s="139">
        <f t="shared" si="26"/>
        <v>45952</v>
      </c>
      <c r="G171" s="139">
        <v>45952</v>
      </c>
      <c r="H171" s="139">
        <v>45976</v>
      </c>
      <c r="I171" s="139" t="s">
        <v>75</v>
      </c>
      <c r="J171" s="140" t="s">
        <v>436</v>
      </c>
      <c r="K171" s="141">
        <f t="shared" si="28"/>
        <v>24</v>
      </c>
      <c r="L171" s="141">
        <v>1154055</v>
      </c>
      <c r="M171" s="140" t="s">
        <v>15</v>
      </c>
      <c r="N171" s="140">
        <v>806076</v>
      </c>
      <c r="O171" s="137" t="s">
        <v>246</v>
      </c>
      <c r="P171" s="143">
        <v>45967</v>
      </c>
      <c r="Q171" s="143">
        <v>46128</v>
      </c>
      <c r="R171" s="185" t="s">
        <v>211</v>
      </c>
      <c r="S171" s="144" t="s">
        <v>437</v>
      </c>
      <c r="T171" s="145">
        <v>2</v>
      </c>
      <c r="U171" s="186" t="s">
        <v>82</v>
      </c>
      <c r="V171" s="146">
        <v>16</v>
      </c>
      <c r="W171" s="146">
        <v>16</v>
      </c>
      <c r="X171" s="147">
        <v>0</v>
      </c>
      <c r="Y171" s="146">
        <v>0</v>
      </c>
      <c r="Z171" s="146">
        <v>0</v>
      </c>
      <c r="AA171" s="146">
        <v>0</v>
      </c>
      <c r="AB171" s="146">
        <v>5</v>
      </c>
      <c r="AC171" s="146">
        <v>5</v>
      </c>
      <c r="AD171" s="146">
        <v>0</v>
      </c>
      <c r="AE171" s="146">
        <v>0</v>
      </c>
      <c r="AF171" s="146">
        <v>0</v>
      </c>
      <c r="AG171" s="146">
        <v>0</v>
      </c>
      <c r="AH171" s="146">
        <v>2</v>
      </c>
      <c r="AI171" s="146">
        <v>2</v>
      </c>
      <c r="AJ171" s="146">
        <v>0</v>
      </c>
      <c r="AK171" s="146">
        <v>0</v>
      </c>
      <c r="AL171" s="146">
        <v>0</v>
      </c>
      <c r="AM171" s="146">
        <v>0</v>
      </c>
      <c r="AN171" s="146">
        <v>1</v>
      </c>
      <c r="AO171" s="146">
        <v>1</v>
      </c>
      <c r="AP171" s="146">
        <v>3</v>
      </c>
      <c r="AQ171" s="146">
        <v>3</v>
      </c>
      <c r="AR171" s="146">
        <v>0</v>
      </c>
      <c r="AS171" s="146">
        <v>0</v>
      </c>
      <c r="AT171" s="146">
        <v>1</v>
      </c>
      <c r="AU171" s="146">
        <v>1</v>
      </c>
      <c r="AV171" s="146">
        <v>1</v>
      </c>
      <c r="AW171" s="146">
        <v>1</v>
      </c>
      <c r="AX171" s="146">
        <f t="shared" si="25"/>
        <v>4835</v>
      </c>
      <c r="AY171" s="146">
        <f t="shared" si="20"/>
        <v>4835</v>
      </c>
      <c r="AZ171" s="140" t="s">
        <v>562</v>
      </c>
      <c r="BA171" s="140" t="s">
        <v>562</v>
      </c>
      <c r="BB171" s="137">
        <v>4</v>
      </c>
      <c r="BC171" s="187">
        <v>167</v>
      </c>
      <c r="BD171" s="149"/>
      <c r="BE171" s="145"/>
      <c r="BF171" s="150"/>
      <c r="BG171" s="188">
        <v>45962</v>
      </c>
      <c r="BH171" s="153" t="s">
        <v>535</v>
      </c>
      <c r="BI171" s="153" t="s">
        <v>562</v>
      </c>
    </row>
    <row r="172" spans="1:705" s="16" customFormat="1" ht="44.1" hidden="1" customHeight="1" x14ac:dyDescent="0.3">
      <c r="A172" s="26">
        <v>168</v>
      </c>
      <c r="B172" s="138">
        <v>240704</v>
      </c>
      <c r="C172" s="136">
        <v>168</v>
      </c>
      <c r="D172" s="139">
        <v>45942</v>
      </c>
      <c r="E172" s="139">
        <f t="shared" si="27"/>
        <v>45941</v>
      </c>
      <c r="F172" s="139">
        <f t="shared" si="26"/>
        <v>45952</v>
      </c>
      <c r="G172" s="139">
        <v>46003</v>
      </c>
      <c r="H172" s="139">
        <v>45978</v>
      </c>
      <c r="I172" s="139" t="s">
        <v>123</v>
      </c>
      <c r="J172" s="140" t="s">
        <v>438</v>
      </c>
      <c r="K172" s="141">
        <f t="shared" si="28"/>
        <v>26</v>
      </c>
      <c r="L172" s="141">
        <v>1154088</v>
      </c>
      <c r="M172" s="140" t="s">
        <v>15</v>
      </c>
      <c r="N172" s="140">
        <v>806076</v>
      </c>
      <c r="O172" s="137" t="s">
        <v>246</v>
      </c>
      <c r="P172" s="143">
        <v>45967</v>
      </c>
      <c r="Q172" s="143">
        <v>46128</v>
      </c>
      <c r="R172" s="185" t="s">
        <v>211</v>
      </c>
      <c r="S172" s="144" t="s">
        <v>439</v>
      </c>
      <c r="T172" s="145">
        <v>1</v>
      </c>
      <c r="U172" s="186" t="s">
        <v>82</v>
      </c>
      <c r="V172" s="146">
        <v>95</v>
      </c>
      <c r="W172" s="146">
        <v>95</v>
      </c>
      <c r="X172" s="147">
        <v>0</v>
      </c>
      <c r="Y172" s="146">
        <v>0</v>
      </c>
      <c r="Z172" s="146">
        <v>0</v>
      </c>
      <c r="AA172" s="146">
        <v>0</v>
      </c>
      <c r="AB172" s="146">
        <v>95</v>
      </c>
      <c r="AC172" s="146">
        <v>95</v>
      </c>
      <c r="AD172" s="146">
        <v>0</v>
      </c>
      <c r="AE172" s="146">
        <v>0</v>
      </c>
      <c r="AF172" s="146">
        <v>0</v>
      </c>
      <c r="AG172" s="146">
        <v>0</v>
      </c>
      <c r="AH172" s="146">
        <v>2</v>
      </c>
      <c r="AI172" s="146">
        <v>2</v>
      </c>
      <c r="AJ172" s="146">
        <v>0</v>
      </c>
      <c r="AK172" s="146">
        <v>0</v>
      </c>
      <c r="AL172" s="146">
        <v>0</v>
      </c>
      <c r="AM172" s="146"/>
      <c r="AN172" s="146">
        <v>1</v>
      </c>
      <c r="AO172" s="146">
        <v>1</v>
      </c>
      <c r="AP172" s="146">
        <v>3</v>
      </c>
      <c r="AQ172" s="146">
        <v>3</v>
      </c>
      <c r="AR172" s="146">
        <v>0</v>
      </c>
      <c r="AS172" s="146">
        <v>0</v>
      </c>
      <c r="AT172" s="146">
        <v>2</v>
      </c>
      <c r="AU172" s="146">
        <v>2</v>
      </c>
      <c r="AV172" s="146">
        <v>0</v>
      </c>
      <c r="AW172" s="146">
        <v>0</v>
      </c>
      <c r="AX172" s="146">
        <f t="shared" si="25"/>
        <v>14105</v>
      </c>
      <c r="AY172" s="146">
        <f t="shared" si="20"/>
        <v>14105</v>
      </c>
      <c r="AZ172" s="140" t="s">
        <v>562</v>
      </c>
      <c r="BA172" s="140" t="s">
        <v>562</v>
      </c>
      <c r="BB172" s="137">
        <v>4</v>
      </c>
      <c r="BC172" s="187">
        <v>168</v>
      </c>
      <c r="BD172" s="149"/>
      <c r="BE172" s="145"/>
      <c r="BF172" s="150"/>
      <c r="BG172" s="188">
        <v>45962</v>
      </c>
      <c r="BH172" s="153" t="s">
        <v>535</v>
      </c>
      <c r="BI172" s="153" t="s">
        <v>562</v>
      </c>
    </row>
    <row r="173" spans="1:705" s="135" customFormat="1" ht="44.1" hidden="1" customHeight="1" x14ac:dyDescent="0.3">
      <c r="A173" s="26">
        <v>169</v>
      </c>
      <c r="B173" s="138">
        <v>240888</v>
      </c>
      <c r="C173" s="136">
        <v>169</v>
      </c>
      <c r="D173" s="139">
        <v>45945</v>
      </c>
      <c r="E173" s="139">
        <f t="shared" si="27"/>
        <v>45944</v>
      </c>
      <c r="F173" s="139">
        <f t="shared" si="26"/>
        <v>45955</v>
      </c>
      <c r="G173" s="139">
        <v>46006</v>
      </c>
      <c r="H173" s="139">
        <v>45973</v>
      </c>
      <c r="I173" s="139" t="s">
        <v>123</v>
      </c>
      <c r="J173" s="140" t="s">
        <v>448</v>
      </c>
      <c r="K173" s="141">
        <f t="shared" si="28"/>
        <v>18</v>
      </c>
      <c r="L173" s="141">
        <v>1155843</v>
      </c>
      <c r="M173" s="140" t="s">
        <v>15</v>
      </c>
      <c r="N173" s="140">
        <v>806349</v>
      </c>
      <c r="O173" s="137" t="s">
        <v>246</v>
      </c>
      <c r="P173" s="143">
        <v>45959</v>
      </c>
      <c r="Q173" s="143">
        <v>46135</v>
      </c>
      <c r="R173" s="185" t="s">
        <v>211</v>
      </c>
      <c r="S173" s="144" t="s">
        <v>449</v>
      </c>
      <c r="T173" s="145">
        <v>1</v>
      </c>
      <c r="U173" s="186" t="s">
        <v>450</v>
      </c>
      <c r="V173" s="146">
        <v>140</v>
      </c>
      <c r="W173" s="146">
        <v>140</v>
      </c>
      <c r="X173" s="147">
        <v>0</v>
      </c>
      <c r="Y173" s="146">
        <v>0</v>
      </c>
      <c r="Z173" s="146">
        <v>0</v>
      </c>
      <c r="AA173" s="146">
        <v>0</v>
      </c>
      <c r="AB173" s="146">
        <v>11</v>
      </c>
      <c r="AC173" s="146">
        <v>11</v>
      </c>
      <c r="AD173" s="146">
        <v>36</v>
      </c>
      <c r="AE173" s="146">
        <v>36</v>
      </c>
      <c r="AF173" s="146">
        <v>40</v>
      </c>
      <c r="AG173" s="146">
        <v>40</v>
      </c>
      <c r="AH173" s="146">
        <v>2</v>
      </c>
      <c r="AI173" s="146">
        <v>2</v>
      </c>
      <c r="AJ173" s="146">
        <v>0</v>
      </c>
      <c r="AK173" s="146">
        <v>0</v>
      </c>
      <c r="AL173" s="146">
        <v>3</v>
      </c>
      <c r="AM173" s="146">
        <v>3</v>
      </c>
      <c r="AN173" s="146">
        <v>2</v>
      </c>
      <c r="AO173" s="146">
        <v>2</v>
      </c>
      <c r="AP173" s="146">
        <v>2</v>
      </c>
      <c r="AQ173" s="146">
        <v>2</v>
      </c>
      <c r="AR173" s="146">
        <v>0</v>
      </c>
      <c r="AS173" s="146">
        <v>0</v>
      </c>
      <c r="AT173" s="146">
        <v>0</v>
      </c>
      <c r="AU173" s="146">
        <v>0</v>
      </c>
      <c r="AV173" s="146">
        <v>1</v>
      </c>
      <c r="AW173" s="146">
        <v>1</v>
      </c>
      <c r="AX173" s="146">
        <f t="shared" si="25"/>
        <v>22367</v>
      </c>
      <c r="AY173" s="146">
        <f t="shared" si="20"/>
        <v>22367</v>
      </c>
      <c r="AZ173" s="140" t="s">
        <v>562</v>
      </c>
      <c r="BA173" s="140" t="s">
        <v>562</v>
      </c>
      <c r="BB173" s="137">
        <v>9</v>
      </c>
      <c r="BC173" s="187">
        <v>169</v>
      </c>
      <c r="BD173" s="149"/>
      <c r="BE173" s="145"/>
      <c r="BF173" s="150"/>
      <c r="BG173" s="188">
        <v>45962</v>
      </c>
      <c r="BH173" s="153" t="s">
        <v>535</v>
      </c>
      <c r="BI173" s="153" t="s">
        <v>562</v>
      </c>
      <c r="BJ173" s="16"/>
      <c r="BK173" s="16"/>
      <c r="BL173" s="16"/>
      <c r="BM173" s="16"/>
      <c r="BN173" s="16"/>
      <c r="BO173" s="16"/>
      <c r="BP173" s="16"/>
      <c r="BQ173" s="16"/>
      <c r="BR173" s="16"/>
      <c r="BS173" s="16"/>
      <c r="BT173" s="16"/>
      <c r="BU173" s="16"/>
      <c r="BV173" s="16"/>
      <c r="BW173" s="16"/>
      <c r="BX173" s="16"/>
      <c r="BY173" s="16"/>
      <c r="BZ173" s="16"/>
      <c r="CA173" s="16"/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  <c r="CL173" s="16"/>
      <c r="CM173" s="16"/>
      <c r="CN173" s="16"/>
      <c r="CO173" s="16"/>
      <c r="CP173" s="16"/>
      <c r="CQ173" s="16"/>
      <c r="CR173" s="16"/>
      <c r="CS173" s="16"/>
      <c r="CT173" s="16"/>
      <c r="CU173" s="16"/>
      <c r="CV173" s="16"/>
      <c r="CW173" s="16"/>
      <c r="CX173" s="16"/>
      <c r="CY173" s="16"/>
      <c r="CZ173" s="16"/>
      <c r="DA173" s="16"/>
      <c r="DB173" s="16"/>
      <c r="DC173" s="16"/>
      <c r="DD173" s="16"/>
      <c r="DE173" s="16"/>
      <c r="DF173" s="16"/>
      <c r="DG173" s="16"/>
      <c r="DH173" s="16"/>
      <c r="DI173" s="16"/>
      <c r="DJ173" s="16"/>
      <c r="DK173" s="16"/>
      <c r="DL173" s="16"/>
      <c r="DM173" s="16"/>
      <c r="DN173" s="16"/>
      <c r="DO173" s="16"/>
      <c r="DP173" s="16"/>
      <c r="DQ173" s="16"/>
      <c r="DR173" s="16"/>
      <c r="DS173" s="16"/>
      <c r="DT173" s="16"/>
      <c r="DU173" s="16"/>
      <c r="DV173" s="16"/>
      <c r="DW173" s="16"/>
      <c r="DX173" s="16"/>
      <c r="DY173" s="16"/>
      <c r="DZ173" s="16"/>
      <c r="EA173" s="16"/>
      <c r="EB173" s="16"/>
      <c r="EC173" s="16"/>
      <c r="ED173" s="16"/>
      <c r="EE173" s="16"/>
      <c r="EF173" s="16"/>
      <c r="EG173" s="16"/>
      <c r="EH173" s="16"/>
      <c r="EI173" s="16"/>
      <c r="EJ173" s="16"/>
      <c r="EK173" s="16"/>
      <c r="EL173" s="16"/>
      <c r="EM173" s="16"/>
      <c r="EN173" s="16"/>
      <c r="EO173" s="16"/>
      <c r="EP173" s="16"/>
      <c r="EQ173" s="16"/>
      <c r="ER173" s="16"/>
      <c r="ES173" s="16"/>
      <c r="ET173" s="16"/>
      <c r="EU173" s="16"/>
      <c r="EV173" s="16"/>
      <c r="EW173" s="16"/>
      <c r="EX173" s="16"/>
      <c r="EY173" s="16"/>
      <c r="EZ173" s="16"/>
      <c r="FA173" s="16"/>
      <c r="FB173" s="16"/>
      <c r="FC173" s="16"/>
      <c r="FD173" s="16"/>
      <c r="FE173" s="16"/>
      <c r="FF173" s="16"/>
      <c r="FG173" s="16"/>
      <c r="FH173" s="16"/>
      <c r="FI173" s="16"/>
      <c r="FJ173" s="16"/>
      <c r="FK173" s="16"/>
      <c r="FL173" s="16"/>
      <c r="FM173" s="16"/>
      <c r="FN173" s="16"/>
      <c r="FO173" s="16"/>
      <c r="FP173" s="16"/>
      <c r="FQ173" s="16"/>
      <c r="FR173" s="16"/>
      <c r="FS173" s="16"/>
      <c r="FT173" s="16"/>
      <c r="FU173" s="16"/>
      <c r="FV173" s="16"/>
      <c r="FW173" s="16"/>
      <c r="FX173" s="16"/>
      <c r="FY173" s="16"/>
      <c r="FZ173" s="16"/>
      <c r="GA173" s="16"/>
      <c r="GB173" s="16"/>
      <c r="GC173" s="16"/>
      <c r="GD173" s="16"/>
      <c r="GE173" s="16"/>
      <c r="GF173" s="16"/>
      <c r="GG173" s="16"/>
      <c r="GH173" s="16"/>
      <c r="GI173" s="16"/>
      <c r="GJ173" s="16"/>
      <c r="GK173" s="16"/>
      <c r="GL173" s="16"/>
      <c r="GM173" s="16"/>
      <c r="GN173" s="16"/>
      <c r="GO173" s="16"/>
      <c r="GP173" s="16"/>
      <c r="GQ173" s="16"/>
      <c r="GR173" s="16"/>
      <c r="GS173" s="16"/>
      <c r="GT173" s="16"/>
      <c r="GU173" s="16"/>
      <c r="GV173" s="16"/>
      <c r="GW173" s="16"/>
      <c r="GX173" s="16"/>
      <c r="GY173" s="16"/>
      <c r="GZ173" s="16"/>
      <c r="HA173" s="16"/>
      <c r="HB173" s="16"/>
      <c r="HC173" s="16"/>
      <c r="HD173" s="16"/>
      <c r="HE173" s="16"/>
      <c r="HF173" s="16"/>
      <c r="HG173" s="16"/>
      <c r="HH173" s="16"/>
      <c r="HI173" s="16"/>
      <c r="HJ173" s="16"/>
      <c r="HK173" s="16"/>
      <c r="HL173" s="16"/>
      <c r="HM173" s="16"/>
      <c r="HN173" s="16"/>
      <c r="HO173" s="16"/>
      <c r="HP173" s="16"/>
      <c r="HQ173" s="16"/>
      <c r="HR173" s="16"/>
      <c r="HS173" s="16"/>
      <c r="HT173" s="16"/>
      <c r="HU173" s="16"/>
      <c r="HV173" s="16"/>
      <c r="HW173" s="16"/>
      <c r="HX173" s="16"/>
      <c r="HY173" s="16"/>
      <c r="HZ173" s="16"/>
      <c r="IA173" s="16"/>
      <c r="IB173" s="16"/>
      <c r="IC173" s="16"/>
      <c r="ID173" s="16"/>
      <c r="IE173" s="16"/>
      <c r="IF173" s="16"/>
      <c r="IG173" s="16"/>
      <c r="IH173" s="16"/>
      <c r="II173" s="16"/>
      <c r="IJ173" s="16"/>
      <c r="IK173" s="16"/>
      <c r="IL173" s="16"/>
      <c r="IM173" s="16"/>
      <c r="IN173" s="16"/>
      <c r="IO173" s="16"/>
      <c r="IP173" s="16"/>
      <c r="IQ173" s="16"/>
      <c r="IR173" s="16"/>
      <c r="IS173" s="16"/>
      <c r="IT173" s="16"/>
      <c r="IU173" s="16"/>
      <c r="IV173" s="16"/>
      <c r="IW173" s="16"/>
      <c r="IX173" s="16"/>
      <c r="IY173" s="16"/>
      <c r="IZ173" s="16"/>
      <c r="JA173" s="16"/>
      <c r="JB173" s="16"/>
      <c r="JC173" s="16"/>
      <c r="JD173" s="16"/>
      <c r="JE173" s="16"/>
      <c r="JF173" s="16"/>
      <c r="JG173" s="16"/>
      <c r="JH173" s="16"/>
      <c r="JI173" s="16"/>
      <c r="JJ173" s="16"/>
      <c r="JK173" s="16"/>
      <c r="JL173" s="16"/>
      <c r="JM173" s="16"/>
      <c r="JN173" s="16"/>
      <c r="JO173" s="16"/>
      <c r="JP173" s="16"/>
      <c r="JQ173" s="16"/>
      <c r="JR173" s="16"/>
      <c r="JS173" s="16"/>
      <c r="JT173" s="16"/>
      <c r="JU173" s="16"/>
      <c r="JV173" s="16"/>
      <c r="JW173" s="16"/>
      <c r="JX173" s="16"/>
      <c r="JY173" s="16"/>
      <c r="JZ173" s="16"/>
      <c r="KA173" s="16"/>
      <c r="KB173" s="16"/>
      <c r="KC173" s="16"/>
      <c r="KD173" s="16"/>
      <c r="KE173" s="16"/>
      <c r="KF173" s="16"/>
      <c r="KG173" s="16"/>
      <c r="KH173" s="16"/>
      <c r="KI173" s="16"/>
      <c r="KJ173" s="16"/>
      <c r="KK173" s="16"/>
      <c r="KL173" s="16"/>
      <c r="KM173" s="16"/>
      <c r="KN173" s="16"/>
      <c r="KO173" s="16"/>
      <c r="KP173" s="16"/>
      <c r="KQ173" s="16"/>
      <c r="KR173" s="16"/>
      <c r="KS173" s="16"/>
      <c r="KT173" s="16"/>
      <c r="KU173" s="16"/>
      <c r="KV173" s="16"/>
      <c r="KW173" s="16"/>
      <c r="KX173" s="16"/>
      <c r="KY173" s="16"/>
      <c r="KZ173" s="16"/>
      <c r="LA173" s="16"/>
      <c r="LB173" s="16"/>
      <c r="LC173" s="16"/>
      <c r="LD173" s="16"/>
      <c r="LE173" s="16"/>
      <c r="LF173" s="16"/>
      <c r="LG173" s="16"/>
      <c r="LH173" s="16"/>
      <c r="LI173" s="16"/>
      <c r="LJ173" s="16"/>
      <c r="LK173" s="16"/>
      <c r="LL173" s="16"/>
      <c r="LM173" s="16"/>
      <c r="LN173" s="16"/>
      <c r="LO173" s="16"/>
      <c r="LP173" s="16"/>
      <c r="LQ173" s="16"/>
      <c r="LR173" s="16"/>
      <c r="LS173" s="16"/>
      <c r="LT173" s="16"/>
      <c r="LU173" s="16"/>
      <c r="LV173" s="16"/>
      <c r="LW173" s="16"/>
      <c r="LX173" s="16"/>
      <c r="LY173" s="16"/>
      <c r="LZ173" s="16"/>
      <c r="MA173" s="16"/>
      <c r="MB173" s="16"/>
      <c r="MC173" s="16"/>
      <c r="MD173" s="16"/>
      <c r="ME173" s="16"/>
      <c r="MF173" s="16"/>
      <c r="MG173" s="16"/>
      <c r="MH173" s="16"/>
      <c r="MI173" s="16"/>
      <c r="MJ173" s="16"/>
      <c r="MK173" s="16"/>
      <c r="ML173" s="16"/>
      <c r="MM173" s="16"/>
      <c r="MN173" s="16"/>
      <c r="MO173" s="16"/>
      <c r="MP173" s="16"/>
      <c r="MQ173" s="16"/>
      <c r="MR173" s="16"/>
      <c r="MS173" s="16"/>
      <c r="MT173" s="16"/>
      <c r="MU173" s="16"/>
      <c r="MV173" s="16"/>
      <c r="MW173" s="16"/>
      <c r="MX173" s="16"/>
      <c r="MY173" s="16"/>
      <c r="MZ173" s="16"/>
      <c r="NA173" s="16"/>
      <c r="NB173" s="16"/>
      <c r="NC173" s="16"/>
      <c r="ND173" s="16"/>
      <c r="NE173" s="16"/>
      <c r="NF173" s="16"/>
      <c r="NG173" s="16"/>
      <c r="NH173" s="16"/>
      <c r="NI173" s="16"/>
      <c r="NJ173" s="16"/>
      <c r="NK173" s="16"/>
      <c r="NL173" s="16"/>
      <c r="NM173" s="16"/>
      <c r="NN173" s="16"/>
      <c r="NO173" s="16"/>
      <c r="NP173" s="16"/>
      <c r="NQ173" s="16"/>
      <c r="NR173" s="16"/>
      <c r="NS173" s="16"/>
      <c r="NT173" s="16"/>
      <c r="NU173" s="16"/>
      <c r="NV173" s="16"/>
      <c r="NW173" s="16"/>
      <c r="NX173" s="16"/>
      <c r="NY173" s="16"/>
      <c r="NZ173" s="16"/>
      <c r="OA173" s="16"/>
      <c r="OB173" s="16"/>
      <c r="OC173" s="16"/>
      <c r="OD173" s="16"/>
      <c r="OE173" s="16"/>
      <c r="OF173" s="16"/>
      <c r="OG173" s="16"/>
      <c r="OH173" s="16"/>
      <c r="OI173" s="16"/>
      <c r="OJ173" s="16"/>
      <c r="OK173" s="16"/>
      <c r="OL173" s="16"/>
      <c r="OM173" s="16"/>
      <c r="ON173" s="16"/>
      <c r="OO173" s="16"/>
      <c r="OP173" s="16"/>
      <c r="OQ173" s="16"/>
      <c r="OR173" s="16"/>
      <c r="OS173" s="16"/>
      <c r="OT173" s="16"/>
      <c r="OU173" s="16"/>
      <c r="OV173" s="16"/>
      <c r="OW173" s="16"/>
      <c r="OX173" s="16"/>
      <c r="OY173" s="16"/>
      <c r="OZ173" s="16"/>
      <c r="PA173" s="16"/>
      <c r="PB173" s="16"/>
      <c r="PC173" s="16"/>
      <c r="PD173" s="16"/>
      <c r="PE173" s="16"/>
      <c r="PF173" s="16"/>
      <c r="PG173" s="16"/>
      <c r="PH173" s="16"/>
      <c r="PI173" s="16"/>
      <c r="PJ173" s="16"/>
      <c r="PK173" s="16"/>
      <c r="PL173" s="16"/>
      <c r="PM173" s="16"/>
      <c r="PN173" s="16"/>
      <c r="PO173" s="16"/>
      <c r="PP173" s="16"/>
      <c r="PQ173" s="16"/>
      <c r="PR173" s="16"/>
      <c r="PS173" s="16"/>
      <c r="PT173" s="16"/>
      <c r="PU173" s="16"/>
      <c r="PV173" s="16"/>
      <c r="PW173" s="16"/>
      <c r="PX173" s="16"/>
      <c r="PY173" s="16"/>
      <c r="PZ173" s="16"/>
      <c r="QA173" s="16"/>
      <c r="QB173" s="16"/>
      <c r="QC173" s="16"/>
      <c r="QD173" s="16"/>
      <c r="QE173" s="16"/>
      <c r="QF173" s="16"/>
      <c r="QG173" s="16"/>
      <c r="QH173" s="16"/>
      <c r="QI173" s="16"/>
      <c r="QJ173" s="16"/>
      <c r="QK173" s="16"/>
      <c r="QL173" s="16"/>
      <c r="QM173" s="16"/>
      <c r="QN173" s="16"/>
      <c r="QO173" s="16"/>
      <c r="QP173" s="16"/>
      <c r="QQ173" s="16"/>
      <c r="QR173" s="16"/>
      <c r="QS173" s="16"/>
      <c r="QT173" s="16"/>
      <c r="QU173" s="16"/>
      <c r="QV173" s="16"/>
      <c r="QW173" s="16"/>
      <c r="QX173" s="16"/>
      <c r="QY173" s="16"/>
      <c r="QZ173" s="16"/>
      <c r="RA173" s="16"/>
      <c r="RB173" s="16"/>
      <c r="RC173" s="16"/>
      <c r="RD173" s="16"/>
      <c r="RE173" s="16"/>
      <c r="RF173" s="16"/>
      <c r="RG173" s="16"/>
      <c r="RH173" s="16"/>
      <c r="RI173" s="16"/>
      <c r="RJ173" s="16"/>
      <c r="RK173" s="16"/>
      <c r="RL173" s="16"/>
      <c r="RM173" s="16"/>
      <c r="RN173" s="16"/>
      <c r="RO173" s="16"/>
      <c r="RP173" s="16"/>
      <c r="RQ173" s="16"/>
      <c r="RR173" s="16"/>
      <c r="RS173" s="16"/>
      <c r="RT173" s="16"/>
      <c r="RU173" s="16"/>
      <c r="RV173" s="16"/>
      <c r="RW173" s="16"/>
      <c r="RX173" s="16"/>
      <c r="RY173" s="16"/>
      <c r="RZ173" s="16"/>
      <c r="SA173" s="16"/>
      <c r="SB173" s="16"/>
      <c r="SC173" s="16"/>
      <c r="SD173" s="16"/>
      <c r="SE173" s="16"/>
      <c r="SF173" s="16"/>
      <c r="SG173" s="16"/>
      <c r="SH173" s="16"/>
      <c r="SI173" s="16"/>
      <c r="SJ173" s="16"/>
      <c r="SK173" s="16"/>
      <c r="SL173" s="16"/>
      <c r="SM173" s="16"/>
      <c r="SN173" s="16"/>
      <c r="SO173" s="16"/>
      <c r="SP173" s="16"/>
      <c r="SQ173" s="16"/>
      <c r="SR173" s="16"/>
      <c r="SS173" s="16"/>
      <c r="ST173" s="16"/>
      <c r="SU173" s="16"/>
      <c r="SV173" s="16"/>
      <c r="SW173" s="16"/>
      <c r="SX173" s="16"/>
      <c r="SY173" s="16"/>
      <c r="SZ173" s="16"/>
      <c r="TA173" s="16"/>
      <c r="TB173" s="16"/>
      <c r="TC173" s="16"/>
      <c r="TD173" s="16"/>
      <c r="TE173" s="16"/>
      <c r="TF173" s="16"/>
      <c r="TG173" s="16"/>
      <c r="TH173" s="16"/>
      <c r="TI173" s="16"/>
      <c r="TJ173" s="16"/>
      <c r="TK173" s="16"/>
      <c r="TL173" s="16"/>
      <c r="TM173" s="16"/>
      <c r="TN173" s="16"/>
      <c r="TO173" s="16"/>
      <c r="TP173" s="16"/>
      <c r="TQ173" s="16"/>
      <c r="TR173" s="16"/>
      <c r="TS173" s="16"/>
      <c r="TT173" s="16"/>
      <c r="TU173" s="16"/>
      <c r="TV173" s="16"/>
      <c r="TW173" s="16"/>
      <c r="TX173" s="16"/>
      <c r="TY173" s="16"/>
      <c r="TZ173" s="16"/>
      <c r="UA173" s="16"/>
      <c r="UB173" s="16"/>
      <c r="UC173" s="16"/>
      <c r="UD173" s="16"/>
      <c r="UE173" s="16"/>
      <c r="UF173" s="16"/>
      <c r="UG173" s="16"/>
      <c r="UH173" s="16"/>
      <c r="UI173" s="16"/>
      <c r="UJ173" s="16"/>
      <c r="UK173" s="16"/>
      <c r="UL173" s="16"/>
      <c r="UM173" s="16"/>
      <c r="UN173" s="16"/>
      <c r="UO173" s="16"/>
      <c r="UP173" s="16"/>
      <c r="UQ173" s="16"/>
      <c r="UR173" s="16"/>
      <c r="US173" s="16"/>
      <c r="UT173" s="16"/>
      <c r="UU173" s="16"/>
      <c r="UV173" s="16"/>
      <c r="UW173" s="16"/>
      <c r="UX173" s="16"/>
      <c r="UY173" s="16"/>
      <c r="UZ173" s="16"/>
      <c r="VA173" s="16"/>
      <c r="VB173" s="16"/>
      <c r="VC173" s="16"/>
      <c r="VD173" s="16"/>
      <c r="VE173" s="16"/>
      <c r="VF173" s="16"/>
      <c r="VG173" s="16"/>
      <c r="VH173" s="16"/>
      <c r="VI173" s="16"/>
      <c r="VJ173" s="16"/>
      <c r="VK173" s="16"/>
      <c r="VL173" s="16"/>
      <c r="VM173" s="16"/>
      <c r="VN173" s="16"/>
      <c r="VO173" s="16"/>
      <c r="VP173" s="16"/>
      <c r="VQ173" s="16"/>
      <c r="VR173" s="16"/>
      <c r="VS173" s="16"/>
      <c r="VT173" s="16"/>
      <c r="VU173" s="16"/>
      <c r="VV173" s="16"/>
      <c r="VW173" s="16"/>
      <c r="VX173" s="16"/>
      <c r="VY173" s="16"/>
      <c r="VZ173" s="16"/>
      <c r="WA173" s="16"/>
      <c r="WB173" s="16"/>
      <c r="WC173" s="16"/>
      <c r="WD173" s="16"/>
      <c r="WE173" s="16"/>
      <c r="WF173" s="16"/>
      <c r="WG173" s="16"/>
      <c r="WH173" s="16"/>
      <c r="WI173" s="16"/>
      <c r="WJ173" s="16"/>
      <c r="WK173" s="16"/>
      <c r="WL173" s="16"/>
      <c r="WM173" s="16"/>
      <c r="WN173" s="16"/>
      <c r="WO173" s="16"/>
      <c r="WP173" s="16"/>
      <c r="WQ173" s="16"/>
      <c r="WR173" s="16"/>
      <c r="WS173" s="16"/>
      <c r="WT173" s="16"/>
      <c r="WU173" s="16"/>
      <c r="WV173" s="16"/>
      <c r="WW173" s="16"/>
      <c r="WX173" s="16"/>
      <c r="WY173" s="16"/>
      <c r="WZ173" s="16"/>
      <c r="XA173" s="16"/>
      <c r="XB173" s="16"/>
      <c r="XC173" s="16"/>
      <c r="XD173" s="16"/>
      <c r="XE173" s="16"/>
      <c r="XF173" s="16"/>
      <c r="XG173" s="16"/>
      <c r="XH173" s="16"/>
      <c r="XI173" s="16"/>
      <c r="XJ173" s="16"/>
      <c r="XK173" s="16"/>
      <c r="XL173" s="16"/>
      <c r="XM173" s="16"/>
      <c r="XN173" s="16"/>
      <c r="XO173" s="16"/>
      <c r="XP173" s="16"/>
      <c r="XQ173" s="16"/>
      <c r="XR173" s="16"/>
      <c r="XS173" s="16"/>
      <c r="XT173" s="16"/>
      <c r="XU173" s="16"/>
      <c r="XV173" s="16"/>
      <c r="XW173" s="16"/>
      <c r="XX173" s="16"/>
      <c r="XY173" s="16"/>
      <c r="XZ173" s="16"/>
      <c r="YA173" s="16"/>
      <c r="YB173" s="16"/>
      <c r="YC173" s="16"/>
      <c r="YD173" s="16"/>
      <c r="YE173" s="16"/>
      <c r="YF173" s="16"/>
      <c r="YG173" s="16"/>
      <c r="YH173" s="16"/>
      <c r="YI173" s="16"/>
      <c r="YJ173" s="16"/>
      <c r="YK173" s="16"/>
      <c r="YL173" s="16"/>
      <c r="YM173" s="16"/>
      <c r="YN173" s="16"/>
      <c r="YO173" s="16"/>
      <c r="YP173" s="16"/>
      <c r="YQ173" s="16"/>
      <c r="YR173" s="16"/>
      <c r="YS173" s="16"/>
      <c r="YT173" s="16"/>
      <c r="YU173" s="16"/>
      <c r="YV173" s="16"/>
      <c r="YW173" s="16"/>
      <c r="YX173" s="16"/>
      <c r="YY173" s="16"/>
      <c r="YZ173" s="16"/>
      <c r="ZA173" s="16"/>
      <c r="ZB173" s="16"/>
      <c r="ZC173" s="16"/>
      <c r="ZD173" s="16"/>
      <c r="ZE173" s="16"/>
      <c r="ZF173" s="16"/>
      <c r="ZG173" s="16"/>
      <c r="ZH173" s="16"/>
      <c r="ZI173" s="16"/>
      <c r="ZJ173" s="16"/>
      <c r="ZK173" s="16"/>
      <c r="ZL173" s="16"/>
      <c r="ZM173" s="16"/>
      <c r="ZN173" s="16"/>
      <c r="ZO173" s="16"/>
      <c r="ZP173" s="16"/>
      <c r="ZQ173" s="16"/>
      <c r="ZR173" s="16"/>
      <c r="ZS173" s="16"/>
      <c r="ZT173" s="16"/>
      <c r="ZU173" s="16"/>
      <c r="ZV173" s="16"/>
      <c r="ZW173" s="16"/>
      <c r="ZX173" s="16"/>
      <c r="ZY173" s="16"/>
      <c r="ZZ173" s="16"/>
      <c r="AAA173" s="16"/>
      <c r="AAB173" s="16"/>
      <c r="AAC173" s="16"/>
    </row>
    <row r="174" spans="1:705" s="135" customFormat="1" ht="44.1" hidden="1" customHeight="1" x14ac:dyDescent="0.3">
      <c r="A174" s="26">
        <v>170</v>
      </c>
      <c r="B174" s="138">
        <v>240898</v>
      </c>
      <c r="C174" s="136">
        <v>170</v>
      </c>
      <c r="D174" s="139">
        <v>45981</v>
      </c>
      <c r="E174" s="139">
        <f t="shared" si="27"/>
        <v>45980</v>
      </c>
      <c r="F174" s="139">
        <f t="shared" si="26"/>
        <v>45991</v>
      </c>
      <c r="G174" s="139">
        <v>46042</v>
      </c>
      <c r="H174" s="139">
        <v>46029</v>
      </c>
      <c r="I174" s="139" t="s">
        <v>123</v>
      </c>
      <c r="J174" s="140" t="s">
        <v>693</v>
      </c>
      <c r="K174" s="141">
        <f t="shared" si="28"/>
        <v>38</v>
      </c>
      <c r="L174" s="141">
        <v>1156076</v>
      </c>
      <c r="M174" s="140" t="s">
        <v>15</v>
      </c>
      <c r="N174" s="140">
        <v>809921</v>
      </c>
      <c r="O174" s="137" t="s">
        <v>246</v>
      </c>
      <c r="P174" s="143">
        <v>45999</v>
      </c>
      <c r="Q174" s="143">
        <v>46177</v>
      </c>
      <c r="R174" s="185" t="s">
        <v>211</v>
      </c>
      <c r="S174" s="144" t="s">
        <v>451</v>
      </c>
      <c r="T174" s="145">
        <v>1</v>
      </c>
      <c r="U174" s="186" t="s">
        <v>106</v>
      </c>
      <c r="V174" s="146">
        <v>167</v>
      </c>
      <c r="W174" s="146">
        <v>167</v>
      </c>
      <c r="X174" s="147">
        <v>0</v>
      </c>
      <c r="Y174" s="146">
        <v>0</v>
      </c>
      <c r="Z174" s="146">
        <v>0</v>
      </c>
      <c r="AA174" s="146">
        <v>0</v>
      </c>
      <c r="AB174" s="146">
        <v>0</v>
      </c>
      <c r="AC174" s="146"/>
      <c r="AD174" s="146">
        <v>0</v>
      </c>
      <c r="AE174" s="146">
        <v>0</v>
      </c>
      <c r="AF174" s="146">
        <v>0</v>
      </c>
      <c r="AG174" s="146">
        <v>0</v>
      </c>
      <c r="AH174" s="146">
        <v>1</v>
      </c>
      <c r="AI174" s="146">
        <v>1</v>
      </c>
      <c r="AJ174" s="146">
        <v>0</v>
      </c>
      <c r="AK174" s="146">
        <v>0</v>
      </c>
      <c r="AL174" s="146">
        <v>1</v>
      </c>
      <c r="AM174" s="146">
        <v>1</v>
      </c>
      <c r="AN174" s="146">
        <v>1</v>
      </c>
      <c r="AO174" s="146">
        <v>1</v>
      </c>
      <c r="AP174" s="146">
        <v>2</v>
      </c>
      <c r="AQ174" s="146">
        <v>2</v>
      </c>
      <c r="AR174" s="146">
        <v>0</v>
      </c>
      <c r="AS174" s="146">
        <v>0</v>
      </c>
      <c r="AT174" s="146">
        <v>1</v>
      </c>
      <c r="AU174" s="146">
        <v>1</v>
      </c>
      <c r="AV174" s="146">
        <v>0</v>
      </c>
      <c r="AW174" s="146">
        <v>0</v>
      </c>
      <c r="AX174" s="146">
        <f t="shared" si="25"/>
        <v>12450</v>
      </c>
      <c r="AY174" s="146">
        <f t="shared" si="20"/>
        <v>12450</v>
      </c>
      <c r="AZ174" s="140" t="s">
        <v>562</v>
      </c>
      <c r="BA174" s="140" t="s">
        <v>562</v>
      </c>
      <c r="BB174" s="137">
        <v>7</v>
      </c>
      <c r="BC174" s="187">
        <v>170</v>
      </c>
      <c r="BD174" s="149"/>
      <c r="BE174" s="145"/>
      <c r="BF174" s="150"/>
      <c r="BG174" s="188">
        <v>46023</v>
      </c>
      <c r="BH174" s="153" t="s">
        <v>535</v>
      </c>
      <c r="BI174" s="153" t="s">
        <v>562</v>
      </c>
      <c r="BJ174" s="16"/>
      <c r="BK174" s="16"/>
      <c r="BL174" s="16"/>
      <c r="BM174" s="16"/>
      <c r="BN174" s="16"/>
      <c r="BO174" s="16"/>
      <c r="BP174" s="16"/>
      <c r="BQ174" s="16"/>
      <c r="BR174" s="16"/>
      <c r="BS174" s="16"/>
      <c r="BT174" s="16"/>
      <c r="BU174" s="16"/>
      <c r="BV174" s="16"/>
      <c r="BW174" s="16"/>
      <c r="BX174" s="16"/>
      <c r="BY174" s="16"/>
      <c r="BZ174" s="16"/>
      <c r="CA174" s="16"/>
      <c r="CB174" s="16"/>
      <c r="CC174" s="16"/>
      <c r="CD174" s="16"/>
      <c r="CE174" s="16"/>
      <c r="CF174" s="16"/>
      <c r="CG174" s="16"/>
      <c r="CH174" s="16"/>
      <c r="CI174" s="16"/>
      <c r="CJ174" s="16"/>
      <c r="CK174" s="16"/>
      <c r="CL174" s="16"/>
      <c r="CM174" s="16"/>
      <c r="CN174" s="16"/>
      <c r="CO174" s="16"/>
      <c r="CP174" s="16"/>
      <c r="CQ174" s="16"/>
      <c r="CR174" s="16"/>
      <c r="CS174" s="16"/>
      <c r="CT174" s="16"/>
      <c r="CU174" s="16"/>
      <c r="CV174" s="16"/>
      <c r="CW174" s="16"/>
      <c r="CX174" s="16"/>
      <c r="CY174" s="16"/>
      <c r="CZ174" s="16"/>
      <c r="DA174" s="16"/>
      <c r="DB174" s="16"/>
      <c r="DC174" s="16"/>
      <c r="DD174" s="16"/>
      <c r="DE174" s="16"/>
      <c r="DF174" s="16"/>
      <c r="DG174" s="16"/>
      <c r="DH174" s="16"/>
      <c r="DI174" s="16"/>
      <c r="DJ174" s="16"/>
      <c r="DK174" s="16"/>
      <c r="DL174" s="16"/>
      <c r="DM174" s="16"/>
      <c r="DN174" s="16"/>
      <c r="DO174" s="16"/>
      <c r="DP174" s="16"/>
      <c r="DQ174" s="16"/>
      <c r="DR174" s="16"/>
      <c r="DS174" s="16"/>
      <c r="DT174" s="16"/>
      <c r="DU174" s="16"/>
      <c r="DV174" s="16"/>
      <c r="DW174" s="16"/>
      <c r="DX174" s="16"/>
      <c r="DY174" s="16"/>
      <c r="DZ174" s="16"/>
      <c r="EA174" s="16"/>
      <c r="EB174" s="16"/>
      <c r="EC174" s="16"/>
      <c r="ED174" s="16"/>
      <c r="EE174" s="16"/>
      <c r="EF174" s="16"/>
      <c r="EG174" s="16"/>
      <c r="EH174" s="16"/>
      <c r="EI174" s="16"/>
      <c r="EJ174" s="16"/>
      <c r="EK174" s="16"/>
      <c r="EL174" s="16"/>
      <c r="EM174" s="16"/>
      <c r="EN174" s="16"/>
      <c r="EO174" s="16"/>
      <c r="EP174" s="16"/>
      <c r="EQ174" s="16"/>
      <c r="ER174" s="16"/>
      <c r="ES174" s="16"/>
      <c r="ET174" s="16"/>
      <c r="EU174" s="16"/>
      <c r="EV174" s="16"/>
      <c r="EW174" s="16"/>
      <c r="EX174" s="16"/>
      <c r="EY174" s="16"/>
      <c r="EZ174" s="16"/>
      <c r="FA174" s="16"/>
      <c r="FB174" s="16"/>
      <c r="FC174" s="16"/>
      <c r="FD174" s="16"/>
      <c r="FE174" s="16"/>
      <c r="FF174" s="16"/>
      <c r="FG174" s="16"/>
      <c r="FH174" s="16"/>
      <c r="FI174" s="16"/>
      <c r="FJ174" s="16"/>
      <c r="FK174" s="16"/>
      <c r="FL174" s="16"/>
      <c r="FM174" s="16"/>
      <c r="FN174" s="16"/>
      <c r="FO174" s="16"/>
      <c r="FP174" s="16"/>
      <c r="FQ174" s="16"/>
      <c r="FR174" s="16"/>
      <c r="FS174" s="16"/>
      <c r="FT174" s="16"/>
      <c r="FU174" s="16"/>
      <c r="FV174" s="16"/>
      <c r="FW174" s="16"/>
      <c r="FX174" s="16"/>
      <c r="FY174" s="16"/>
      <c r="FZ174" s="16"/>
      <c r="GA174" s="16"/>
      <c r="GB174" s="16"/>
      <c r="GC174" s="16"/>
      <c r="GD174" s="16"/>
      <c r="GE174" s="16"/>
      <c r="GF174" s="16"/>
      <c r="GG174" s="16"/>
      <c r="GH174" s="16"/>
      <c r="GI174" s="16"/>
      <c r="GJ174" s="16"/>
      <c r="GK174" s="16"/>
      <c r="GL174" s="16"/>
      <c r="GM174" s="16"/>
      <c r="GN174" s="16"/>
      <c r="GO174" s="16"/>
      <c r="GP174" s="16"/>
      <c r="GQ174" s="16"/>
      <c r="GR174" s="16"/>
      <c r="GS174" s="16"/>
      <c r="GT174" s="16"/>
      <c r="GU174" s="16"/>
      <c r="GV174" s="16"/>
      <c r="GW174" s="16"/>
      <c r="GX174" s="16"/>
      <c r="GY174" s="16"/>
      <c r="GZ174" s="16"/>
      <c r="HA174" s="16"/>
      <c r="HB174" s="16"/>
      <c r="HC174" s="16"/>
      <c r="HD174" s="16"/>
      <c r="HE174" s="16"/>
      <c r="HF174" s="16"/>
      <c r="HG174" s="16"/>
      <c r="HH174" s="16"/>
      <c r="HI174" s="16"/>
      <c r="HJ174" s="16"/>
      <c r="HK174" s="16"/>
      <c r="HL174" s="16"/>
      <c r="HM174" s="16"/>
      <c r="HN174" s="16"/>
      <c r="HO174" s="16"/>
      <c r="HP174" s="16"/>
      <c r="HQ174" s="16"/>
      <c r="HR174" s="16"/>
      <c r="HS174" s="16"/>
      <c r="HT174" s="16"/>
      <c r="HU174" s="16"/>
      <c r="HV174" s="16"/>
      <c r="HW174" s="16"/>
      <c r="HX174" s="16"/>
      <c r="HY174" s="16"/>
      <c r="HZ174" s="16"/>
      <c r="IA174" s="16"/>
      <c r="IB174" s="16"/>
      <c r="IC174" s="16"/>
      <c r="ID174" s="16"/>
      <c r="IE174" s="16"/>
      <c r="IF174" s="16"/>
      <c r="IG174" s="16"/>
      <c r="IH174" s="16"/>
      <c r="II174" s="16"/>
      <c r="IJ174" s="16"/>
      <c r="IK174" s="16"/>
      <c r="IL174" s="16"/>
      <c r="IM174" s="16"/>
      <c r="IN174" s="16"/>
      <c r="IO174" s="16"/>
      <c r="IP174" s="16"/>
      <c r="IQ174" s="16"/>
      <c r="IR174" s="16"/>
      <c r="IS174" s="16"/>
      <c r="IT174" s="16"/>
      <c r="IU174" s="16"/>
      <c r="IV174" s="16"/>
      <c r="IW174" s="16"/>
      <c r="IX174" s="16"/>
      <c r="IY174" s="16"/>
      <c r="IZ174" s="16"/>
      <c r="JA174" s="16"/>
      <c r="JB174" s="16"/>
      <c r="JC174" s="16"/>
      <c r="JD174" s="16"/>
      <c r="JE174" s="16"/>
      <c r="JF174" s="16"/>
      <c r="JG174" s="16"/>
      <c r="JH174" s="16"/>
      <c r="JI174" s="16"/>
      <c r="JJ174" s="16"/>
      <c r="JK174" s="16"/>
      <c r="JL174" s="16"/>
      <c r="JM174" s="16"/>
      <c r="JN174" s="16"/>
      <c r="JO174" s="16"/>
      <c r="JP174" s="16"/>
      <c r="JQ174" s="16"/>
      <c r="JR174" s="16"/>
      <c r="JS174" s="16"/>
      <c r="JT174" s="16"/>
      <c r="JU174" s="16"/>
      <c r="JV174" s="16"/>
      <c r="JW174" s="16"/>
      <c r="JX174" s="16"/>
      <c r="JY174" s="16"/>
      <c r="JZ174" s="16"/>
      <c r="KA174" s="16"/>
      <c r="KB174" s="16"/>
      <c r="KC174" s="16"/>
      <c r="KD174" s="16"/>
      <c r="KE174" s="16"/>
      <c r="KF174" s="16"/>
      <c r="KG174" s="16"/>
      <c r="KH174" s="16"/>
      <c r="KI174" s="16"/>
      <c r="KJ174" s="16"/>
      <c r="KK174" s="16"/>
      <c r="KL174" s="16"/>
      <c r="KM174" s="16"/>
      <c r="KN174" s="16"/>
      <c r="KO174" s="16"/>
      <c r="KP174" s="16"/>
      <c r="KQ174" s="16"/>
      <c r="KR174" s="16"/>
      <c r="KS174" s="16"/>
      <c r="KT174" s="16"/>
      <c r="KU174" s="16"/>
      <c r="KV174" s="16"/>
      <c r="KW174" s="16"/>
      <c r="KX174" s="16"/>
      <c r="KY174" s="16"/>
      <c r="KZ174" s="16"/>
      <c r="LA174" s="16"/>
      <c r="LB174" s="16"/>
      <c r="LC174" s="16"/>
      <c r="LD174" s="16"/>
      <c r="LE174" s="16"/>
      <c r="LF174" s="16"/>
      <c r="LG174" s="16"/>
      <c r="LH174" s="16"/>
      <c r="LI174" s="16"/>
      <c r="LJ174" s="16"/>
      <c r="LK174" s="16"/>
      <c r="LL174" s="16"/>
      <c r="LM174" s="16"/>
      <c r="LN174" s="16"/>
      <c r="LO174" s="16"/>
      <c r="LP174" s="16"/>
      <c r="LQ174" s="16"/>
      <c r="LR174" s="16"/>
      <c r="LS174" s="16"/>
      <c r="LT174" s="16"/>
      <c r="LU174" s="16"/>
      <c r="LV174" s="16"/>
      <c r="LW174" s="16"/>
      <c r="LX174" s="16"/>
      <c r="LY174" s="16"/>
      <c r="LZ174" s="16"/>
      <c r="MA174" s="16"/>
      <c r="MB174" s="16"/>
      <c r="MC174" s="16"/>
      <c r="MD174" s="16"/>
      <c r="ME174" s="16"/>
      <c r="MF174" s="16"/>
      <c r="MG174" s="16"/>
      <c r="MH174" s="16"/>
      <c r="MI174" s="16"/>
      <c r="MJ174" s="16"/>
      <c r="MK174" s="16"/>
      <c r="ML174" s="16"/>
      <c r="MM174" s="16"/>
      <c r="MN174" s="16"/>
      <c r="MO174" s="16"/>
      <c r="MP174" s="16"/>
      <c r="MQ174" s="16"/>
      <c r="MR174" s="16"/>
      <c r="MS174" s="16"/>
      <c r="MT174" s="16"/>
      <c r="MU174" s="16"/>
      <c r="MV174" s="16"/>
      <c r="MW174" s="16"/>
      <c r="MX174" s="16"/>
      <c r="MY174" s="16"/>
      <c r="MZ174" s="16"/>
      <c r="NA174" s="16"/>
      <c r="NB174" s="16"/>
      <c r="NC174" s="16"/>
      <c r="ND174" s="16"/>
      <c r="NE174" s="16"/>
      <c r="NF174" s="16"/>
      <c r="NG174" s="16"/>
      <c r="NH174" s="16"/>
      <c r="NI174" s="16"/>
      <c r="NJ174" s="16"/>
      <c r="NK174" s="16"/>
      <c r="NL174" s="16"/>
      <c r="NM174" s="16"/>
      <c r="NN174" s="16"/>
      <c r="NO174" s="16"/>
      <c r="NP174" s="16"/>
      <c r="NQ174" s="16"/>
      <c r="NR174" s="16"/>
      <c r="NS174" s="16"/>
      <c r="NT174" s="16"/>
      <c r="NU174" s="16"/>
      <c r="NV174" s="16"/>
      <c r="NW174" s="16"/>
      <c r="NX174" s="16"/>
      <c r="NY174" s="16"/>
      <c r="NZ174" s="16"/>
      <c r="OA174" s="16"/>
      <c r="OB174" s="16"/>
      <c r="OC174" s="16"/>
      <c r="OD174" s="16"/>
      <c r="OE174" s="16"/>
      <c r="OF174" s="16"/>
      <c r="OG174" s="16"/>
      <c r="OH174" s="16"/>
      <c r="OI174" s="16"/>
      <c r="OJ174" s="16"/>
      <c r="OK174" s="16"/>
      <c r="OL174" s="16"/>
      <c r="OM174" s="16"/>
      <c r="ON174" s="16"/>
      <c r="OO174" s="16"/>
      <c r="OP174" s="16"/>
      <c r="OQ174" s="16"/>
      <c r="OR174" s="16"/>
      <c r="OS174" s="16"/>
      <c r="OT174" s="16"/>
      <c r="OU174" s="16"/>
      <c r="OV174" s="16"/>
      <c r="OW174" s="16"/>
      <c r="OX174" s="16"/>
      <c r="OY174" s="16"/>
      <c r="OZ174" s="16"/>
      <c r="PA174" s="16"/>
      <c r="PB174" s="16"/>
      <c r="PC174" s="16"/>
      <c r="PD174" s="16"/>
      <c r="PE174" s="16"/>
      <c r="PF174" s="16"/>
      <c r="PG174" s="16"/>
      <c r="PH174" s="16"/>
      <c r="PI174" s="16"/>
      <c r="PJ174" s="16"/>
      <c r="PK174" s="16"/>
      <c r="PL174" s="16"/>
      <c r="PM174" s="16"/>
      <c r="PN174" s="16"/>
      <c r="PO174" s="16"/>
      <c r="PP174" s="16"/>
      <c r="PQ174" s="16"/>
      <c r="PR174" s="16"/>
      <c r="PS174" s="16"/>
      <c r="PT174" s="16"/>
      <c r="PU174" s="16"/>
      <c r="PV174" s="16"/>
      <c r="PW174" s="16"/>
      <c r="PX174" s="16"/>
      <c r="PY174" s="16"/>
      <c r="PZ174" s="16"/>
      <c r="QA174" s="16"/>
      <c r="QB174" s="16"/>
      <c r="QC174" s="16"/>
      <c r="QD174" s="16"/>
      <c r="QE174" s="16"/>
      <c r="QF174" s="16"/>
      <c r="QG174" s="16"/>
      <c r="QH174" s="16"/>
      <c r="QI174" s="16"/>
      <c r="QJ174" s="16"/>
      <c r="QK174" s="16"/>
      <c r="QL174" s="16"/>
      <c r="QM174" s="16"/>
      <c r="QN174" s="16"/>
      <c r="QO174" s="16"/>
      <c r="QP174" s="16"/>
      <c r="QQ174" s="16"/>
      <c r="QR174" s="16"/>
      <c r="QS174" s="16"/>
      <c r="QT174" s="16"/>
      <c r="QU174" s="16"/>
      <c r="QV174" s="16"/>
      <c r="QW174" s="16"/>
      <c r="QX174" s="16"/>
      <c r="QY174" s="16"/>
      <c r="QZ174" s="16"/>
      <c r="RA174" s="16"/>
      <c r="RB174" s="16"/>
      <c r="RC174" s="16"/>
      <c r="RD174" s="16"/>
      <c r="RE174" s="16"/>
      <c r="RF174" s="16"/>
      <c r="RG174" s="16"/>
      <c r="RH174" s="16"/>
      <c r="RI174" s="16"/>
      <c r="RJ174" s="16"/>
      <c r="RK174" s="16"/>
      <c r="RL174" s="16"/>
      <c r="RM174" s="16"/>
      <c r="RN174" s="16"/>
      <c r="RO174" s="16"/>
      <c r="RP174" s="16"/>
      <c r="RQ174" s="16"/>
      <c r="RR174" s="16"/>
      <c r="RS174" s="16"/>
      <c r="RT174" s="16"/>
      <c r="RU174" s="16"/>
      <c r="RV174" s="16"/>
      <c r="RW174" s="16"/>
      <c r="RX174" s="16"/>
      <c r="RY174" s="16"/>
      <c r="RZ174" s="16"/>
      <c r="SA174" s="16"/>
      <c r="SB174" s="16"/>
      <c r="SC174" s="16"/>
      <c r="SD174" s="16"/>
      <c r="SE174" s="16"/>
      <c r="SF174" s="16"/>
      <c r="SG174" s="16"/>
      <c r="SH174" s="16"/>
      <c r="SI174" s="16"/>
      <c r="SJ174" s="16"/>
      <c r="SK174" s="16"/>
      <c r="SL174" s="16"/>
      <c r="SM174" s="16"/>
      <c r="SN174" s="16"/>
      <c r="SO174" s="16"/>
      <c r="SP174" s="16"/>
      <c r="SQ174" s="16"/>
      <c r="SR174" s="16"/>
      <c r="SS174" s="16"/>
      <c r="ST174" s="16"/>
      <c r="SU174" s="16"/>
      <c r="SV174" s="16"/>
      <c r="SW174" s="16"/>
      <c r="SX174" s="16"/>
      <c r="SY174" s="16"/>
      <c r="SZ174" s="16"/>
      <c r="TA174" s="16"/>
      <c r="TB174" s="16"/>
      <c r="TC174" s="16"/>
      <c r="TD174" s="16"/>
      <c r="TE174" s="16"/>
      <c r="TF174" s="16"/>
      <c r="TG174" s="16"/>
      <c r="TH174" s="16"/>
      <c r="TI174" s="16"/>
      <c r="TJ174" s="16"/>
      <c r="TK174" s="16"/>
      <c r="TL174" s="16"/>
      <c r="TM174" s="16"/>
      <c r="TN174" s="16"/>
      <c r="TO174" s="16"/>
      <c r="TP174" s="16"/>
      <c r="TQ174" s="16"/>
      <c r="TR174" s="16"/>
      <c r="TS174" s="16"/>
      <c r="TT174" s="16"/>
      <c r="TU174" s="16"/>
      <c r="TV174" s="16"/>
      <c r="TW174" s="16"/>
      <c r="TX174" s="16"/>
      <c r="TY174" s="16"/>
      <c r="TZ174" s="16"/>
      <c r="UA174" s="16"/>
      <c r="UB174" s="16"/>
      <c r="UC174" s="16"/>
      <c r="UD174" s="16"/>
      <c r="UE174" s="16"/>
      <c r="UF174" s="16"/>
      <c r="UG174" s="16"/>
      <c r="UH174" s="16"/>
      <c r="UI174" s="16"/>
      <c r="UJ174" s="16"/>
      <c r="UK174" s="16"/>
      <c r="UL174" s="16"/>
      <c r="UM174" s="16"/>
      <c r="UN174" s="16"/>
      <c r="UO174" s="16"/>
      <c r="UP174" s="16"/>
      <c r="UQ174" s="16"/>
      <c r="UR174" s="16"/>
      <c r="US174" s="16"/>
      <c r="UT174" s="16"/>
      <c r="UU174" s="16"/>
      <c r="UV174" s="16"/>
      <c r="UW174" s="16"/>
      <c r="UX174" s="16"/>
      <c r="UY174" s="16"/>
      <c r="UZ174" s="16"/>
      <c r="VA174" s="16"/>
      <c r="VB174" s="16"/>
      <c r="VC174" s="16"/>
      <c r="VD174" s="16"/>
      <c r="VE174" s="16"/>
      <c r="VF174" s="16"/>
      <c r="VG174" s="16"/>
      <c r="VH174" s="16"/>
      <c r="VI174" s="16"/>
      <c r="VJ174" s="16"/>
      <c r="VK174" s="16"/>
      <c r="VL174" s="16"/>
      <c r="VM174" s="16"/>
      <c r="VN174" s="16"/>
      <c r="VO174" s="16"/>
      <c r="VP174" s="16"/>
      <c r="VQ174" s="16"/>
      <c r="VR174" s="16"/>
      <c r="VS174" s="16"/>
      <c r="VT174" s="16"/>
      <c r="VU174" s="16"/>
      <c r="VV174" s="16"/>
      <c r="VW174" s="16"/>
      <c r="VX174" s="16"/>
      <c r="VY174" s="16"/>
      <c r="VZ174" s="16"/>
      <c r="WA174" s="16"/>
      <c r="WB174" s="16"/>
      <c r="WC174" s="16"/>
      <c r="WD174" s="16"/>
      <c r="WE174" s="16"/>
      <c r="WF174" s="16"/>
      <c r="WG174" s="16"/>
      <c r="WH174" s="16"/>
      <c r="WI174" s="16"/>
      <c r="WJ174" s="16"/>
      <c r="WK174" s="16"/>
      <c r="WL174" s="16"/>
      <c r="WM174" s="16"/>
      <c r="WN174" s="16"/>
      <c r="WO174" s="16"/>
      <c r="WP174" s="16"/>
      <c r="WQ174" s="16"/>
      <c r="WR174" s="16"/>
      <c r="WS174" s="16"/>
      <c r="WT174" s="16"/>
      <c r="WU174" s="16"/>
      <c r="WV174" s="16"/>
      <c r="WW174" s="16"/>
      <c r="WX174" s="16"/>
      <c r="WY174" s="16"/>
      <c r="WZ174" s="16"/>
      <c r="XA174" s="16"/>
      <c r="XB174" s="16"/>
      <c r="XC174" s="16"/>
      <c r="XD174" s="16"/>
      <c r="XE174" s="16"/>
      <c r="XF174" s="16"/>
      <c r="XG174" s="16"/>
      <c r="XH174" s="16"/>
      <c r="XI174" s="16"/>
      <c r="XJ174" s="16"/>
      <c r="XK174" s="16"/>
      <c r="XL174" s="16"/>
      <c r="XM174" s="16"/>
      <c r="XN174" s="16"/>
      <c r="XO174" s="16"/>
      <c r="XP174" s="16"/>
      <c r="XQ174" s="16"/>
      <c r="XR174" s="16"/>
      <c r="XS174" s="16"/>
      <c r="XT174" s="16"/>
      <c r="XU174" s="16"/>
      <c r="XV174" s="16"/>
      <c r="XW174" s="16"/>
      <c r="XX174" s="16"/>
      <c r="XY174" s="16"/>
      <c r="XZ174" s="16"/>
      <c r="YA174" s="16"/>
      <c r="YB174" s="16"/>
      <c r="YC174" s="16"/>
      <c r="YD174" s="16"/>
      <c r="YE174" s="16"/>
      <c r="YF174" s="16"/>
      <c r="YG174" s="16"/>
      <c r="YH174" s="16"/>
      <c r="YI174" s="16"/>
      <c r="YJ174" s="16"/>
      <c r="YK174" s="16"/>
      <c r="YL174" s="16"/>
      <c r="YM174" s="16"/>
      <c r="YN174" s="16"/>
      <c r="YO174" s="16"/>
      <c r="YP174" s="16"/>
      <c r="YQ174" s="16"/>
      <c r="YR174" s="16"/>
      <c r="YS174" s="16"/>
      <c r="YT174" s="16"/>
      <c r="YU174" s="16"/>
      <c r="YV174" s="16"/>
      <c r="YW174" s="16"/>
      <c r="YX174" s="16"/>
      <c r="YY174" s="16"/>
      <c r="YZ174" s="16"/>
      <c r="ZA174" s="16"/>
      <c r="ZB174" s="16"/>
      <c r="ZC174" s="16"/>
      <c r="ZD174" s="16"/>
      <c r="ZE174" s="16"/>
      <c r="ZF174" s="16"/>
      <c r="ZG174" s="16"/>
      <c r="ZH174" s="16"/>
      <c r="ZI174" s="16"/>
      <c r="ZJ174" s="16"/>
      <c r="ZK174" s="16"/>
      <c r="ZL174" s="16"/>
      <c r="ZM174" s="16"/>
      <c r="ZN174" s="16"/>
      <c r="ZO174" s="16"/>
      <c r="ZP174" s="16"/>
      <c r="ZQ174" s="16"/>
      <c r="ZR174" s="16"/>
      <c r="ZS174" s="16"/>
      <c r="ZT174" s="16"/>
      <c r="ZU174" s="16"/>
      <c r="ZV174" s="16"/>
      <c r="ZW174" s="16"/>
      <c r="ZX174" s="16"/>
      <c r="ZY174" s="16"/>
      <c r="ZZ174" s="16"/>
      <c r="AAA174" s="16"/>
      <c r="AAB174" s="16"/>
      <c r="AAC174" s="16"/>
    </row>
    <row r="175" spans="1:705" s="16" customFormat="1" ht="44.1" hidden="1" customHeight="1" x14ac:dyDescent="0.3">
      <c r="A175" s="26">
        <v>171</v>
      </c>
      <c r="B175" s="138">
        <v>240899</v>
      </c>
      <c r="C175" s="136">
        <v>171</v>
      </c>
      <c r="D175" s="139">
        <v>45946</v>
      </c>
      <c r="E175" s="139">
        <f t="shared" si="27"/>
        <v>45945</v>
      </c>
      <c r="F175" s="139">
        <f t="shared" si="26"/>
        <v>45956</v>
      </c>
      <c r="G175" s="139">
        <v>46038</v>
      </c>
      <c r="H175" s="139">
        <v>46111</v>
      </c>
      <c r="I175" s="139" t="s">
        <v>321</v>
      </c>
      <c r="J175" s="140" t="s">
        <v>452</v>
      </c>
      <c r="K175" s="141">
        <f t="shared" si="28"/>
        <v>155</v>
      </c>
      <c r="L175" s="141">
        <v>1156120</v>
      </c>
      <c r="M175" s="140" t="s">
        <v>15</v>
      </c>
      <c r="N175" s="140">
        <v>810557</v>
      </c>
      <c r="O175" s="137" t="s">
        <v>246</v>
      </c>
      <c r="P175" s="143">
        <v>46016</v>
      </c>
      <c r="Q175" s="143">
        <v>46184</v>
      </c>
      <c r="R175" s="185" t="s">
        <v>211</v>
      </c>
      <c r="S175" s="144" t="s">
        <v>453</v>
      </c>
      <c r="T175" s="145">
        <v>1</v>
      </c>
      <c r="U175" s="186" t="s">
        <v>122</v>
      </c>
      <c r="V175" s="146">
        <v>14</v>
      </c>
      <c r="W175" s="146">
        <v>14</v>
      </c>
      <c r="X175" s="147">
        <v>0</v>
      </c>
      <c r="Y175" s="146">
        <v>0</v>
      </c>
      <c r="Z175" s="146">
        <v>0</v>
      </c>
      <c r="AA175" s="146">
        <v>0</v>
      </c>
      <c r="AB175" s="146">
        <v>5</v>
      </c>
      <c r="AC175" s="146">
        <v>5</v>
      </c>
      <c r="AD175" s="146">
        <v>0</v>
      </c>
      <c r="AE175" s="146">
        <v>0</v>
      </c>
      <c r="AF175" s="146">
        <v>0</v>
      </c>
      <c r="AG175" s="146">
        <v>0</v>
      </c>
      <c r="AH175" s="146">
        <v>0</v>
      </c>
      <c r="AI175" s="146">
        <v>0</v>
      </c>
      <c r="AJ175" s="146">
        <v>0</v>
      </c>
      <c r="AK175" s="146">
        <v>0</v>
      </c>
      <c r="AL175" s="146">
        <v>1</v>
      </c>
      <c r="AM175" s="146">
        <v>1</v>
      </c>
      <c r="AN175" s="146">
        <v>3</v>
      </c>
      <c r="AO175" s="146">
        <v>3</v>
      </c>
      <c r="AP175" s="146">
        <v>2</v>
      </c>
      <c r="AQ175" s="146">
        <v>2</v>
      </c>
      <c r="AR175" s="146">
        <v>0</v>
      </c>
      <c r="AS175" s="146">
        <v>0</v>
      </c>
      <c r="AT175" s="146">
        <v>1</v>
      </c>
      <c r="AU175" s="146">
        <v>1</v>
      </c>
      <c r="AV175" s="146">
        <v>0</v>
      </c>
      <c r="AW175" s="146">
        <v>0</v>
      </c>
      <c r="AX175" s="146">
        <f t="shared" si="25"/>
        <v>3505</v>
      </c>
      <c r="AY175" s="146">
        <f t="shared" si="20"/>
        <v>3505</v>
      </c>
      <c r="AZ175" s="140" t="s">
        <v>562</v>
      </c>
      <c r="BA175" s="140" t="s">
        <v>562</v>
      </c>
      <c r="BB175" s="137">
        <v>10</v>
      </c>
      <c r="BC175" s="187">
        <v>171</v>
      </c>
      <c r="BD175" s="149"/>
      <c r="BE175" s="145"/>
      <c r="BF175" s="150"/>
      <c r="BG175" s="188">
        <v>46112</v>
      </c>
      <c r="BH175" s="153" t="s">
        <v>535</v>
      </c>
      <c r="BI175" s="153" t="s">
        <v>562</v>
      </c>
    </row>
    <row r="176" spans="1:705" s="16" customFormat="1" ht="44.1" hidden="1" customHeight="1" x14ac:dyDescent="0.3">
      <c r="A176" s="26">
        <v>172</v>
      </c>
      <c r="B176" s="138">
        <v>240745</v>
      </c>
      <c r="C176" s="136">
        <v>172</v>
      </c>
      <c r="D176" s="139">
        <v>45943</v>
      </c>
      <c r="E176" s="139">
        <f t="shared" si="27"/>
        <v>45942</v>
      </c>
      <c r="F176" s="139">
        <f t="shared" si="26"/>
        <v>45953</v>
      </c>
      <c r="G176" s="139">
        <v>45992</v>
      </c>
      <c r="H176" s="139">
        <v>46028</v>
      </c>
      <c r="I176" s="139" t="s">
        <v>321</v>
      </c>
      <c r="J176" s="140" t="s">
        <v>440</v>
      </c>
      <c r="K176" s="141">
        <f t="shared" si="28"/>
        <v>75</v>
      </c>
      <c r="L176" s="141">
        <v>1154395</v>
      </c>
      <c r="M176" s="140" t="s">
        <v>15</v>
      </c>
      <c r="N176" s="142">
        <v>810943</v>
      </c>
      <c r="O176" s="140" t="s">
        <v>246</v>
      </c>
      <c r="P176" s="143">
        <v>46021</v>
      </c>
      <c r="Q176" s="143">
        <v>46198</v>
      </c>
      <c r="R176" s="185" t="s">
        <v>211</v>
      </c>
      <c r="S176" s="144" t="s">
        <v>441</v>
      </c>
      <c r="T176" s="145">
        <v>1</v>
      </c>
      <c r="U176" s="186" t="s">
        <v>106</v>
      </c>
      <c r="V176" s="146">
        <v>100</v>
      </c>
      <c r="W176" s="146">
        <v>100</v>
      </c>
      <c r="X176" s="147">
        <v>0</v>
      </c>
      <c r="Y176" s="146"/>
      <c r="Z176" s="146">
        <v>0</v>
      </c>
      <c r="AA176" s="146">
        <v>0</v>
      </c>
      <c r="AB176" s="146">
        <v>88</v>
      </c>
      <c r="AC176" s="146">
        <v>88</v>
      </c>
      <c r="AD176" s="146">
        <v>0</v>
      </c>
      <c r="AE176" s="146">
        <v>0</v>
      </c>
      <c r="AF176" s="146">
        <v>0</v>
      </c>
      <c r="AG176" s="146">
        <v>0</v>
      </c>
      <c r="AH176" s="146">
        <v>1</v>
      </c>
      <c r="AI176" s="146">
        <v>1</v>
      </c>
      <c r="AJ176" s="146">
        <v>0</v>
      </c>
      <c r="AK176" s="146">
        <v>0</v>
      </c>
      <c r="AL176" s="146">
        <v>1</v>
      </c>
      <c r="AM176" s="146">
        <v>1</v>
      </c>
      <c r="AN176" s="146">
        <v>1</v>
      </c>
      <c r="AO176" s="146">
        <v>1</v>
      </c>
      <c r="AP176" s="146">
        <v>2</v>
      </c>
      <c r="AQ176" s="146">
        <v>2</v>
      </c>
      <c r="AR176" s="146">
        <v>0</v>
      </c>
      <c r="AS176" s="146">
        <v>0</v>
      </c>
      <c r="AT176" s="146">
        <v>1</v>
      </c>
      <c r="AU176" s="146">
        <v>1</v>
      </c>
      <c r="AV176" s="146">
        <v>0</v>
      </c>
      <c r="AW176" s="146">
        <v>0</v>
      </c>
      <c r="AX176" s="146">
        <f t="shared" si="25"/>
        <v>13446</v>
      </c>
      <c r="AY176" s="146">
        <f t="shared" si="20"/>
        <v>13446</v>
      </c>
      <c r="AZ176" s="140" t="s">
        <v>562</v>
      </c>
      <c r="BA176" s="140" t="s">
        <v>562</v>
      </c>
      <c r="BB176" s="137">
        <v>7</v>
      </c>
      <c r="BC176" s="187">
        <v>172</v>
      </c>
      <c r="BD176" s="149"/>
      <c r="BE176" s="145"/>
      <c r="BF176" s="150"/>
      <c r="BG176" s="188">
        <v>46023</v>
      </c>
      <c r="BH176" s="153" t="s">
        <v>535</v>
      </c>
      <c r="BI176" s="153" t="s">
        <v>562</v>
      </c>
    </row>
    <row r="177" spans="1:705" s="16" customFormat="1" ht="44.1" hidden="1" customHeight="1" x14ac:dyDescent="0.3">
      <c r="A177" s="26">
        <v>173</v>
      </c>
      <c r="B177" s="138">
        <v>240763</v>
      </c>
      <c r="C177" s="136">
        <v>173</v>
      </c>
      <c r="D177" s="139">
        <v>45943</v>
      </c>
      <c r="E177" s="139">
        <f t="shared" si="27"/>
        <v>45942</v>
      </c>
      <c r="F177" s="139">
        <f t="shared" si="26"/>
        <v>45953</v>
      </c>
      <c r="G177" s="139">
        <v>45992</v>
      </c>
      <c r="H177" s="139">
        <v>46054</v>
      </c>
      <c r="I177" s="139" t="s">
        <v>321</v>
      </c>
      <c r="J177" s="140" t="s">
        <v>442</v>
      </c>
      <c r="K177" s="141">
        <f t="shared" si="28"/>
        <v>101</v>
      </c>
      <c r="L177" s="141">
        <v>1154429</v>
      </c>
      <c r="M177" s="140" t="s">
        <v>15</v>
      </c>
      <c r="N177" s="140">
        <v>810945</v>
      </c>
      <c r="O177" s="137" t="s">
        <v>246</v>
      </c>
      <c r="P177" s="143">
        <v>46020</v>
      </c>
      <c r="Q177" s="143">
        <v>46198</v>
      </c>
      <c r="R177" s="185" t="s">
        <v>211</v>
      </c>
      <c r="S177" s="144" t="s">
        <v>443</v>
      </c>
      <c r="T177" s="145">
        <v>1</v>
      </c>
      <c r="U177" s="186" t="s">
        <v>82</v>
      </c>
      <c r="V177" s="146">
        <v>288</v>
      </c>
      <c r="W177" s="146">
        <v>288</v>
      </c>
      <c r="X177" s="147">
        <v>0</v>
      </c>
      <c r="Y177" s="146"/>
      <c r="Z177" s="146">
        <v>0</v>
      </c>
      <c r="AA177" s="146">
        <v>0</v>
      </c>
      <c r="AB177" s="146">
        <v>0</v>
      </c>
      <c r="AC177" s="146"/>
      <c r="AD177" s="146">
        <v>0</v>
      </c>
      <c r="AE177" s="146">
        <v>0</v>
      </c>
      <c r="AF177" s="146">
        <v>0</v>
      </c>
      <c r="AG177" s="146">
        <v>0</v>
      </c>
      <c r="AH177" s="146">
        <v>0</v>
      </c>
      <c r="AI177" s="146">
        <v>0</v>
      </c>
      <c r="AJ177" s="146">
        <v>0</v>
      </c>
      <c r="AK177" s="146"/>
      <c r="AL177" s="146">
        <v>1</v>
      </c>
      <c r="AM177" s="146">
        <v>1</v>
      </c>
      <c r="AN177" s="146">
        <v>1</v>
      </c>
      <c r="AO177" s="146">
        <v>1</v>
      </c>
      <c r="AP177" s="146">
        <v>1</v>
      </c>
      <c r="AQ177" s="146">
        <v>1</v>
      </c>
      <c r="AR177" s="146">
        <v>0</v>
      </c>
      <c r="AS177" s="146">
        <v>0</v>
      </c>
      <c r="AT177" s="146">
        <v>0</v>
      </c>
      <c r="AU177" s="146">
        <v>0</v>
      </c>
      <c r="AV177" s="146">
        <v>0</v>
      </c>
      <c r="AW177" s="146">
        <v>0</v>
      </c>
      <c r="AX177" s="146">
        <f t="shared" si="25"/>
        <v>18560</v>
      </c>
      <c r="AY177" s="146">
        <f t="shared" si="20"/>
        <v>18560</v>
      </c>
      <c r="AZ177" s="140" t="s">
        <v>562</v>
      </c>
      <c r="BA177" s="140" t="s">
        <v>562</v>
      </c>
      <c r="BB177" s="137">
        <v>7</v>
      </c>
      <c r="BC177" s="187">
        <v>173</v>
      </c>
      <c r="BD177" s="149"/>
      <c r="BE177" s="145"/>
      <c r="BF177" s="150"/>
      <c r="BG177" s="188">
        <v>46023</v>
      </c>
      <c r="BH177" s="153" t="s">
        <v>535</v>
      </c>
      <c r="BI177" s="153" t="s">
        <v>562</v>
      </c>
    </row>
    <row r="178" spans="1:705" s="16" customFormat="1" ht="44.1" hidden="1" customHeight="1" x14ac:dyDescent="0.3">
      <c r="A178" s="26">
        <v>174</v>
      </c>
      <c r="B178" s="138">
        <v>240768</v>
      </c>
      <c r="C178" s="136">
        <v>174</v>
      </c>
      <c r="D178" s="139">
        <v>45943</v>
      </c>
      <c r="E178" s="139">
        <f t="shared" si="27"/>
        <v>45942</v>
      </c>
      <c r="F178" s="139">
        <f t="shared" si="26"/>
        <v>45953</v>
      </c>
      <c r="G178" s="139">
        <v>46004</v>
      </c>
      <c r="H178" s="139">
        <v>45978</v>
      </c>
      <c r="I178" s="139" t="s">
        <v>123</v>
      </c>
      <c r="J178" s="140" t="s">
        <v>444</v>
      </c>
      <c r="K178" s="141">
        <f t="shared" si="28"/>
        <v>25</v>
      </c>
      <c r="L178" s="141">
        <v>1154438</v>
      </c>
      <c r="M178" s="140" t="s">
        <v>15</v>
      </c>
      <c r="N178" s="140">
        <v>806345</v>
      </c>
      <c r="O178" s="137" t="s">
        <v>246</v>
      </c>
      <c r="P178" s="143">
        <v>45958</v>
      </c>
      <c r="Q178" s="143">
        <v>46135</v>
      </c>
      <c r="R178" s="185" t="s">
        <v>211</v>
      </c>
      <c r="S178" s="144" t="s">
        <v>445</v>
      </c>
      <c r="T178" s="145">
        <v>1</v>
      </c>
      <c r="U178" s="186" t="s">
        <v>81</v>
      </c>
      <c r="V178" s="146">
        <v>16</v>
      </c>
      <c r="W178" s="146">
        <v>16</v>
      </c>
      <c r="X178" s="147">
        <v>0</v>
      </c>
      <c r="Y178" s="146">
        <v>0</v>
      </c>
      <c r="Z178" s="146">
        <v>0</v>
      </c>
      <c r="AA178" s="146">
        <v>0</v>
      </c>
      <c r="AB178" s="146">
        <v>16</v>
      </c>
      <c r="AC178" s="146">
        <v>16</v>
      </c>
      <c r="AD178" s="146">
        <v>0</v>
      </c>
      <c r="AE178" s="146">
        <v>0</v>
      </c>
      <c r="AF178" s="146">
        <v>0</v>
      </c>
      <c r="AG178" s="146">
        <v>0</v>
      </c>
      <c r="AH178" s="146">
        <v>1</v>
      </c>
      <c r="AI178" s="146">
        <v>1</v>
      </c>
      <c r="AJ178" s="146">
        <v>0</v>
      </c>
      <c r="AK178" s="146">
        <v>0</v>
      </c>
      <c r="AL178" s="146">
        <v>0</v>
      </c>
      <c r="AM178" s="146"/>
      <c r="AN178" s="146">
        <v>2</v>
      </c>
      <c r="AO178" s="146">
        <v>2</v>
      </c>
      <c r="AP178" s="146">
        <v>2</v>
      </c>
      <c r="AQ178" s="146">
        <v>2</v>
      </c>
      <c r="AR178" s="146">
        <v>0</v>
      </c>
      <c r="AS178" s="146">
        <v>0</v>
      </c>
      <c r="AT178" s="146">
        <v>0</v>
      </c>
      <c r="AU178" s="146"/>
      <c r="AV178" s="146">
        <v>1</v>
      </c>
      <c r="AW178" s="146">
        <v>1</v>
      </c>
      <c r="AX178" s="146">
        <f t="shared" si="25"/>
        <v>4372</v>
      </c>
      <c r="AY178" s="146">
        <f t="shared" si="20"/>
        <v>4372</v>
      </c>
      <c r="AZ178" s="140" t="s">
        <v>562</v>
      </c>
      <c r="BA178" s="140" t="s">
        <v>562</v>
      </c>
      <c r="BB178" s="137">
        <v>5</v>
      </c>
      <c r="BC178" s="187">
        <v>174</v>
      </c>
      <c r="BD178" s="149"/>
      <c r="BE178" s="145"/>
      <c r="BF178" s="150"/>
      <c r="BG178" s="188">
        <v>45962</v>
      </c>
      <c r="BH178" s="153" t="s">
        <v>15</v>
      </c>
      <c r="BI178" s="153" t="s">
        <v>562</v>
      </c>
    </row>
    <row r="179" spans="1:705" s="16" customFormat="1" ht="44.1" hidden="1" customHeight="1" x14ac:dyDescent="0.3">
      <c r="A179" s="26">
        <v>175</v>
      </c>
      <c r="B179" s="138">
        <v>240776</v>
      </c>
      <c r="C179" s="138">
        <v>175</v>
      </c>
      <c r="D179" s="139">
        <v>45943</v>
      </c>
      <c r="E179" s="139">
        <f t="shared" si="27"/>
        <v>45942</v>
      </c>
      <c r="F179" s="139">
        <f t="shared" si="26"/>
        <v>45953</v>
      </c>
      <c r="G179" s="139">
        <v>45953</v>
      </c>
      <c r="H179" s="139">
        <v>45953</v>
      </c>
      <c r="I179" s="139" t="s">
        <v>75</v>
      </c>
      <c r="J179" s="140" t="s">
        <v>434</v>
      </c>
      <c r="K179" s="141">
        <f t="shared" si="28"/>
        <v>0</v>
      </c>
      <c r="L179" s="141">
        <v>1154470</v>
      </c>
      <c r="M179" s="140" t="s">
        <v>15</v>
      </c>
      <c r="N179" s="140">
        <v>806207</v>
      </c>
      <c r="O179" s="137" t="s">
        <v>246</v>
      </c>
      <c r="P179" s="143">
        <v>45950</v>
      </c>
      <c r="Q179" s="143">
        <v>45965</v>
      </c>
      <c r="R179" s="185" t="s">
        <v>211</v>
      </c>
      <c r="S179" s="144" t="s">
        <v>435</v>
      </c>
      <c r="T179" s="145">
        <v>1</v>
      </c>
      <c r="U179" s="186" t="s">
        <v>82</v>
      </c>
      <c r="V179" s="146">
        <v>6</v>
      </c>
      <c r="W179" s="146">
        <v>6</v>
      </c>
      <c r="X179" s="147">
        <v>0</v>
      </c>
      <c r="Y179" s="146"/>
      <c r="Z179" s="146">
        <v>0</v>
      </c>
      <c r="AA179" s="146">
        <v>0</v>
      </c>
      <c r="AB179" s="146">
        <v>0</v>
      </c>
      <c r="AC179" s="146"/>
      <c r="AD179" s="146">
        <v>0</v>
      </c>
      <c r="AE179" s="146">
        <v>0</v>
      </c>
      <c r="AF179" s="146">
        <v>0</v>
      </c>
      <c r="AG179" s="146">
        <v>0</v>
      </c>
      <c r="AH179" s="146">
        <v>1</v>
      </c>
      <c r="AI179" s="146">
        <v>1</v>
      </c>
      <c r="AJ179" s="146">
        <v>0</v>
      </c>
      <c r="AK179" s="146">
        <v>0</v>
      </c>
      <c r="AL179" s="146">
        <v>0</v>
      </c>
      <c r="AM179" s="146"/>
      <c r="AN179" s="146">
        <v>0</v>
      </c>
      <c r="AO179" s="146">
        <v>0</v>
      </c>
      <c r="AP179" s="146">
        <v>1</v>
      </c>
      <c r="AQ179" s="146">
        <v>1</v>
      </c>
      <c r="AR179" s="146">
        <v>0</v>
      </c>
      <c r="AS179" s="146">
        <v>0</v>
      </c>
      <c r="AT179" s="146">
        <v>1</v>
      </c>
      <c r="AU179" s="146">
        <v>1</v>
      </c>
      <c r="AV179" s="146">
        <v>0</v>
      </c>
      <c r="AW179" s="146">
        <v>0</v>
      </c>
      <c r="AX179" s="146">
        <f t="shared" si="25"/>
        <v>1510</v>
      </c>
      <c r="AY179" s="146">
        <f t="shared" si="20"/>
        <v>1510</v>
      </c>
      <c r="AZ179" s="140" t="s">
        <v>562</v>
      </c>
      <c r="BA179" s="140" t="s">
        <v>562</v>
      </c>
      <c r="BB179" s="137">
        <v>2</v>
      </c>
      <c r="BC179" s="187">
        <v>175</v>
      </c>
      <c r="BD179" s="149"/>
      <c r="BE179" s="145"/>
      <c r="BF179" s="150"/>
      <c r="BG179" s="188">
        <v>45931</v>
      </c>
      <c r="BH179" s="153" t="s">
        <v>535</v>
      </c>
      <c r="BI179" s="153" t="s">
        <v>562</v>
      </c>
    </row>
    <row r="180" spans="1:705" s="16" customFormat="1" ht="44.1" hidden="1" customHeight="1" x14ac:dyDescent="0.3">
      <c r="A180" s="26">
        <v>176</v>
      </c>
      <c r="B180" s="138">
        <v>240796</v>
      </c>
      <c r="C180" s="138">
        <v>176</v>
      </c>
      <c r="D180" s="139">
        <v>45944</v>
      </c>
      <c r="E180" s="139">
        <f t="shared" si="27"/>
        <v>45943</v>
      </c>
      <c r="F180" s="139">
        <f t="shared" si="26"/>
        <v>45954</v>
      </c>
      <c r="G180" s="139">
        <v>46005</v>
      </c>
      <c r="H180" s="139">
        <v>45985</v>
      </c>
      <c r="I180" s="139" t="s">
        <v>123</v>
      </c>
      <c r="J180" s="140" t="s">
        <v>460</v>
      </c>
      <c r="K180" s="141">
        <f t="shared" si="28"/>
        <v>31</v>
      </c>
      <c r="L180" s="141">
        <v>1154600</v>
      </c>
      <c r="M180" s="140" t="s">
        <v>15</v>
      </c>
      <c r="N180" s="140">
        <v>806352</v>
      </c>
      <c r="O180" s="137" t="s">
        <v>246</v>
      </c>
      <c r="P180" s="143">
        <v>45965</v>
      </c>
      <c r="Q180" s="143">
        <v>46135</v>
      </c>
      <c r="R180" s="185" t="s">
        <v>211</v>
      </c>
      <c r="S180" s="144" t="s">
        <v>461</v>
      </c>
      <c r="T180" s="145">
        <v>1</v>
      </c>
      <c r="U180" s="186" t="s">
        <v>160</v>
      </c>
      <c r="V180" s="146">
        <v>32</v>
      </c>
      <c r="W180" s="146">
        <v>32</v>
      </c>
      <c r="X180" s="147">
        <v>0</v>
      </c>
      <c r="Y180" s="146">
        <v>0</v>
      </c>
      <c r="Z180" s="146">
        <v>0</v>
      </c>
      <c r="AA180" s="146">
        <v>0</v>
      </c>
      <c r="AB180" s="146">
        <v>26</v>
      </c>
      <c r="AC180" s="146">
        <v>26</v>
      </c>
      <c r="AD180" s="146">
        <v>0</v>
      </c>
      <c r="AE180" s="146">
        <v>0</v>
      </c>
      <c r="AF180" s="146">
        <v>0</v>
      </c>
      <c r="AG180" s="146">
        <v>0</v>
      </c>
      <c r="AH180" s="146">
        <v>1</v>
      </c>
      <c r="AI180" s="146">
        <v>1</v>
      </c>
      <c r="AJ180" s="146">
        <v>0</v>
      </c>
      <c r="AK180" s="146">
        <v>0</v>
      </c>
      <c r="AL180" s="146">
        <v>2</v>
      </c>
      <c r="AM180" s="146">
        <v>2</v>
      </c>
      <c r="AN180" s="146">
        <v>4</v>
      </c>
      <c r="AO180" s="146">
        <v>4</v>
      </c>
      <c r="AP180" s="146">
        <v>3</v>
      </c>
      <c r="AQ180" s="146">
        <v>3</v>
      </c>
      <c r="AR180" s="146">
        <v>0</v>
      </c>
      <c r="AS180" s="146">
        <v>0</v>
      </c>
      <c r="AT180" s="146">
        <v>0</v>
      </c>
      <c r="AU180" s="146">
        <v>0</v>
      </c>
      <c r="AV180" s="146">
        <v>1</v>
      </c>
      <c r="AW180" s="146">
        <v>1</v>
      </c>
      <c r="AX180" s="146">
        <f t="shared" si="25"/>
        <v>7832</v>
      </c>
      <c r="AY180" s="146">
        <f t="shared" si="20"/>
        <v>7832</v>
      </c>
      <c r="AZ180" s="140" t="s">
        <v>562</v>
      </c>
      <c r="BA180" s="140" t="s">
        <v>562</v>
      </c>
      <c r="BB180" s="137">
        <v>4</v>
      </c>
      <c r="BC180" s="187">
        <v>176</v>
      </c>
      <c r="BD180" s="149"/>
      <c r="BE180" s="145"/>
      <c r="BF180" s="150"/>
      <c r="BG180" s="188">
        <v>45962</v>
      </c>
      <c r="BH180" s="153" t="s">
        <v>535</v>
      </c>
      <c r="BI180" s="153" t="s">
        <v>562</v>
      </c>
    </row>
    <row r="181" spans="1:705" s="16" customFormat="1" ht="44.1" hidden="1" customHeight="1" x14ac:dyDescent="0.3">
      <c r="A181" s="26">
        <v>177</v>
      </c>
      <c r="B181" s="138">
        <v>240798</v>
      </c>
      <c r="C181" s="138">
        <v>177</v>
      </c>
      <c r="D181" s="139">
        <v>45944</v>
      </c>
      <c r="E181" s="139">
        <f t="shared" si="27"/>
        <v>45943</v>
      </c>
      <c r="F181" s="139">
        <f t="shared" si="26"/>
        <v>45954</v>
      </c>
      <c r="G181" s="139">
        <v>46005</v>
      </c>
      <c r="H181" s="139">
        <v>46016</v>
      </c>
      <c r="I181" s="139" t="s">
        <v>123</v>
      </c>
      <c r="J181" s="140" t="s">
        <v>462</v>
      </c>
      <c r="K181" s="141">
        <f t="shared" si="28"/>
        <v>62</v>
      </c>
      <c r="L181" s="141">
        <v>1154609</v>
      </c>
      <c r="M181" s="140" t="s">
        <v>15</v>
      </c>
      <c r="N181" s="140">
        <v>806353</v>
      </c>
      <c r="O181" s="137" t="s">
        <v>246</v>
      </c>
      <c r="P181" s="143">
        <v>45972</v>
      </c>
      <c r="Q181" s="143">
        <v>46135</v>
      </c>
      <c r="R181" s="185" t="s">
        <v>211</v>
      </c>
      <c r="S181" s="144" t="s">
        <v>463</v>
      </c>
      <c r="T181" s="145">
        <v>1</v>
      </c>
      <c r="U181" s="186" t="s">
        <v>450</v>
      </c>
      <c r="V181" s="146">
        <v>48</v>
      </c>
      <c r="W181" s="146">
        <v>48</v>
      </c>
      <c r="X181" s="147">
        <v>0</v>
      </c>
      <c r="Y181" s="146">
        <v>0</v>
      </c>
      <c r="Z181" s="146">
        <v>0</v>
      </c>
      <c r="AA181" s="146">
        <v>0</v>
      </c>
      <c r="AB181" s="146">
        <v>27</v>
      </c>
      <c r="AC181" s="146">
        <v>27</v>
      </c>
      <c r="AD181" s="146">
        <v>0</v>
      </c>
      <c r="AE181" s="146">
        <v>0</v>
      </c>
      <c r="AF181" s="146">
        <v>0</v>
      </c>
      <c r="AG181" s="146">
        <v>0</v>
      </c>
      <c r="AH181" s="146">
        <v>2</v>
      </c>
      <c r="AI181" s="146">
        <v>2</v>
      </c>
      <c r="AJ181" s="146">
        <v>0</v>
      </c>
      <c r="AK181" s="146">
        <v>0</v>
      </c>
      <c r="AL181" s="146">
        <v>0</v>
      </c>
      <c r="AM181" s="146">
        <v>0</v>
      </c>
      <c r="AN181" s="146">
        <v>3</v>
      </c>
      <c r="AO181" s="146">
        <v>3</v>
      </c>
      <c r="AP181" s="146">
        <v>3</v>
      </c>
      <c r="AQ181" s="146">
        <v>3</v>
      </c>
      <c r="AR181" s="146">
        <v>0</v>
      </c>
      <c r="AS181" s="146">
        <v>0</v>
      </c>
      <c r="AT181" s="146">
        <v>1</v>
      </c>
      <c r="AU181" s="146">
        <v>1</v>
      </c>
      <c r="AV181" s="146">
        <v>0</v>
      </c>
      <c r="AW181" s="146">
        <v>0</v>
      </c>
      <c r="AX181" s="146">
        <f t="shared" si="25"/>
        <v>7179</v>
      </c>
      <c r="AY181" s="146">
        <f t="shared" ref="AY181:AY244" si="29">(W181*60)+(Y181*80)+(AA181*38)+(AC181*57)+(AE181*75)+(AG181*155)+(AI181*170)+(AK181*375)+(AM181*590)+(AO181*60)+(AQ181*630)+(AS181*400)+(AU181*350)+(AW181*950)</f>
        <v>7179</v>
      </c>
      <c r="AZ181" s="140" t="s">
        <v>562</v>
      </c>
      <c r="BA181" s="140" t="s">
        <v>562</v>
      </c>
      <c r="BB181" s="137">
        <v>7</v>
      </c>
      <c r="BC181" s="187">
        <v>177</v>
      </c>
      <c r="BD181" s="149"/>
      <c r="BE181" s="145"/>
      <c r="BF181" s="150"/>
      <c r="BG181" s="188">
        <v>45992</v>
      </c>
      <c r="BH181" s="153" t="s">
        <v>535</v>
      </c>
      <c r="BI181" s="153" t="s">
        <v>562</v>
      </c>
    </row>
    <row r="182" spans="1:705" s="182" customFormat="1" ht="44.1" hidden="1" customHeight="1" x14ac:dyDescent="0.3">
      <c r="A182" s="26">
        <v>178</v>
      </c>
      <c r="B182" s="138">
        <v>240843</v>
      </c>
      <c r="C182" s="138">
        <v>178</v>
      </c>
      <c r="D182" s="139">
        <v>45944</v>
      </c>
      <c r="E182" s="139">
        <f t="shared" si="27"/>
        <v>45943</v>
      </c>
      <c r="F182" s="139">
        <f t="shared" si="26"/>
        <v>45954</v>
      </c>
      <c r="G182" s="139">
        <v>46036</v>
      </c>
      <c r="H182" s="139">
        <v>46048</v>
      </c>
      <c r="I182" s="139" t="s">
        <v>321</v>
      </c>
      <c r="J182" s="140" t="s">
        <v>446</v>
      </c>
      <c r="K182" s="141">
        <f t="shared" si="28"/>
        <v>94</v>
      </c>
      <c r="L182" s="141">
        <v>1155036</v>
      </c>
      <c r="M182" s="140" t="s">
        <v>15</v>
      </c>
      <c r="N182" s="140">
        <v>810945</v>
      </c>
      <c r="O182" s="137" t="s">
        <v>246</v>
      </c>
      <c r="P182" s="143">
        <v>46020</v>
      </c>
      <c r="Q182" s="143">
        <v>46198</v>
      </c>
      <c r="R182" s="185" t="s">
        <v>211</v>
      </c>
      <c r="S182" s="144" t="s">
        <v>447</v>
      </c>
      <c r="T182" s="145">
        <v>1</v>
      </c>
      <c r="U182" s="186" t="s">
        <v>82</v>
      </c>
      <c r="V182" s="146">
        <v>208</v>
      </c>
      <c r="W182" s="146">
        <v>208</v>
      </c>
      <c r="X182" s="147">
        <v>0</v>
      </c>
      <c r="Y182" s="146"/>
      <c r="Z182" s="146">
        <v>0</v>
      </c>
      <c r="AA182" s="146"/>
      <c r="AB182" s="146">
        <v>0</v>
      </c>
      <c r="AC182" s="146"/>
      <c r="AD182" s="146">
        <v>0</v>
      </c>
      <c r="AE182" s="146">
        <v>0</v>
      </c>
      <c r="AF182" s="146">
        <v>0</v>
      </c>
      <c r="AG182" s="146"/>
      <c r="AH182" s="146">
        <v>0</v>
      </c>
      <c r="AI182" s="146"/>
      <c r="AJ182" s="146">
        <v>1</v>
      </c>
      <c r="AK182" s="146">
        <v>1</v>
      </c>
      <c r="AL182" s="146">
        <v>1</v>
      </c>
      <c r="AM182" s="146">
        <v>1</v>
      </c>
      <c r="AN182" s="146">
        <v>1</v>
      </c>
      <c r="AO182" s="146">
        <v>1</v>
      </c>
      <c r="AP182" s="146">
        <v>0</v>
      </c>
      <c r="AQ182" s="146"/>
      <c r="AR182" s="146">
        <v>0</v>
      </c>
      <c r="AS182" s="146">
        <v>0</v>
      </c>
      <c r="AT182" s="146">
        <v>0</v>
      </c>
      <c r="AU182" s="146"/>
      <c r="AV182" s="146">
        <v>0</v>
      </c>
      <c r="AW182" s="146">
        <v>0</v>
      </c>
      <c r="AX182" s="146">
        <f t="shared" ref="AX182:AX213" si="30">(V182*60)+(X182*80)+(Z182*38)+(AB182*57)+(AD182*75)+(AF182*155)+(AH182*170)+(AJ182*375)+(AL182*590)+(AN182*60)+(AP182*630)+(AR182*400)+(AT182*350)+(AV182*950)</f>
        <v>13505</v>
      </c>
      <c r="AY182" s="146">
        <f t="shared" si="29"/>
        <v>13505</v>
      </c>
      <c r="AZ182" s="140" t="s">
        <v>562</v>
      </c>
      <c r="BA182" s="140" t="s">
        <v>562</v>
      </c>
      <c r="BB182" s="137">
        <v>6</v>
      </c>
      <c r="BC182" s="187">
        <v>178</v>
      </c>
      <c r="BD182" s="149"/>
      <c r="BE182" s="145"/>
      <c r="BF182" s="150"/>
      <c r="BG182" s="236">
        <v>46048</v>
      </c>
      <c r="BH182" s="153" t="s">
        <v>535</v>
      </c>
      <c r="BI182" s="153" t="s">
        <v>562</v>
      </c>
      <c r="BJ182" s="16"/>
      <c r="BK182" s="16"/>
      <c r="BL182" s="16"/>
      <c r="BM182" s="16"/>
      <c r="BN182" s="16"/>
      <c r="BO182" s="16"/>
      <c r="BP182" s="16"/>
      <c r="BQ182" s="16"/>
      <c r="BR182" s="16"/>
      <c r="BS182" s="16"/>
      <c r="BT182" s="16"/>
      <c r="BU182" s="16"/>
      <c r="BV182" s="16"/>
      <c r="BW182" s="16"/>
      <c r="BX182" s="16"/>
      <c r="BY182" s="16"/>
      <c r="BZ182" s="16"/>
      <c r="CA182" s="16"/>
      <c r="CB182" s="16"/>
      <c r="CC182" s="16"/>
      <c r="CD182" s="16"/>
      <c r="CE182" s="16"/>
      <c r="CF182" s="16"/>
      <c r="CG182" s="16"/>
      <c r="CH182" s="16"/>
      <c r="CI182" s="16"/>
      <c r="CJ182" s="16"/>
      <c r="CK182" s="16"/>
      <c r="CL182" s="16"/>
      <c r="CM182" s="16"/>
      <c r="CN182" s="16"/>
      <c r="CO182" s="16"/>
      <c r="CP182" s="16"/>
      <c r="CQ182" s="16"/>
      <c r="CR182" s="16"/>
      <c r="CS182" s="16"/>
      <c r="CT182" s="16"/>
      <c r="CU182" s="16"/>
      <c r="CV182" s="16"/>
      <c r="CW182" s="16"/>
      <c r="CX182" s="16"/>
      <c r="CY182" s="16"/>
      <c r="CZ182" s="16"/>
      <c r="DA182" s="16"/>
      <c r="DB182" s="16"/>
      <c r="DC182" s="16"/>
      <c r="DD182" s="16"/>
      <c r="DE182" s="16"/>
      <c r="DF182" s="16"/>
      <c r="DG182" s="16"/>
      <c r="DH182" s="16"/>
      <c r="DI182" s="16"/>
      <c r="DJ182" s="16"/>
      <c r="DK182" s="16"/>
      <c r="DL182" s="16"/>
      <c r="DM182" s="16"/>
      <c r="DN182" s="16"/>
      <c r="DO182" s="16"/>
      <c r="DP182" s="16"/>
      <c r="DQ182" s="16"/>
      <c r="DR182" s="16"/>
      <c r="DS182" s="16"/>
      <c r="DT182" s="16"/>
      <c r="DU182" s="16"/>
      <c r="DV182" s="16"/>
      <c r="DW182" s="16"/>
      <c r="DX182" s="16"/>
      <c r="DY182" s="16"/>
      <c r="DZ182" s="16"/>
      <c r="EA182" s="16"/>
      <c r="EB182" s="16"/>
      <c r="EC182" s="16"/>
      <c r="ED182" s="16"/>
      <c r="EE182" s="16"/>
      <c r="EF182" s="16"/>
      <c r="EG182" s="16"/>
      <c r="EH182" s="16"/>
      <c r="EI182" s="16"/>
      <c r="EJ182" s="16"/>
      <c r="EK182" s="16"/>
      <c r="EL182" s="16"/>
      <c r="EM182" s="16"/>
      <c r="EN182" s="16"/>
      <c r="EO182" s="16"/>
      <c r="EP182" s="16"/>
      <c r="EQ182" s="16"/>
      <c r="ER182" s="16"/>
      <c r="ES182" s="16"/>
      <c r="ET182" s="16"/>
      <c r="EU182" s="16"/>
      <c r="EV182" s="16"/>
      <c r="EW182" s="16"/>
      <c r="EX182" s="16"/>
      <c r="EY182" s="16"/>
      <c r="EZ182" s="16"/>
      <c r="FA182" s="16"/>
      <c r="FB182" s="16"/>
      <c r="FC182" s="16"/>
      <c r="FD182" s="16"/>
      <c r="FE182" s="16"/>
      <c r="FF182" s="16"/>
      <c r="FG182" s="16"/>
      <c r="FH182" s="16"/>
      <c r="FI182" s="16"/>
      <c r="FJ182" s="16"/>
      <c r="FK182" s="16"/>
      <c r="FL182" s="16"/>
      <c r="FM182" s="16"/>
      <c r="FN182" s="16"/>
      <c r="FO182" s="16"/>
      <c r="FP182" s="16"/>
      <c r="FQ182" s="16"/>
      <c r="FR182" s="16"/>
      <c r="FS182" s="16"/>
      <c r="FT182" s="16"/>
      <c r="FU182" s="16"/>
      <c r="FV182" s="16"/>
      <c r="FW182" s="16"/>
      <c r="FX182" s="16"/>
      <c r="FY182" s="16"/>
      <c r="FZ182" s="16"/>
      <c r="GA182" s="16"/>
      <c r="GB182" s="16"/>
      <c r="GC182" s="16"/>
      <c r="GD182" s="16"/>
      <c r="GE182" s="16"/>
      <c r="GF182" s="16"/>
      <c r="GG182" s="16"/>
      <c r="GH182" s="16"/>
      <c r="GI182" s="16"/>
      <c r="GJ182" s="16"/>
      <c r="GK182" s="16"/>
      <c r="GL182" s="16"/>
      <c r="GM182" s="16"/>
      <c r="GN182" s="16"/>
      <c r="GO182" s="16"/>
      <c r="GP182" s="16"/>
      <c r="GQ182" s="16"/>
      <c r="GR182" s="16"/>
      <c r="GS182" s="16"/>
      <c r="GT182" s="16"/>
      <c r="GU182" s="16"/>
      <c r="GV182" s="16"/>
      <c r="GW182" s="16"/>
      <c r="GX182" s="16"/>
      <c r="GY182" s="16"/>
      <c r="GZ182" s="16"/>
      <c r="HA182" s="16"/>
      <c r="HB182" s="16"/>
      <c r="HC182" s="16"/>
      <c r="HD182" s="16"/>
      <c r="HE182" s="16"/>
      <c r="HF182" s="16"/>
      <c r="HG182" s="16"/>
      <c r="HH182" s="16"/>
      <c r="HI182" s="16"/>
      <c r="HJ182" s="16"/>
      <c r="HK182" s="16"/>
      <c r="HL182" s="16"/>
      <c r="HM182" s="16"/>
      <c r="HN182" s="16"/>
      <c r="HO182" s="16"/>
      <c r="HP182" s="16"/>
      <c r="HQ182" s="16"/>
      <c r="HR182" s="16"/>
      <c r="HS182" s="16"/>
      <c r="HT182" s="16"/>
      <c r="HU182" s="16"/>
      <c r="HV182" s="16"/>
      <c r="HW182" s="16"/>
      <c r="HX182" s="16"/>
      <c r="HY182" s="16"/>
      <c r="HZ182" s="16"/>
      <c r="IA182" s="16"/>
      <c r="IB182" s="16"/>
      <c r="IC182" s="16"/>
      <c r="ID182" s="16"/>
      <c r="IE182" s="16"/>
      <c r="IF182" s="16"/>
      <c r="IG182" s="16"/>
      <c r="IH182" s="16"/>
      <c r="II182" s="16"/>
      <c r="IJ182" s="16"/>
      <c r="IK182" s="16"/>
      <c r="IL182" s="16"/>
      <c r="IM182" s="16"/>
      <c r="IN182" s="16"/>
      <c r="IO182" s="16"/>
      <c r="IP182" s="16"/>
      <c r="IQ182" s="16"/>
      <c r="IR182" s="16"/>
      <c r="IS182" s="16"/>
      <c r="IT182" s="16"/>
      <c r="IU182" s="16"/>
      <c r="IV182" s="16"/>
      <c r="IW182" s="16"/>
      <c r="IX182" s="16"/>
      <c r="IY182" s="16"/>
      <c r="IZ182" s="16"/>
      <c r="JA182" s="16"/>
      <c r="JB182" s="16"/>
      <c r="JC182" s="16"/>
      <c r="JD182" s="16"/>
      <c r="JE182" s="16"/>
      <c r="JF182" s="16"/>
      <c r="JG182" s="16"/>
      <c r="JH182" s="16"/>
      <c r="JI182" s="16"/>
      <c r="JJ182" s="16"/>
      <c r="JK182" s="16"/>
      <c r="JL182" s="16"/>
      <c r="JM182" s="16"/>
      <c r="JN182" s="16"/>
      <c r="JO182" s="16"/>
      <c r="JP182" s="16"/>
      <c r="JQ182" s="16"/>
      <c r="JR182" s="16"/>
      <c r="JS182" s="16"/>
      <c r="JT182" s="16"/>
      <c r="JU182" s="16"/>
      <c r="JV182" s="16"/>
      <c r="JW182" s="16"/>
      <c r="JX182" s="16"/>
      <c r="JY182" s="16"/>
      <c r="JZ182" s="16"/>
      <c r="KA182" s="16"/>
      <c r="KB182" s="16"/>
      <c r="KC182" s="16"/>
      <c r="KD182" s="16"/>
      <c r="KE182" s="16"/>
      <c r="KF182" s="16"/>
      <c r="KG182" s="16"/>
      <c r="KH182" s="16"/>
      <c r="KI182" s="16"/>
      <c r="KJ182" s="16"/>
      <c r="KK182" s="16"/>
      <c r="KL182" s="16"/>
      <c r="KM182" s="16"/>
      <c r="KN182" s="16"/>
      <c r="KO182" s="16"/>
      <c r="KP182" s="16"/>
      <c r="KQ182" s="16"/>
      <c r="KR182" s="16"/>
      <c r="KS182" s="16"/>
      <c r="KT182" s="16"/>
      <c r="KU182" s="16"/>
      <c r="KV182" s="16"/>
      <c r="KW182" s="16"/>
      <c r="KX182" s="16"/>
      <c r="KY182" s="16"/>
      <c r="KZ182" s="16"/>
      <c r="LA182" s="16"/>
      <c r="LB182" s="16"/>
      <c r="LC182" s="16"/>
      <c r="LD182" s="16"/>
      <c r="LE182" s="16"/>
      <c r="LF182" s="16"/>
      <c r="LG182" s="16"/>
      <c r="LH182" s="16"/>
      <c r="LI182" s="16"/>
      <c r="LJ182" s="16"/>
      <c r="LK182" s="16"/>
      <c r="LL182" s="16"/>
      <c r="LM182" s="16"/>
      <c r="LN182" s="16"/>
      <c r="LO182" s="16"/>
      <c r="LP182" s="16"/>
      <c r="LQ182" s="16"/>
      <c r="LR182" s="16"/>
      <c r="LS182" s="16"/>
      <c r="LT182" s="16"/>
      <c r="LU182" s="16"/>
      <c r="LV182" s="16"/>
      <c r="LW182" s="16"/>
      <c r="LX182" s="16"/>
      <c r="LY182" s="16"/>
      <c r="LZ182" s="16"/>
      <c r="MA182" s="16"/>
      <c r="MB182" s="16"/>
      <c r="MC182" s="16"/>
      <c r="MD182" s="16"/>
      <c r="ME182" s="16"/>
      <c r="MF182" s="16"/>
      <c r="MG182" s="16"/>
      <c r="MH182" s="16"/>
      <c r="MI182" s="16"/>
      <c r="MJ182" s="16"/>
      <c r="MK182" s="16"/>
      <c r="ML182" s="16"/>
      <c r="MM182" s="16"/>
      <c r="MN182" s="16"/>
      <c r="MO182" s="16"/>
      <c r="MP182" s="16"/>
      <c r="MQ182" s="16"/>
      <c r="MR182" s="16"/>
      <c r="MS182" s="16"/>
      <c r="MT182" s="16"/>
      <c r="MU182" s="16"/>
      <c r="MV182" s="16"/>
      <c r="MW182" s="16"/>
      <c r="MX182" s="16"/>
      <c r="MY182" s="16"/>
      <c r="MZ182" s="16"/>
      <c r="NA182" s="16"/>
      <c r="NB182" s="16"/>
      <c r="NC182" s="16"/>
      <c r="ND182" s="16"/>
      <c r="NE182" s="16"/>
      <c r="NF182" s="16"/>
      <c r="NG182" s="16"/>
      <c r="NH182" s="16"/>
      <c r="NI182" s="16"/>
      <c r="NJ182" s="16"/>
      <c r="NK182" s="16"/>
      <c r="NL182" s="16"/>
      <c r="NM182" s="16"/>
      <c r="NN182" s="16"/>
      <c r="NO182" s="16"/>
      <c r="NP182" s="16"/>
      <c r="NQ182" s="16"/>
      <c r="NR182" s="16"/>
      <c r="NS182" s="16"/>
      <c r="NT182" s="16"/>
      <c r="NU182" s="16"/>
      <c r="NV182" s="16"/>
      <c r="NW182" s="16"/>
      <c r="NX182" s="16"/>
      <c r="NY182" s="16"/>
      <c r="NZ182" s="16"/>
      <c r="OA182" s="16"/>
      <c r="OB182" s="16"/>
      <c r="OC182" s="16"/>
      <c r="OD182" s="16"/>
      <c r="OE182" s="16"/>
      <c r="OF182" s="16"/>
      <c r="OG182" s="16"/>
      <c r="OH182" s="16"/>
      <c r="OI182" s="16"/>
      <c r="OJ182" s="16"/>
      <c r="OK182" s="16"/>
      <c r="OL182" s="16"/>
      <c r="OM182" s="16"/>
      <c r="ON182" s="16"/>
      <c r="OO182" s="16"/>
      <c r="OP182" s="16"/>
      <c r="OQ182" s="16"/>
      <c r="OR182" s="16"/>
      <c r="OS182" s="16"/>
      <c r="OT182" s="16"/>
      <c r="OU182" s="16"/>
      <c r="OV182" s="16"/>
      <c r="OW182" s="16"/>
      <c r="OX182" s="16"/>
      <c r="OY182" s="16"/>
      <c r="OZ182" s="16"/>
      <c r="PA182" s="16"/>
      <c r="PB182" s="16"/>
      <c r="PC182" s="16"/>
      <c r="PD182" s="16"/>
      <c r="PE182" s="16"/>
      <c r="PF182" s="16"/>
      <c r="PG182" s="16"/>
      <c r="PH182" s="16"/>
      <c r="PI182" s="16"/>
      <c r="PJ182" s="16"/>
      <c r="PK182" s="16"/>
      <c r="PL182" s="16"/>
      <c r="PM182" s="16"/>
      <c r="PN182" s="16"/>
      <c r="PO182" s="16"/>
      <c r="PP182" s="16"/>
      <c r="PQ182" s="16"/>
      <c r="PR182" s="16"/>
      <c r="PS182" s="16"/>
      <c r="PT182" s="16"/>
      <c r="PU182" s="16"/>
      <c r="PV182" s="16"/>
      <c r="PW182" s="16"/>
      <c r="PX182" s="16"/>
      <c r="PY182" s="16"/>
      <c r="PZ182" s="16"/>
      <c r="QA182" s="16"/>
      <c r="QB182" s="16"/>
      <c r="QC182" s="16"/>
      <c r="QD182" s="16"/>
      <c r="QE182" s="16"/>
      <c r="QF182" s="16"/>
      <c r="QG182" s="16"/>
      <c r="QH182" s="16"/>
      <c r="QI182" s="16"/>
      <c r="QJ182" s="16"/>
      <c r="QK182" s="16"/>
      <c r="QL182" s="16"/>
      <c r="QM182" s="16"/>
      <c r="QN182" s="16"/>
      <c r="QO182" s="16"/>
      <c r="QP182" s="16"/>
      <c r="QQ182" s="16"/>
      <c r="QR182" s="16"/>
      <c r="QS182" s="16"/>
      <c r="QT182" s="16"/>
      <c r="QU182" s="16"/>
      <c r="QV182" s="16"/>
      <c r="QW182" s="16"/>
      <c r="QX182" s="16"/>
      <c r="QY182" s="16"/>
      <c r="QZ182" s="16"/>
      <c r="RA182" s="16"/>
      <c r="RB182" s="16"/>
      <c r="RC182" s="16"/>
      <c r="RD182" s="16"/>
      <c r="RE182" s="16"/>
      <c r="RF182" s="16"/>
      <c r="RG182" s="16"/>
      <c r="RH182" s="16"/>
      <c r="RI182" s="16"/>
      <c r="RJ182" s="16"/>
      <c r="RK182" s="16"/>
      <c r="RL182" s="16"/>
      <c r="RM182" s="16"/>
      <c r="RN182" s="16"/>
      <c r="RO182" s="16"/>
      <c r="RP182" s="16"/>
      <c r="RQ182" s="16"/>
      <c r="RR182" s="16"/>
      <c r="RS182" s="16"/>
      <c r="RT182" s="16"/>
      <c r="RU182" s="16"/>
      <c r="RV182" s="16"/>
      <c r="RW182" s="16"/>
      <c r="RX182" s="16"/>
      <c r="RY182" s="16"/>
      <c r="RZ182" s="16"/>
      <c r="SA182" s="16"/>
      <c r="SB182" s="16"/>
      <c r="SC182" s="16"/>
      <c r="SD182" s="16"/>
      <c r="SE182" s="16"/>
      <c r="SF182" s="16"/>
      <c r="SG182" s="16"/>
      <c r="SH182" s="16"/>
      <c r="SI182" s="16"/>
      <c r="SJ182" s="16"/>
      <c r="SK182" s="16"/>
      <c r="SL182" s="16"/>
      <c r="SM182" s="16"/>
      <c r="SN182" s="16"/>
      <c r="SO182" s="16"/>
      <c r="SP182" s="16"/>
      <c r="SQ182" s="16"/>
      <c r="SR182" s="16"/>
      <c r="SS182" s="16"/>
      <c r="ST182" s="16"/>
      <c r="SU182" s="16"/>
      <c r="SV182" s="16"/>
      <c r="SW182" s="16"/>
      <c r="SX182" s="16"/>
      <c r="SY182" s="16"/>
      <c r="SZ182" s="16"/>
      <c r="TA182" s="16"/>
      <c r="TB182" s="16"/>
      <c r="TC182" s="16"/>
      <c r="TD182" s="16"/>
      <c r="TE182" s="16"/>
      <c r="TF182" s="16"/>
      <c r="TG182" s="16"/>
      <c r="TH182" s="16"/>
      <c r="TI182" s="16"/>
      <c r="TJ182" s="16"/>
      <c r="TK182" s="16"/>
      <c r="TL182" s="16"/>
      <c r="TM182" s="16"/>
      <c r="TN182" s="16"/>
      <c r="TO182" s="16"/>
      <c r="TP182" s="16"/>
      <c r="TQ182" s="16"/>
      <c r="TR182" s="16"/>
      <c r="TS182" s="16"/>
      <c r="TT182" s="16"/>
      <c r="TU182" s="16"/>
      <c r="TV182" s="16"/>
      <c r="TW182" s="16"/>
      <c r="TX182" s="16"/>
      <c r="TY182" s="16"/>
      <c r="TZ182" s="16"/>
      <c r="UA182" s="16"/>
      <c r="UB182" s="16"/>
      <c r="UC182" s="16"/>
      <c r="UD182" s="16"/>
      <c r="UE182" s="16"/>
      <c r="UF182" s="16"/>
      <c r="UG182" s="16"/>
      <c r="UH182" s="16"/>
      <c r="UI182" s="16"/>
      <c r="UJ182" s="16"/>
      <c r="UK182" s="16"/>
      <c r="UL182" s="16"/>
      <c r="UM182" s="16"/>
      <c r="UN182" s="16"/>
      <c r="UO182" s="16"/>
      <c r="UP182" s="16"/>
      <c r="UQ182" s="16"/>
      <c r="UR182" s="16"/>
      <c r="US182" s="16"/>
      <c r="UT182" s="16"/>
      <c r="UU182" s="16"/>
      <c r="UV182" s="16"/>
      <c r="UW182" s="16"/>
      <c r="UX182" s="16"/>
      <c r="UY182" s="16"/>
      <c r="UZ182" s="16"/>
      <c r="VA182" s="16"/>
      <c r="VB182" s="16"/>
      <c r="VC182" s="16"/>
      <c r="VD182" s="16"/>
      <c r="VE182" s="16"/>
      <c r="VF182" s="16"/>
      <c r="VG182" s="16"/>
      <c r="VH182" s="16"/>
      <c r="VI182" s="16"/>
      <c r="VJ182" s="16"/>
      <c r="VK182" s="16"/>
      <c r="VL182" s="16"/>
      <c r="VM182" s="16"/>
      <c r="VN182" s="16"/>
      <c r="VO182" s="16"/>
      <c r="VP182" s="16"/>
      <c r="VQ182" s="16"/>
      <c r="VR182" s="16"/>
      <c r="VS182" s="16"/>
      <c r="VT182" s="16"/>
      <c r="VU182" s="16"/>
      <c r="VV182" s="16"/>
      <c r="VW182" s="16"/>
      <c r="VX182" s="16"/>
      <c r="VY182" s="16"/>
      <c r="VZ182" s="16"/>
      <c r="WA182" s="16"/>
      <c r="WB182" s="16"/>
      <c r="WC182" s="16"/>
      <c r="WD182" s="16"/>
      <c r="WE182" s="16"/>
      <c r="WF182" s="16"/>
      <c r="WG182" s="16"/>
      <c r="WH182" s="16"/>
      <c r="WI182" s="16"/>
      <c r="WJ182" s="16"/>
      <c r="WK182" s="16"/>
      <c r="WL182" s="16"/>
      <c r="WM182" s="16"/>
      <c r="WN182" s="16"/>
      <c r="WO182" s="16"/>
      <c r="WP182" s="16"/>
      <c r="WQ182" s="16"/>
      <c r="WR182" s="16"/>
      <c r="WS182" s="16"/>
      <c r="WT182" s="16"/>
      <c r="WU182" s="16"/>
      <c r="WV182" s="16"/>
      <c r="WW182" s="16"/>
      <c r="WX182" s="16"/>
      <c r="WY182" s="16"/>
      <c r="WZ182" s="16"/>
      <c r="XA182" s="16"/>
      <c r="XB182" s="16"/>
      <c r="XC182" s="16"/>
      <c r="XD182" s="16"/>
      <c r="XE182" s="16"/>
      <c r="XF182" s="16"/>
      <c r="XG182" s="16"/>
      <c r="XH182" s="16"/>
      <c r="XI182" s="16"/>
      <c r="XJ182" s="16"/>
      <c r="XK182" s="16"/>
      <c r="XL182" s="16"/>
      <c r="XM182" s="16"/>
      <c r="XN182" s="16"/>
      <c r="XO182" s="16"/>
      <c r="XP182" s="16"/>
      <c r="XQ182" s="16"/>
      <c r="XR182" s="16"/>
      <c r="XS182" s="16"/>
      <c r="XT182" s="16"/>
      <c r="XU182" s="16"/>
      <c r="XV182" s="16"/>
      <c r="XW182" s="16"/>
      <c r="XX182" s="16"/>
      <c r="XY182" s="16"/>
      <c r="XZ182" s="16"/>
      <c r="YA182" s="16"/>
      <c r="YB182" s="16"/>
      <c r="YC182" s="16"/>
      <c r="YD182" s="16"/>
      <c r="YE182" s="16"/>
      <c r="YF182" s="16"/>
      <c r="YG182" s="16"/>
      <c r="YH182" s="16"/>
      <c r="YI182" s="16"/>
      <c r="YJ182" s="16"/>
      <c r="YK182" s="16"/>
      <c r="YL182" s="16"/>
      <c r="YM182" s="16"/>
      <c r="YN182" s="16"/>
      <c r="YO182" s="16"/>
      <c r="YP182" s="16"/>
      <c r="YQ182" s="16"/>
      <c r="YR182" s="16"/>
      <c r="YS182" s="16"/>
      <c r="YT182" s="16"/>
      <c r="YU182" s="16"/>
      <c r="YV182" s="16"/>
      <c r="YW182" s="16"/>
      <c r="YX182" s="16"/>
      <c r="YY182" s="16"/>
      <c r="YZ182" s="16"/>
      <c r="ZA182" s="16"/>
      <c r="ZB182" s="16"/>
      <c r="ZC182" s="16"/>
      <c r="ZD182" s="16"/>
      <c r="ZE182" s="16"/>
      <c r="ZF182" s="16"/>
      <c r="ZG182" s="16"/>
      <c r="ZH182" s="16"/>
      <c r="ZI182" s="16"/>
      <c r="ZJ182" s="16"/>
      <c r="ZK182" s="16"/>
      <c r="ZL182" s="16"/>
      <c r="ZM182" s="16"/>
      <c r="ZN182" s="16"/>
      <c r="ZO182" s="16"/>
      <c r="ZP182" s="16"/>
      <c r="ZQ182" s="16"/>
      <c r="ZR182" s="16"/>
      <c r="ZS182" s="16"/>
      <c r="ZT182" s="16"/>
      <c r="ZU182" s="16"/>
      <c r="ZV182" s="16"/>
      <c r="ZW182" s="16"/>
      <c r="ZX182" s="16"/>
      <c r="ZY182" s="16"/>
      <c r="ZZ182" s="16"/>
      <c r="AAA182" s="16"/>
      <c r="AAB182" s="16"/>
      <c r="AAC182" s="16"/>
    </row>
    <row r="183" spans="1:705" s="16" customFormat="1" ht="44.1" hidden="1" customHeight="1" x14ac:dyDescent="0.3">
      <c r="A183" s="26">
        <v>179</v>
      </c>
      <c r="B183" s="138">
        <v>240904</v>
      </c>
      <c r="C183" s="138">
        <v>179</v>
      </c>
      <c r="D183" s="139">
        <v>45946</v>
      </c>
      <c r="E183" s="139">
        <f t="shared" si="27"/>
        <v>45945</v>
      </c>
      <c r="F183" s="139">
        <f t="shared" si="26"/>
        <v>45956</v>
      </c>
      <c r="G183" s="139">
        <v>46038</v>
      </c>
      <c r="H183" s="139">
        <v>46135</v>
      </c>
      <c r="I183" s="139" t="s">
        <v>321</v>
      </c>
      <c r="J183" s="140" t="s">
        <v>454</v>
      </c>
      <c r="K183" s="141">
        <f t="shared" si="28"/>
        <v>179</v>
      </c>
      <c r="L183" s="141">
        <v>1156135</v>
      </c>
      <c r="M183" s="140" t="s">
        <v>15</v>
      </c>
      <c r="N183" s="140" t="s">
        <v>1236</v>
      </c>
      <c r="O183" s="137" t="s">
        <v>246</v>
      </c>
      <c r="P183" s="143">
        <v>46016</v>
      </c>
      <c r="Q183" s="143">
        <v>46165</v>
      </c>
      <c r="R183" s="185" t="s">
        <v>211</v>
      </c>
      <c r="S183" s="144" t="s">
        <v>455</v>
      </c>
      <c r="T183" s="145">
        <v>1</v>
      </c>
      <c r="U183" s="186" t="s">
        <v>122</v>
      </c>
      <c r="V183" s="146">
        <v>83</v>
      </c>
      <c r="W183" s="146">
        <v>83</v>
      </c>
      <c r="X183" s="147">
        <v>32</v>
      </c>
      <c r="Y183" s="146">
        <v>32</v>
      </c>
      <c r="Z183" s="146">
        <v>0</v>
      </c>
      <c r="AA183" s="146">
        <v>0</v>
      </c>
      <c r="AB183" s="146">
        <v>26</v>
      </c>
      <c r="AC183" s="146">
        <v>26</v>
      </c>
      <c r="AD183" s="146">
        <v>0</v>
      </c>
      <c r="AE183" s="146">
        <v>0</v>
      </c>
      <c r="AF183" s="146">
        <v>40</v>
      </c>
      <c r="AG183" s="146">
        <v>40</v>
      </c>
      <c r="AH183" s="146">
        <v>0</v>
      </c>
      <c r="AI183" s="146">
        <v>0</v>
      </c>
      <c r="AJ183" s="146">
        <v>0</v>
      </c>
      <c r="AK183" s="146">
        <v>0</v>
      </c>
      <c r="AL183" s="146">
        <v>2</v>
      </c>
      <c r="AM183" s="146">
        <v>2</v>
      </c>
      <c r="AN183" s="146">
        <v>2</v>
      </c>
      <c r="AO183" s="146">
        <v>2</v>
      </c>
      <c r="AP183" s="146">
        <v>1</v>
      </c>
      <c r="AQ183" s="146">
        <v>1</v>
      </c>
      <c r="AR183" s="146">
        <v>0</v>
      </c>
      <c r="AS183" s="146">
        <v>0</v>
      </c>
      <c r="AT183" s="146">
        <v>0</v>
      </c>
      <c r="AU183" s="146">
        <v>0</v>
      </c>
      <c r="AV183" s="146">
        <v>0</v>
      </c>
      <c r="AW183" s="146">
        <v>0</v>
      </c>
      <c r="AX183" s="146">
        <f t="shared" si="30"/>
        <v>17152</v>
      </c>
      <c r="AY183" s="146">
        <f t="shared" si="29"/>
        <v>17152</v>
      </c>
      <c r="AZ183" s="137" t="s">
        <v>562</v>
      </c>
      <c r="BA183" s="137" t="s">
        <v>562</v>
      </c>
      <c r="BB183" s="137">
        <v>11</v>
      </c>
      <c r="BC183" s="187">
        <v>179</v>
      </c>
      <c r="BD183" s="149"/>
      <c r="BE183" s="145"/>
      <c r="BF183" s="150"/>
      <c r="BG183" s="236">
        <v>46131</v>
      </c>
      <c r="BH183" s="153" t="s">
        <v>535</v>
      </c>
      <c r="BI183" s="153" t="s">
        <v>562</v>
      </c>
      <c r="BK183" s="238"/>
    </row>
    <row r="184" spans="1:705" s="235" customFormat="1" ht="44.1" hidden="1" customHeight="1" x14ac:dyDescent="0.3">
      <c r="A184" s="26">
        <v>180</v>
      </c>
      <c r="B184" s="138">
        <v>240906</v>
      </c>
      <c r="C184" s="138">
        <v>180</v>
      </c>
      <c r="D184" s="139">
        <v>45946</v>
      </c>
      <c r="E184" s="139">
        <f t="shared" si="27"/>
        <v>45945</v>
      </c>
      <c r="F184" s="139">
        <f t="shared" si="26"/>
        <v>45956</v>
      </c>
      <c r="G184" s="139">
        <v>46038</v>
      </c>
      <c r="H184" s="139">
        <v>46054</v>
      </c>
      <c r="I184" s="139" t="s">
        <v>321</v>
      </c>
      <c r="J184" s="140" t="s">
        <v>456</v>
      </c>
      <c r="K184" s="141">
        <f t="shared" si="28"/>
        <v>98</v>
      </c>
      <c r="L184" s="141">
        <v>1156143</v>
      </c>
      <c r="M184" s="140" t="s">
        <v>15</v>
      </c>
      <c r="N184" s="140">
        <v>810557</v>
      </c>
      <c r="O184" s="137" t="s">
        <v>246</v>
      </c>
      <c r="P184" s="143">
        <v>46016</v>
      </c>
      <c r="Q184" s="143">
        <v>46184</v>
      </c>
      <c r="R184" s="185" t="s">
        <v>1235</v>
      </c>
      <c r="S184" s="144" t="s">
        <v>457</v>
      </c>
      <c r="T184" s="145">
        <v>1</v>
      </c>
      <c r="U184" s="186" t="s">
        <v>122</v>
      </c>
      <c r="V184" s="146">
        <v>114</v>
      </c>
      <c r="W184" s="146">
        <v>114</v>
      </c>
      <c r="X184" s="147">
        <v>0</v>
      </c>
      <c r="Y184" s="146">
        <v>0</v>
      </c>
      <c r="Z184" s="146">
        <v>0</v>
      </c>
      <c r="AA184" s="146">
        <v>0</v>
      </c>
      <c r="AB184" s="146">
        <v>114</v>
      </c>
      <c r="AC184" s="146">
        <v>114</v>
      </c>
      <c r="AD184" s="146">
        <v>0</v>
      </c>
      <c r="AE184" s="146">
        <v>0</v>
      </c>
      <c r="AF184" s="146">
        <v>0</v>
      </c>
      <c r="AG184" s="146">
        <v>0</v>
      </c>
      <c r="AH184" s="146">
        <v>0</v>
      </c>
      <c r="AI184" s="146">
        <v>0</v>
      </c>
      <c r="AJ184" s="146">
        <v>0</v>
      </c>
      <c r="AK184" s="146">
        <v>0</v>
      </c>
      <c r="AL184" s="146">
        <v>0</v>
      </c>
      <c r="AM184" s="146"/>
      <c r="AN184" s="146">
        <v>1</v>
      </c>
      <c r="AO184" s="146">
        <v>1</v>
      </c>
      <c r="AP184" s="146">
        <v>1</v>
      </c>
      <c r="AQ184" s="146">
        <v>1</v>
      </c>
      <c r="AR184" s="146">
        <v>0</v>
      </c>
      <c r="AS184" s="146">
        <v>0</v>
      </c>
      <c r="AT184" s="146">
        <v>0</v>
      </c>
      <c r="AU184" s="146"/>
      <c r="AV184" s="146">
        <v>0</v>
      </c>
      <c r="AW184" s="146">
        <v>0</v>
      </c>
      <c r="AX184" s="146">
        <f t="shared" si="30"/>
        <v>14028</v>
      </c>
      <c r="AY184" s="146">
        <f t="shared" si="29"/>
        <v>14028</v>
      </c>
      <c r="AZ184" s="140" t="s">
        <v>562</v>
      </c>
      <c r="BA184" s="140" t="s">
        <v>562</v>
      </c>
      <c r="BB184" s="137">
        <v>9</v>
      </c>
      <c r="BC184" s="187">
        <v>180</v>
      </c>
      <c r="BD184" s="149"/>
      <c r="BE184" s="145"/>
      <c r="BF184" s="150"/>
      <c r="BG184" s="188">
        <v>46054</v>
      </c>
      <c r="BH184" s="153" t="s">
        <v>15</v>
      </c>
      <c r="BI184" s="153" t="s">
        <v>562</v>
      </c>
      <c r="BJ184" s="16"/>
      <c r="BK184" s="16"/>
      <c r="BL184" s="16"/>
      <c r="BM184" s="16"/>
      <c r="BN184" s="16"/>
      <c r="BO184" s="16"/>
      <c r="BP184" s="16"/>
      <c r="BQ184" s="16"/>
      <c r="BR184" s="16"/>
      <c r="BS184" s="16"/>
      <c r="BT184" s="16"/>
      <c r="BU184" s="16"/>
      <c r="BV184" s="16"/>
      <c r="BW184" s="16"/>
      <c r="BX184" s="16"/>
      <c r="BY184" s="16"/>
      <c r="BZ184" s="16"/>
      <c r="CA184" s="16"/>
      <c r="CB184" s="16"/>
      <c r="CC184" s="16"/>
      <c r="CD184" s="16"/>
      <c r="CE184" s="16"/>
      <c r="CF184" s="16"/>
      <c r="CG184" s="16"/>
      <c r="CH184" s="16"/>
      <c r="CI184" s="16"/>
      <c r="CJ184" s="16"/>
      <c r="CK184" s="16"/>
      <c r="CL184" s="16"/>
      <c r="CM184" s="16"/>
      <c r="CN184" s="16"/>
      <c r="CO184" s="16"/>
      <c r="CP184" s="16"/>
      <c r="CQ184" s="16"/>
      <c r="CR184" s="16"/>
      <c r="CS184" s="16"/>
      <c r="CT184" s="16"/>
      <c r="CU184" s="16"/>
      <c r="CV184" s="16"/>
      <c r="CW184" s="16"/>
      <c r="CX184" s="16"/>
      <c r="CY184" s="16"/>
      <c r="CZ184" s="16"/>
      <c r="DA184" s="16"/>
      <c r="DB184" s="16"/>
      <c r="DC184" s="16"/>
      <c r="DD184" s="16"/>
      <c r="DE184" s="16"/>
      <c r="DF184" s="16"/>
      <c r="DG184" s="16"/>
      <c r="DH184" s="16"/>
      <c r="DI184" s="16"/>
      <c r="DJ184" s="16"/>
      <c r="DK184" s="16"/>
      <c r="DL184" s="16"/>
      <c r="DM184" s="16"/>
      <c r="DN184" s="16"/>
      <c r="DO184" s="16"/>
      <c r="DP184" s="16"/>
      <c r="DQ184" s="16"/>
      <c r="DR184" s="16"/>
      <c r="DS184" s="16"/>
      <c r="DT184" s="16"/>
      <c r="DU184" s="16"/>
      <c r="DV184" s="16"/>
      <c r="DW184" s="16"/>
      <c r="DX184" s="16"/>
      <c r="DY184" s="16"/>
      <c r="DZ184" s="16"/>
      <c r="EA184" s="16"/>
      <c r="EB184" s="16"/>
      <c r="EC184" s="16"/>
      <c r="ED184" s="16"/>
      <c r="EE184" s="16"/>
      <c r="EF184" s="16"/>
      <c r="EG184" s="16"/>
      <c r="EH184" s="16"/>
      <c r="EI184" s="16"/>
      <c r="EJ184" s="16"/>
      <c r="EK184" s="16"/>
      <c r="EL184" s="16"/>
      <c r="EM184" s="16"/>
      <c r="EN184" s="16"/>
      <c r="EO184" s="16"/>
      <c r="EP184" s="16"/>
      <c r="EQ184" s="16"/>
      <c r="ER184" s="16"/>
      <c r="ES184" s="16"/>
      <c r="ET184" s="16"/>
      <c r="EU184" s="16"/>
      <c r="EV184" s="16"/>
      <c r="EW184" s="16"/>
      <c r="EX184" s="16"/>
      <c r="EY184" s="16"/>
      <c r="EZ184" s="16"/>
      <c r="FA184" s="16"/>
      <c r="FB184" s="16"/>
      <c r="FC184" s="16"/>
      <c r="FD184" s="16"/>
      <c r="FE184" s="16"/>
      <c r="FF184" s="16"/>
      <c r="FG184" s="16"/>
      <c r="FH184" s="16"/>
      <c r="FI184" s="16"/>
      <c r="FJ184" s="16"/>
      <c r="FK184" s="16"/>
      <c r="FL184" s="16"/>
      <c r="FM184" s="16"/>
      <c r="FN184" s="16"/>
      <c r="FO184" s="16"/>
      <c r="FP184" s="16"/>
      <c r="FQ184" s="16"/>
      <c r="FR184" s="16"/>
      <c r="FS184" s="16"/>
      <c r="FT184" s="16"/>
      <c r="FU184" s="16"/>
      <c r="FV184" s="16"/>
      <c r="FW184" s="16"/>
      <c r="FX184" s="16"/>
      <c r="FY184" s="16"/>
      <c r="FZ184" s="16"/>
      <c r="GA184" s="16"/>
      <c r="GB184" s="16"/>
      <c r="GC184" s="16"/>
      <c r="GD184" s="16"/>
      <c r="GE184" s="16"/>
      <c r="GF184" s="16"/>
      <c r="GG184" s="16"/>
      <c r="GH184" s="16"/>
      <c r="GI184" s="16"/>
      <c r="GJ184" s="16"/>
      <c r="GK184" s="16"/>
      <c r="GL184" s="16"/>
      <c r="GM184" s="16"/>
      <c r="GN184" s="16"/>
      <c r="GO184" s="16"/>
      <c r="GP184" s="16"/>
      <c r="GQ184" s="16"/>
      <c r="GR184" s="16"/>
      <c r="GS184" s="16"/>
      <c r="GT184" s="16"/>
      <c r="GU184" s="16"/>
      <c r="GV184" s="16"/>
      <c r="GW184" s="16"/>
      <c r="GX184" s="16"/>
      <c r="GY184" s="16"/>
      <c r="GZ184" s="16"/>
      <c r="HA184" s="16"/>
      <c r="HB184" s="16"/>
      <c r="HC184" s="16"/>
      <c r="HD184" s="16"/>
      <c r="HE184" s="16"/>
      <c r="HF184" s="16"/>
      <c r="HG184" s="16"/>
      <c r="HH184" s="16"/>
      <c r="HI184" s="16"/>
      <c r="HJ184" s="16"/>
      <c r="HK184" s="16"/>
      <c r="HL184" s="16"/>
      <c r="HM184" s="16"/>
      <c r="HN184" s="16"/>
      <c r="HO184" s="16"/>
      <c r="HP184" s="16"/>
      <c r="HQ184" s="16"/>
      <c r="HR184" s="16"/>
      <c r="HS184" s="16"/>
      <c r="HT184" s="16"/>
      <c r="HU184" s="16"/>
      <c r="HV184" s="16"/>
      <c r="HW184" s="16"/>
      <c r="HX184" s="16"/>
      <c r="HY184" s="16"/>
      <c r="HZ184" s="16"/>
      <c r="IA184" s="16"/>
      <c r="IB184" s="16"/>
      <c r="IC184" s="16"/>
      <c r="ID184" s="16"/>
      <c r="IE184" s="16"/>
      <c r="IF184" s="16"/>
      <c r="IG184" s="16"/>
      <c r="IH184" s="16"/>
      <c r="II184" s="16"/>
      <c r="IJ184" s="16"/>
      <c r="IK184" s="16"/>
      <c r="IL184" s="16"/>
      <c r="IM184" s="16"/>
      <c r="IN184" s="16"/>
      <c r="IO184" s="16"/>
      <c r="IP184" s="16"/>
      <c r="IQ184" s="16"/>
      <c r="IR184" s="16"/>
      <c r="IS184" s="16"/>
      <c r="IT184" s="16"/>
      <c r="IU184" s="16"/>
      <c r="IV184" s="16"/>
      <c r="IW184" s="16"/>
      <c r="IX184" s="16"/>
      <c r="IY184" s="16"/>
      <c r="IZ184" s="16"/>
      <c r="JA184" s="16"/>
      <c r="JB184" s="16"/>
      <c r="JC184" s="16"/>
      <c r="JD184" s="16"/>
      <c r="JE184" s="16"/>
      <c r="JF184" s="16"/>
      <c r="JG184" s="16"/>
      <c r="JH184" s="16"/>
      <c r="JI184" s="16"/>
      <c r="JJ184" s="16"/>
      <c r="JK184" s="16"/>
      <c r="JL184" s="16"/>
      <c r="JM184" s="16"/>
      <c r="JN184" s="16"/>
      <c r="JO184" s="16"/>
      <c r="JP184" s="16"/>
      <c r="JQ184" s="16"/>
      <c r="JR184" s="16"/>
      <c r="JS184" s="16"/>
      <c r="JT184" s="16"/>
      <c r="JU184" s="16"/>
      <c r="JV184" s="16"/>
      <c r="JW184" s="16"/>
      <c r="JX184" s="16"/>
      <c r="JY184" s="16"/>
      <c r="JZ184" s="16"/>
      <c r="KA184" s="16"/>
      <c r="KB184" s="16"/>
      <c r="KC184" s="16"/>
      <c r="KD184" s="16"/>
      <c r="KE184" s="16"/>
      <c r="KF184" s="16"/>
      <c r="KG184" s="16"/>
      <c r="KH184" s="16"/>
      <c r="KI184" s="16"/>
      <c r="KJ184" s="16"/>
      <c r="KK184" s="16"/>
      <c r="KL184" s="16"/>
      <c r="KM184" s="16"/>
      <c r="KN184" s="16"/>
      <c r="KO184" s="16"/>
      <c r="KP184" s="16"/>
      <c r="KQ184" s="16"/>
      <c r="KR184" s="16"/>
      <c r="KS184" s="16"/>
      <c r="KT184" s="16"/>
      <c r="KU184" s="16"/>
      <c r="KV184" s="16"/>
      <c r="KW184" s="16"/>
      <c r="KX184" s="16"/>
      <c r="KY184" s="16"/>
      <c r="KZ184" s="16"/>
      <c r="LA184" s="16"/>
      <c r="LB184" s="16"/>
      <c r="LC184" s="16"/>
      <c r="LD184" s="16"/>
      <c r="LE184" s="16"/>
      <c r="LF184" s="16"/>
      <c r="LG184" s="16"/>
      <c r="LH184" s="16"/>
      <c r="LI184" s="16"/>
      <c r="LJ184" s="16"/>
      <c r="LK184" s="16"/>
      <c r="LL184" s="16"/>
      <c r="LM184" s="16"/>
      <c r="LN184" s="16"/>
      <c r="LO184" s="16"/>
      <c r="LP184" s="16"/>
      <c r="LQ184" s="16"/>
      <c r="LR184" s="16"/>
      <c r="LS184" s="16"/>
      <c r="LT184" s="16"/>
      <c r="LU184" s="16"/>
      <c r="LV184" s="16"/>
      <c r="LW184" s="16"/>
      <c r="LX184" s="16"/>
      <c r="LY184" s="16"/>
      <c r="LZ184" s="16"/>
      <c r="MA184" s="16"/>
      <c r="MB184" s="16"/>
      <c r="MC184" s="16"/>
      <c r="MD184" s="16"/>
      <c r="ME184" s="16"/>
      <c r="MF184" s="16"/>
      <c r="MG184" s="16"/>
      <c r="MH184" s="16"/>
      <c r="MI184" s="16"/>
      <c r="MJ184" s="16"/>
      <c r="MK184" s="16"/>
      <c r="ML184" s="16"/>
      <c r="MM184" s="16"/>
      <c r="MN184" s="16"/>
      <c r="MO184" s="16"/>
      <c r="MP184" s="16"/>
      <c r="MQ184" s="16"/>
      <c r="MR184" s="16"/>
      <c r="MS184" s="16"/>
      <c r="MT184" s="16"/>
      <c r="MU184" s="16"/>
      <c r="MV184" s="16"/>
      <c r="MW184" s="16"/>
      <c r="MX184" s="16"/>
      <c r="MY184" s="16"/>
      <c r="MZ184" s="16"/>
      <c r="NA184" s="16"/>
      <c r="NB184" s="16"/>
      <c r="NC184" s="16"/>
      <c r="ND184" s="16"/>
      <c r="NE184" s="16"/>
      <c r="NF184" s="16"/>
      <c r="NG184" s="16"/>
      <c r="NH184" s="16"/>
      <c r="NI184" s="16"/>
      <c r="NJ184" s="16"/>
      <c r="NK184" s="16"/>
      <c r="NL184" s="16"/>
      <c r="NM184" s="16"/>
      <c r="NN184" s="16"/>
      <c r="NO184" s="16"/>
      <c r="NP184" s="16"/>
      <c r="NQ184" s="16"/>
      <c r="NR184" s="16"/>
      <c r="NS184" s="16"/>
      <c r="NT184" s="16"/>
      <c r="NU184" s="16"/>
      <c r="NV184" s="16"/>
      <c r="NW184" s="16"/>
      <c r="NX184" s="16"/>
      <c r="NY184" s="16"/>
      <c r="NZ184" s="16"/>
      <c r="OA184" s="16"/>
      <c r="OB184" s="16"/>
      <c r="OC184" s="16"/>
      <c r="OD184" s="16"/>
      <c r="OE184" s="16"/>
      <c r="OF184" s="16"/>
      <c r="OG184" s="16"/>
      <c r="OH184" s="16"/>
      <c r="OI184" s="16"/>
      <c r="OJ184" s="16"/>
      <c r="OK184" s="16"/>
      <c r="OL184" s="16"/>
      <c r="OM184" s="16"/>
      <c r="ON184" s="16"/>
      <c r="OO184" s="16"/>
      <c r="OP184" s="16"/>
      <c r="OQ184" s="16"/>
      <c r="OR184" s="16"/>
      <c r="OS184" s="16"/>
      <c r="OT184" s="16"/>
      <c r="OU184" s="16"/>
      <c r="OV184" s="16"/>
      <c r="OW184" s="16"/>
      <c r="OX184" s="16"/>
      <c r="OY184" s="16"/>
      <c r="OZ184" s="16"/>
      <c r="PA184" s="16"/>
      <c r="PB184" s="16"/>
      <c r="PC184" s="16"/>
      <c r="PD184" s="16"/>
      <c r="PE184" s="16"/>
      <c r="PF184" s="16"/>
      <c r="PG184" s="16"/>
      <c r="PH184" s="16"/>
      <c r="PI184" s="16"/>
      <c r="PJ184" s="16"/>
      <c r="PK184" s="16"/>
      <c r="PL184" s="16"/>
      <c r="PM184" s="16"/>
      <c r="PN184" s="16"/>
      <c r="PO184" s="16"/>
      <c r="PP184" s="16"/>
      <c r="PQ184" s="16"/>
      <c r="PR184" s="16"/>
      <c r="PS184" s="16"/>
      <c r="PT184" s="16"/>
      <c r="PU184" s="16"/>
      <c r="PV184" s="16"/>
      <c r="PW184" s="16"/>
      <c r="PX184" s="16"/>
      <c r="PY184" s="16"/>
      <c r="PZ184" s="16"/>
      <c r="QA184" s="16"/>
      <c r="QB184" s="16"/>
      <c r="QC184" s="16"/>
      <c r="QD184" s="16"/>
      <c r="QE184" s="16"/>
      <c r="QF184" s="16"/>
      <c r="QG184" s="16"/>
      <c r="QH184" s="16"/>
      <c r="QI184" s="16"/>
      <c r="QJ184" s="16"/>
      <c r="QK184" s="16"/>
      <c r="QL184" s="16"/>
      <c r="QM184" s="16"/>
      <c r="QN184" s="16"/>
      <c r="QO184" s="16"/>
      <c r="QP184" s="16"/>
      <c r="QQ184" s="16"/>
      <c r="QR184" s="16"/>
      <c r="QS184" s="16"/>
      <c r="QT184" s="16"/>
      <c r="QU184" s="16"/>
      <c r="QV184" s="16"/>
      <c r="QW184" s="16"/>
      <c r="QX184" s="16"/>
      <c r="QY184" s="16"/>
      <c r="QZ184" s="16"/>
      <c r="RA184" s="16"/>
      <c r="RB184" s="16"/>
      <c r="RC184" s="16"/>
      <c r="RD184" s="16"/>
      <c r="RE184" s="16"/>
      <c r="RF184" s="16"/>
      <c r="RG184" s="16"/>
      <c r="RH184" s="16"/>
      <c r="RI184" s="16"/>
      <c r="RJ184" s="16"/>
      <c r="RK184" s="16"/>
      <c r="RL184" s="16"/>
      <c r="RM184" s="16"/>
      <c r="RN184" s="16"/>
      <c r="RO184" s="16"/>
      <c r="RP184" s="16"/>
      <c r="RQ184" s="16"/>
      <c r="RR184" s="16"/>
      <c r="RS184" s="16"/>
      <c r="RT184" s="16"/>
      <c r="RU184" s="16"/>
      <c r="RV184" s="16"/>
      <c r="RW184" s="16"/>
      <c r="RX184" s="16"/>
      <c r="RY184" s="16"/>
      <c r="RZ184" s="16"/>
      <c r="SA184" s="16"/>
      <c r="SB184" s="16"/>
      <c r="SC184" s="16"/>
      <c r="SD184" s="16"/>
      <c r="SE184" s="16"/>
      <c r="SF184" s="16"/>
      <c r="SG184" s="16"/>
      <c r="SH184" s="16"/>
      <c r="SI184" s="16"/>
      <c r="SJ184" s="16"/>
      <c r="SK184" s="16"/>
      <c r="SL184" s="16"/>
      <c r="SM184" s="16"/>
      <c r="SN184" s="16"/>
      <c r="SO184" s="16"/>
      <c r="SP184" s="16"/>
      <c r="SQ184" s="16"/>
      <c r="SR184" s="16"/>
      <c r="SS184" s="16"/>
      <c r="ST184" s="16"/>
      <c r="SU184" s="16"/>
      <c r="SV184" s="16"/>
      <c r="SW184" s="16"/>
      <c r="SX184" s="16"/>
      <c r="SY184" s="16"/>
      <c r="SZ184" s="16"/>
      <c r="TA184" s="16"/>
      <c r="TB184" s="16"/>
      <c r="TC184" s="16"/>
      <c r="TD184" s="16"/>
      <c r="TE184" s="16"/>
      <c r="TF184" s="16"/>
      <c r="TG184" s="16"/>
      <c r="TH184" s="16"/>
      <c r="TI184" s="16"/>
      <c r="TJ184" s="16"/>
      <c r="TK184" s="16"/>
      <c r="TL184" s="16"/>
      <c r="TM184" s="16"/>
      <c r="TN184" s="16"/>
      <c r="TO184" s="16"/>
      <c r="TP184" s="16"/>
      <c r="TQ184" s="16"/>
      <c r="TR184" s="16"/>
      <c r="TS184" s="16"/>
      <c r="TT184" s="16"/>
      <c r="TU184" s="16"/>
      <c r="TV184" s="16"/>
      <c r="TW184" s="16"/>
      <c r="TX184" s="16"/>
      <c r="TY184" s="16"/>
      <c r="TZ184" s="16"/>
      <c r="UA184" s="16"/>
      <c r="UB184" s="16"/>
      <c r="UC184" s="16"/>
      <c r="UD184" s="16"/>
      <c r="UE184" s="16"/>
      <c r="UF184" s="16"/>
      <c r="UG184" s="16"/>
      <c r="UH184" s="16"/>
      <c r="UI184" s="16"/>
      <c r="UJ184" s="16"/>
      <c r="UK184" s="16"/>
      <c r="UL184" s="16"/>
      <c r="UM184" s="16"/>
      <c r="UN184" s="16"/>
      <c r="UO184" s="16"/>
      <c r="UP184" s="16"/>
      <c r="UQ184" s="16"/>
      <c r="UR184" s="16"/>
      <c r="US184" s="16"/>
      <c r="UT184" s="16"/>
      <c r="UU184" s="16"/>
      <c r="UV184" s="16"/>
      <c r="UW184" s="16"/>
      <c r="UX184" s="16"/>
      <c r="UY184" s="16"/>
      <c r="UZ184" s="16"/>
      <c r="VA184" s="16"/>
      <c r="VB184" s="16"/>
      <c r="VC184" s="16"/>
      <c r="VD184" s="16"/>
      <c r="VE184" s="16"/>
      <c r="VF184" s="16"/>
      <c r="VG184" s="16"/>
      <c r="VH184" s="16"/>
      <c r="VI184" s="16"/>
      <c r="VJ184" s="16"/>
      <c r="VK184" s="16"/>
      <c r="VL184" s="16"/>
      <c r="VM184" s="16"/>
      <c r="VN184" s="16"/>
      <c r="VO184" s="16"/>
      <c r="VP184" s="16"/>
      <c r="VQ184" s="16"/>
      <c r="VR184" s="16"/>
      <c r="VS184" s="16"/>
      <c r="VT184" s="16"/>
      <c r="VU184" s="16"/>
      <c r="VV184" s="16"/>
      <c r="VW184" s="16"/>
      <c r="VX184" s="16"/>
      <c r="VY184" s="16"/>
      <c r="VZ184" s="16"/>
      <c r="WA184" s="16"/>
      <c r="WB184" s="16"/>
      <c r="WC184" s="16"/>
      <c r="WD184" s="16"/>
      <c r="WE184" s="16"/>
      <c r="WF184" s="16"/>
      <c r="WG184" s="16"/>
      <c r="WH184" s="16"/>
      <c r="WI184" s="16"/>
      <c r="WJ184" s="16"/>
      <c r="WK184" s="16"/>
      <c r="WL184" s="16"/>
      <c r="WM184" s="16"/>
      <c r="WN184" s="16"/>
      <c r="WO184" s="16"/>
      <c r="WP184" s="16"/>
      <c r="WQ184" s="16"/>
      <c r="WR184" s="16"/>
      <c r="WS184" s="16"/>
      <c r="WT184" s="16"/>
      <c r="WU184" s="16"/>
      <c r="WV184" s="16"/>
      <c r="WW184" s="16"/>
      <c r="WX184" s="16"/>
      <c r="WY184" s="16"/>
      <c r="WZ184" s="16"/>
      <c r="XA184" s="16"/>
      <c r="XB184" s="16"/>
      <c r="XC184" s="16"/>
      <c r="XD184" s="16"/>
      <c r="XE184" s="16"/>
      <c r="XF184" s="16"/>
      <c r="XG184" s="16"/>
      <c r="XH184" s="16"/>
      <c r="XI184" s="16"/>
      <c r="XJ184" s="16"/>
      <c r="XK184" s="16"/>
      <c r="XL184" s="16"/>
      <c r="XM184" s="16"/>
      <c r="XN184" s="16"/>
      <c r="XO184" s="16"/>
      <c r="XP184" s="16"/>
      <c r="XQ184" s="16"/>
      <c r="XR184" s="16"/>
      <c r="XS184" s="16"/>
      <c r="XT184" s="16"/>
      <c r="XU184" s="16"/>
      <c r="XV184" s="16"/>
      <c r="XW184" s="16"/>
      <c r="XX184" s="16"/>
      <c r="XY184" s="16"/>
      <c r="XZ184" s="16"/>
      <c r="YA184" s="16"/>
      <c r="YB184" s="16"/>
      <c r="YC184" s="16"/>
      <c r="YD184" s="16"/>
      <c r="YE184" s="16"/>
      <c r="YF184" s="16"/>
      <c r="YG184" s="16"/>
      <c r="YH184" s="16"/>
      <c r="YI184" s="16"/>
      <c r="YJ184" s="16"/>
      <c r="YK184" s="16"/>
      <c r="YL184" s="16"/>
      <c r="YM184" s="16"/>
      <c r="YN184" s="16"/>
      <c r="YO184" s="16"/>
      <c r="YP184" s="16"/>
      <c r="YQ184" s="16"/>
      <c r="YR184" s="16"/>
      <c r="YS184" s="16"/>
      <c r="YT184" s="16"/>
      <c r="YU184" s="16"/>
      <c r="YV184" s="16"/>
      <c r="YW184" s="16"/>
      <c r="YX184" s="16"/>
      <c r="YY184" s="16"/>
      <c r="YZ184" s="16"/>
      <c r="ZA184" s="16"/>
      <c r="ZB184" s="16"/>
      <c r="ZC184" s="16"/>
      <c r="ZD184" s="16"/>
      <c r="ZE184" s="16"/>
      <c r="ZF184" s="16"/>
      <c r="ZG184" s="16"/>
      <c r="ZH184" s="16"/>
      <c r="ZI184" s="16"/>
      <c r="ZJ184" s="16"/>
      <c r="ZK184" s="16"/>
      <c r="ZL184" s="16"/>
      <c r="ZM184" s="16"/>
      <c r="ZN184" s="16"/>
      <c r="ZO184" s="16"/>
      <c r="ZP184" s="16"/>
      <c r="ZQ184" s="16"/>
      <c r="ZR184" s="16"/>
      <c r="ZS184" s="16"/>
      <c r="ZT184" s="16"/>
      <c r="ZU184" s="16"/>
      <c r="ZV184" s="16"/>
      <c r="ZW184" s="16"/>
      <c r="ZX184" s="16"/>
      <c r="ZY184" s="16"/>
      <c r="ZZ184" s="16"/>
      <c r="AAA184" s="16"/>
      <c r="AAB184" s="16"/>
      <c r="AAC184" s="16"/>
    </row>
    <row r="185" spans="1:705" s="16" customFormat="1" ht="44.1" hidden="1" customHeight="1" x14ac:dyDescent="0.3">
      <c r="A185" s="26">
        <v>181</v>
      </c>
      <c r="B185" s="138">
        <v>240941</v>
      </c>
      <c r="C185" s="138">
        <v>181</v>
      </c>
      <c r="D185" s="139">
        <v>45949</v>
      </c>
      <c r="E185" s="139">
        <f t="shared" si="27"/>
        <v>45948</v>
      </c>
      <c r="F185" s="139">
        <f t="shared" si="26"/>
        <v>45959</v>
      </c>
      <c r="G185" s="139">
        <v>46041</v>
      </c>
      <c r="H185" s="139">
        <v>46081</v>
      </c>
      <c r="I185" s="139" t="s">
        <v>321</v>
      </c>
      <c r="J185" s="140" t="s">
        <v>465</v>
      </c>
      <c r="K185" s="141">
        <f t="shared" si="28"/>
        <v>122</v>
      </c>
      <c r="L185" s="141">
        <v>1157042</v>
      </c>
      <c r="M185" s="140" t="s">
        <v>15</v>
      </c>
      <c r="N185" s="140">
        <v>810946</v>
      </c>
      <c r="O185" s="140" t="s">
        <v>246</v>
      </c>
      <c r="P185" s="143">
        <v>46014</v>
      </c>
      <c r="Q185" s="143">
        <v>46198</v>
      </c>
      <c r="R185" s="185" t="s">
        <v>211</v>
      </c>
      <c r="S185" s="144" t="s">
        <v>466</v>
      </c>
      <c r="T185" s="145">
        <v>1</v>
      </c>
      <c r="U185" s="186" t="s">
        <v>82</v>
      </c>
      <c r="V185" s="146">
        <v>130</v>
      </c>
      <c r="W185" s="146">
        <v>130</v>
      </c>
      <c r="X185" s="147">
        <v>0</v>
      </c>
      <c r="Y185" s="146">
        <v>0</v>
      </c>
      <c r="Z185" s="146">
        <v>0</v>
      </c>
      <c r="AA185" s="146">
        <v>0</v>
      </c>
      <c r="AB185" s="146">
        <v>7</v>
      </c>
      <c r="AC185" s="146">
        <v>7</v>
      </c>
      <c r="AD185" s="146">
        <v>0</v>
      </c>
      <c r="AE185" s="146">
        <v>0</v>
      </c>
      <c r="AF185" s="146">
        <v>0</v>
      </c>
      <c r="AG185" s="146">
        <v>0</v>
      </c>
      <c r="AH185" s="146">
        <v>0</v>
      </c>
      <c r="AI185" s="146">
        <v>0</v>
      </c>
      <c r="AJ185" s="146">
        <v>0</v>
      </c>
      <c r="AK185" s="146">
        <v>0</v>
      </c>
      <c r="AL185" s="146">
        <v>1</v>
      </c>
      <c r="AM185" s="146">
        <v>1</v>
      </c>
      <c r="AN185" s="146">
        <v>2</v>
      </c>
      <c r="AO185" s="146">
        <v>2</v>
      </c>
      <c r="AP185" s="146">
        <v>2</v>
      </c>
      <c r="AQ185" s="146">
        <v>2</v>
      </c>
      <c r="AR185" s="146">
        <v>0</v>
      </c>
      <c r="AS185" s="146">
        <v>0</v>
      </c>
      <c r="AT185" s="146"/>
      <c r="AU185" s="146"/>
      <c r="AV185" s="146">
        <v>0</v>
      </c>
      <c r="AW185" s="146">
        <v>0</v>
      </c>
      <c r="AX185" s="146">
        <f t="shared" si="30"/>
        <v>10169</v>
      </c>
      <c r="AY185" s="146">
        <f t="shared" si="29"/>
        <v>10169</v>
      </c>
      <c r="AZ185" s="140" t="s">
        <v>562</v>
      </c>
      <c r="BA185" s="140" t="s">
        <v>562</v>
      </c>
      <c r="BB185" s="137">
        <v>7</v>
      </c>
      <c r="BC185" s="187">
        <v>181</v>
      </c>
      <c r="BD185" s="149"/>
      <c r="BE185" s="145"/>
      <c r="BF185" s="150"/>
      <c r="BG185" s="188">
        <v>46071</v>
      </c>
      <c r="BH185" s="153" t="s">
        <v>535</v>
      </c>
      <c r="BI185" s="153" t="s">
        <v>562</v>
      </c>
    </row>
    <row r="186" spans="1:705" s="16" customFormat="1" ht="44.1" hidden="1" customHeight="1" x14ac:dyDescent="0.3">
      <c r="A186" s="26">
        <v>182</v>
      </c>
      <c r="B186" s="138">
        <v>240942</v>
      </c>
      <c r="C186" s="138">
        <v>182</v>
      </c>
      <c r="D186" s="139">
        <v>45949</v>
      </c>
      <c r="E186" s="139">
        <f t="shared" si="27"/>
        <v>45948</v>
      </c>
      <c r="F186" s="139">
        <f t="shared" si="26"/>
        <v>45959</v>
      </c>
      <c r="G186" s="139">
        <v>46041</v>
      </c>
      <c r="H186" s="139">
        <v>46125</v>
      </c>
      <c r="I186" s="139" t="s">
        <v>321</v>
      </c>
      <c r="J186" s="140" t="s">
        <v>467</v>
      </c>
      <c r="K186" s="141">
        <f t="shared" si="28"/>
        <v>166</v>
      </c>
      <c r="L186" s="141">
        <v>1157049</v>
      </c>
      <c r="M186" s="140" t="s">
        <v>15</v>
      </c>
      <c r="N186" s="140">
        <v>810553</v>
      </c>
      <c r="O186" s="137" t="s">
        <v>246</v>
      </c>
      <c r="P186" s="143">
        <v>46016</v>
      </c>
      <c r="Q186" s="143">
        <v>46184</v>
      </c>
      <c r="R186" s="185" t="s">
        <v>211</v>
      </c>
      <c r="S186" s="144" t="s">
        <v>468</v>
      </c>
      <c r="T186" s="145">
        <v>1</v>
      </c>
      <c r="U186" s="186" t="s">
        <v>122</v>
      </c>
      <c r="V186" s="146">
        <v>84</v>
      </c>
      <c r="W186" s="146">
        <v>84</v>
      </c>
      <c r="X186" s="147">
        <v>0</v>
      </c>
      <c r="Y186" s="146">
        <v>0</v>
      </c>
      <c r="Z186" s="146">
        <v>0</v>
      </c>
      <c r="AA186" s="146">
        <v>0</v>
      </c>
      <c r="AB186" s="146">
        <v>0</v>
      </c>
      <c r="AC186" s="146">
        <v>0</v>
      </c>
      <c r="AD186" s="146">
        <v>0</v>
      </c>
      <c r="AE186" s="146">
        <v>0</v>
      </c>
      <c r="AF186" s="146">
        <v>0</v>
      </c>
      <c r="AG186" s="146">
        <v>0</v>
      </c>
      <c r="AH186" s="146">
        <v>0</v>
      </c>
      <c r="AI186" s="146">
        <v>0</v>
      </c>
      <c r="AJ186" s="146">
        <v>0</v>
      </c>
      <c r="AK186" s="146">
        <v>0</v>
      </c>
      <c r="AL186" s="146">
        <v>1</v>
      </c>
      <c r="AM186" s="146">
        <v>1</v>
      </c>
      <c r="AN186" s="146">
        <v>1</v>
      </c>
      <c r="AO186" s="146">
        <v>1</v>
      </c>
      <c r="AP186" s="146">
        <v>0</v>
      </c>
      <c r="AQ186" s="146">
        <v>0</v>
      </c>
      <c r="AR186" s="146">
        <v>0</v>
      </c>
      <c r="AS186" s="146">
        <v>0</v>
      </c>
      <c r="AT186" s="146">
        <v>0</v>
      </c>
      <c r="AU186" s="146">
        <v>0</v>
      </c>
      <c r="AV186" s="146">
        <v>0</v>
      </c>
      <c r="AW186" s="146">
        <v>0</v>
      </c>
      <c r="AX186" s="146">
        <f t="shared" si="30"/>
        <v>5690</v>
      </c>
      <c r="AY186" s="146">
        <f t="shared" si="29"/>
        <v>5690</v>
      </c>
      <c r="AZ186" s="140" t="s">
        <v>562</v>
      </c>
      <c r="BA186" s="140" t="s">
        <v>562</v>
      </c>
      <c r="BB186" s="137">
        <v>9</v>
      </c>
      <c r="BC186" s="187">
        <v>182</v>
      </c>
      <c r="BD186" s="149"/>
      <c r="BE186" s="145"/>
      <c r="BF186" s="150"/>
      <c r="BG186" s="188">
        <v>46119</v>
      </c>
      <c r="BH186" s="153" t="s">
        <v>535</v>
      </c>
      <c r="BI186" s="153" t="s">
        <v>562</v>
      </c>
    </row>
    <row r="187" spans="1:705" s="16" customFormat="1" ht="44.1" hidden="1" customHeight="1" x14ac:dyDescent="0.3">
      <c r="A187" s="26">
        <v>183</v>
      </c>
      <c r="B187" s="138">
        <v>240944</v>
      </c>
      <c r="C187" s="138">
        <v>183</v>
      </c>
      <c r="D187" s="139">
        <v>45949</v>
      </c>
      <c r="E187" s="139">
        <f t="shared" si="27"/>
        <v>45948</v>
      </c>
      <c r="F187" s="139">
        <f t="shared" si="26"/>
        <v>45959</v>
      </c>
      <c r="G187" s="139">
        <v>46041</v>
      </c>
      <c r="H187" s="139">
        <v>46065</v>
      </c>
      <c r="I187" s="139" t="s">
        <v>321</v>
      </c>
      <c r="J187" s="140" t="s">
        <v>469</v>
      </c>
      <c r="K187" s="141">
        <f t="shared" si="28"/>
        <v>106</v>
      </c>
      <c r="L187" s="141">
        <v>1157055</v>
      </c>
      <c r="M187" s="140" t="s">
        <v>535</v>
      </c>
      <c r="N187" s="140">
        <v>810552</v>
      </c>
      <c r="O187" s="137" t="s">
        <v>246</v>
      </c>
      <c r="P187" s="143">
        <v>46016</v>
      </c>
      <c r="Q187" s="143">
        <v>46184</v>
      </c>
      <c r="R187" s="185" t="s">
        <v>1117</v>
      </c>
      <c r="S187" s="144" t="s">
        <v>470</v>
      </c>
      <c r="T187" s="145">
        <v>1</v>
      </c>
      <c r="U187" s="186" t="s">
        <v>122</v>
      </c>
      <c r="V187" s="146">
        <v>276</v>
      </c>
      <c r="W187" s="146">
        <v>276</v>
      </c>
      <c r="X187" s="147">
        <v>0</v>
      </c>
      <c r="Y187" s="146">
        <v>0</v>
      </c>
      <c r="Z187" s="146">
        <v>0</v>
      </c>
      <c r="AA187" s="146">
        <v>0</v>
      </c>
      <c r="AB187" s="146">
        <v>242</v>
      </c>
      <c r="AC187" s="146">
        <v>242</v>
      </c>
      <c r="AD187" s="146">
        <v>0</v>
      </c>
      <c r="AE187" s="146">
        <v>0</v>
      </c>
      <c r="AF187" s="146">
        <v>0</v>
      </c>
      <c r="AG187" s="146">
        <v>0</v>
      </c>
      <c r="AH187" s="146">
        <v>0</v>
      </c>
      <c r="AI187" s="146">
        <v>0</v>
      </c>
      <c r="AJ187" s="146">
        <v>0</v>
      </c>
      <c r="AK187" s="146">
        <v>0</v>
      </c>
      <c r="AL187" s="146">
        <v>4</v>
      </c>
      <c r="AM187" s="146">
        <v>4</v>
      </c>
      <c r="AN187" s="146">
        <v>4</v>
      </c>
      <c r="AO187" s="146">
        <v>4</v>
      </c>
      <c r="AP187" s="146">
        <v>2</v>
      </c>
      <c r="AQ187" s="146">
        <v>2</v>
      </c>
      <c r="AR187" s="146">
        <v>0</v>
      </c>
      <c r="AS187" s="146">
        <v>0</v>
      </c>
      <c r="AT187" s="146">
        <v>0</v>
      </c>
      <c r="AU187" s="146"/>
      <c r="AV187" s="146">
        <v>0</v>
      </c>
      <c r="AW187" s="146">
        <v>0</v>
      </c>
      <c r="AX187" s="146">
        <f t="shared" si="30"/>
        <v>34214</v>
      </c>
      <c r="AY187" s="146">
        <f t="shared" si="29"/>
        <v>34214</v>
      </c>
      <c r="AZ187" s="140" t="s">
        <v>562</v>
      </c>
      <c r="BA187" s="140" t="s">
        <v>562</v>
      </c>
      <c r="BB187" s="137">
        <v>8</v>
      </c>
      <c r="BC187" s="187">
        <v>183</v>
      </c>
      <c r="BD187" s="149"/>
      <c r="BE187" s="145"/>
      <c r="BF187" s="150"/>
      <c r="BG187" s="188">
        <v>46054</v>
      </c>
      <c r="BH187" s="153" t="s">
        <v>535</v>
      </c>
      <c r="BI187" s="153" t="s">
        <v>562</v>
      </c>
    </row>
    <row r="188" spans="1:705" s="16" customFormat="1" ht="44.1" hidden="1" customHeight="1" x14ac:dyDescent="0.3">
      <c r="A188" s="26">
        <v>184</v>
      </c>
      <c r="B188" s="138">
        <v>240945</v>
      </c>
      <c r="C188" s="138">
        <v>184</v>
      </c>
      <c r="D188" s="139">
        <v>45949</v>
      </c>
      <c r="E188" s="139">
        <f t="shared" si="27"/>
        <v>45948</v>
      </c>
      <c r="F188" s="139">
        <f t="shared" si="26"/>
        <v>45959</v>
      </c>
      <c r="G188" s="139">
        <v>46041</v>
      </c>
      <c r="H188" s="139">
        <v>46114</v>
      </c>
      <c r="I188" s="139" t="s">
        <v>321</v>
      </c>
      <c r="J188" s="140" t="s">
        <v>471</v>
      </c>
      <c r="K188" s="141">
        <f t="shared" si="28"/>
        <v>155</v>
      </c>
      <c r="L188" s="141">
        <v>1157058</v>
      </c>
      <c r="M188" s="140" t="s">
        <v>15</v>
      </c>
      <c r="N188" s="140">
        <v>810951</v>
      </c>
      <c r="O188" s="137" t="s">
        <v>246</v>
      </c>
      <c r="P188" s="143">
        <v>46034</v>
      </c>
      <c r="Q188" s="143">
        <v>46198</v>
      </c>
      <c r="R188" s="185" t="s">
        <v>211</v>
      </c>
      <c r="S188" s="144" t="s">
        <v>472</v>
      </c>
      <c r="T188" s="145">
        <v>1</v>
      </c>
      <c r="U188" s="186" t="s">
        <v>82</v>
      </c>
      <c r="V188" s="146">
        <v>125</v>
      </c>
      <c r="W188" s="146">
        <v>125</v>
      </c>
      <c r="X188" s="147">
        <v>0</v>
      </c>
      <c r="Y188" s="146">
        <v>0</v>
      </c>
      <c r="Z188" s="146">
        <v>0</v>
      </c>
      <c r="AA188" s="146">
        <v>0</v>
      </c>
      <c r="AB188" s="146">
        <v>0</v>
      </c>
      <c r="AC188" s="146">
        <v>0</v>
      </c>
      <c r="AD188" s="146">
        <v>16</v>
      </c>
      <c r="AE188" s="146">
        <v>16</v>
      </c>
      <c r="AF188" s="146">
        <v>0</v>
      </c>
      <c r="AG188" s="146">
        <v>0</v>
      </c>
      <c r="AH188" s="146"/>
      <c r="AI188" s="146"/>
      <c r="AJ188" s="146">
        <v>0</v>
      </c>
      <c r="AK188" s="146">
        <v>0</v>
      </c>
      <c r="AL188" s="146">
        <v>2</v>
      </c>
      <c r="AM188" s="146">
        <v>2</v>
      </c>
      <c r="AN188" s="146">
        <v>2</v>
      </c>
      <c r="AO188" s="146">
        <v>2</v>
      </c>
      <c r="AP188" s="146">
        <v>1</v>
      </c>
      <c r="AQ188" s="146">
        <v>1</v>
      </c>
      <c r="AR188" s="146">
        <v>0</v>
      </c>
      <c r="AS188" s="146">
        <v>0</v>
      </c>
      <c r="AT188" s="146">
        <v>0</v>
      </c>
      <c r="AU188" s="146">
        <v>0</v>
      </c>
      <c r="AV188" s="146">
        <v>0</v>
      </c>
      <c r="AW188" s="146">
        <v>0</v>
      </c>
      <c r="AX188" s="146">
        <f t="shared" si="30"/>
        <v>10630</v>
      </c>
      <c r="AY188" s="146">
        <f t="shared" si="29"/>
        <v>10630</v>
      </c>
      <c r="AZ188" s="140" t="s">
        <v>562</v>
      </c>
      <c r="BA188" s="140" t="s">
        <v>562</v>
      </c>
      <c r="BB188" s="137">
        <v>10</v>
      </c>
      <c r="BC188" s="187">
        <v>184</v>
      </c>
      <c r="BD188" s="149"/>
      <c r="BE188" s="145"/>
      <c r="BF188" s="150"/>
      <c r="BG188" s="188">
        <v>46110</v>
      </c>
      <c r="BH188" s="153" t="s">
        <v>535</v>
      </c>
      <c r="BI188" s="153" t="s">
        <v>562</v>
      </c>
    </row>
    <row r="189" spans="1:705" s="16" customFormat="1" ht="44.1" hidden="1" customHeight="1" x14ac:dyDescent="0.3">
      <c r="A189" s="26">
        <v>185</v>
      </c>
      <c r="B189" s="90">
        <v>240952</v>
      </c>
      <c r="C189" s="90">
        <v>185</v>
      </c>
      <c r="D189" s="91">
        <v>45949</v>
      </c>
      <c r="E189" s="91">
        <f t="shared" si="27"/>
        <v>45948</v>
      </c>
      <c r="F189" s="91">
        <f t="shared" si="26"/>
        <v>45959</v>
      </c>
      <c r="G189" s="91">
        <v>46041</v>
      </c>
      <c r="H189" s="91">
        <f ca="1">TODAY()</f>
        <v>46277</v>
      </c>
      <c r="I189" s="91" t="s">
        <v>123</v>
      </c>
      <c r="J189" s="92" t="s">
        <v>473</v>
      </c>
      <c r="K189" s="93">
        <f t="shared" ca="1" si="28"/>
        <v>318</v>
      </c>
      <c r="L189" s="93">
        <v>1157109</v>
      </c>
      <c r="M189" s="92" t="s">
        <v>212</v>
      </c>
      <c r="N189" s="92">
        <v>806606</v>
      </c>
      <c r="O189" s="89" t="s">
        <v>1519</v>
      </c>
      <c r="P189" s="126">
        <v>45958</v>
      </c>
      <c r="Q189" s="126">
        <v>46135</v>
      </c>
      <c r="R189" s="158" t="s">
        <v>211</v>
      </c>
      <c r="S189" s="94" t="s">
        <v>474</v>
      </c>
      <c r="T189" s="95">
        <v>3</v>
      </c>
      <c r="U189" s="159" t="s">
        <v>98</v>
      </c>
      <c r="V189" s="96">
        <v>290</v>
      </c>
      <c r="W189" s="96">
        <v>0</v>
      </c>
      <c r="X189" s="97">
        <v>0</v>
      </c>
      <c r="Y189" s="96">
        <v>0</v>
      </c>
      <c r="Z189" s="96">
        <v>0</v>
      </c>
      <c r="AA189" s="96">
        <v>0</v>
      </c>
      <c r="AB189" s="96">
        <v>3</v>
      </c>
      <c r="AC189" s="96">
        <v>0</v>
      </c>
      <c r="AD189" s="96">
        <v>0</v>
      </c>
      <c r="AE189" s="96">
        <v>0</v>
      </c>
      <c r="AF189" s="96">
        <v>0</v>
      </c>
      <c r="AG189" s="96">
        <v>0</v>
      </c>
      <c r="AH189" s="96">
        <v>3</v>
      </c>
      <c r="AI189" s="96">
        <v>0</v>
      </c>
      <c r="AJ189" s="96">
        <v>0</v>
      </c>
      <c r="AK189" s="96">
        <v>0</v>
      </c>
      <c r="AL189" s="96">
        <v>3</v>
      </c>
      <c r="AM189" s="96"/>
      <c r="AN189" s="96">
        <v>3</v>
      </c>
      <c r="AO189" s="96">
        <v>0</v>
      </c>
      <c r="AP189" s="96">
        <v>3</v>
      </c>
      <c r="AQ189" s="96">
        <v>0</v>
      </c>
      <c r="AR189" s="96">
        <v>0</v>
      </c>
      <c r="AS189" s="96">
        <v>0</v>
      </c>
      <c r="AT189" s="96">
        <v>3</v>
      </c>
      <c r="AU189" s="96">
        <v>0</v>
      </c>
      <c r="AV189" s="96">
        <v>0</v>
      </c>
      <c r="AW189" s="96">
        <v>0</v>
      </c>
      <c r="AX189" s="146">
        <f t="shared" si="30"/>
        <v>22971</v>
      </c>
      <c r="AY189" s="146">
        <f t="shared" si="29"/>
        <v>0</v>
      </c>
      <c r="AZ189" s="92" t="s">
        <v>212</v>
      </c>
      <c r="BA189" s="92" t="s">
        <v>212</v>
      </c>
      <c r="BB189" s="92" t="s">
        <v>212</v>
      </c>
      <c r="BC189" s="160">
        <v>185</v>
      </c>
      <c r="BD189" s="100"/>
      <c r="BE189" s="95"/>
      <c r="BF189" s="101"/>
      <c r="BG189" s="89"/>
      <c r="BH189" s="102" t="s">
        <v>212</v>
      </c>
      <c r="BI189" s="102" t="s">
        <v>212</v>
      </c>
    </row>
    <row r="190" spans="1:705" s="41" customFormat="1" ht="44.1" hidden="1" customHeight="1" x14ac:dyDescent="0.3">
      <c r="A190" s="26">
        <v>186</v>
      </c>
      <c r="B190" s="136">
        <v>240964</v>
      </c>
      <c r="C190" s="138">
        <v>186</v>
      </c>
      <c r="D190" s="139">
        <v>45949</v>
      </c>
      <c r="E190" s="139">
        <f t="shared" si="27"/>
        <v>45948</v>
      </c>
      <c r="F190" s="139">
        <f t="shared" si="26"/>
        <v>45959</v>
      </c>
      <c r="G190" s="139">
        <v>46010</v>
      </c>
      <c r="H190" s="139">
        <v>45972</v>
      </c>
      <c r="I190" s="139" t="s">
        <v>123</v>
      </c>
      <c r="J190" s="140" t="s">
        <v>475</v>
      </c>
      <c r="K190" s="141">
        <f t="shared" si="28"/>
        <v>13</v>
      </c>
      <c r="L190" s="141">
        <v>1157233</v>
      </c>
      <c r="M190" s="140" t="s">
        <v>15</v>
      </c>
      <c r="N190" s="140">
        <v>806342</v>
      </c>
      <c r="O190" s="137" t="s">
        <v>246</v>
      </c>
      <c r="P190" s="143">
        <v>45958</v>
      </c>
      <c r="Q190" s="143">
        <v>46135</v>
      </c>
      <c r="R190" s="185" t="s">
        <v>211</v>
      </c>
      <c r="S190" s="144" t="s">
        <v>476</v>
      </c>
      <c r="T190" s="145">
        <v>1</v>
      </c>
      <c r="U190" s="137" t="s">
        <v>128</v>
      </c>
      <c r="V190" s="146">
        <v>39</v>
      </c>
      <c r="W190" s="146">
        <v>39</v>
      </c>
      <c r="X190" s="147">
        <v>0</v>
      </c>
      <c r="Y190" s="146">
        <v>0</v>
      </c>
      <c r="Z190" s="146">
        <v>10</v>
      </c>
      <c r="AA190" s="146">
        <v>10</v>
      </c>
      <c r="AB190" s="146">
        <v>0</v>
      </c>
      <c r="AC190" s="146"/>
      <c r="AD190" s="146">
        <v>0</v>
      </c>
      <c r="AE190" s="146">
        <v>0</v>
      </c>
      <c r="AF190" s="146">
        <v>0</v>
      </c>
      <c r="AG190" s="146">
        <v>0</v>
      </c>
      <c r="AH190" s="146">
        <v>1</v>
      </c>
      <c r="AI190" s="146">
        <v>1</v>
      </c>
      <c r="AJ190" s="146">
        <v>1</v>
      </c>
      <c r="AK190" s="146">
        <v>1</v>
      </c>
      <c r="AL190" s="146">
        <v>3</v>
      </c>
      <c r="AM190" s="146">
        <v>3</v>
      </c>
      <c r="AN190" s="146">
        <v>5</v>
      </c>
      <c r="AO190" s="146">
        <v>5</v>
      </c>
      <c r="AP190" s="146">
        <v>2</v>
      </c>
      <c r="AQ190" s="146">
        <v>2</v>
      </c>
      <c r="AR190" s="146">
        <v>0</v>
      </c>
      <c r="AS190" s="146">
        <v>0</v>
      </c>
      <c r="AT190" s="146">
        <v>1</v>
      </c>
      <c r="AU190" s="146">
        <v>1</v>
      </c>
      <c r="AV190" s="146">
        <v>0</v>
      </c>
      <c r="AW190" s="146">
        <v>0</v>
      </c>
      <c r="AX190" s="146">
        <f t="shared" si="30"/>
        <v>6945</v>
      </c>
      <c r="AY190" s="146">
        <f t="shared" si="29"/>
        <v>6945</v>
      </c>
      <c r="AZ190" s="140" t="s">
        <v>562</v>
      </c>
      <c r="BA190" s="140" t="s">
        <v>562</v>
      </c>
      <c r="BB190" s="189">
        <v>3</v>
      </c>
      <c r="BC190" s="148">
        <v>186</v>
      </c>
      <c r="BD190" s="149"/>
      <c r="BE190" s="145"/>
      <c r="BF190" s="150"/>
      <c r="BG190" s="151">
        <v>45962</v>
      </c>
      <c r="BH190" s="153" t="s">
        <v>535</v>
      </c>
      <c r="BI190" s="153" t="s">
        <v>562</v>
      </c>
    </row>
    <row r="191" spans="1:705" s="16" customFormat="1" ht="44.1" hidden="1" customHeight="1" x14ac:dyDescent="0.3">
      <c r="A191" s="26">
        <v>187</v>
      </c>
      <c r="B191" s="138">
        <v>240986</v>
      </c>
      <c r="C191" s="138">
        <v>187</v>
      </c>
      <c r="D191" s="139">
        <v>45950</v>
      </c>
      <c r="E191" s="139">
        <f t="shared" si="27"/>
        <v>45949</v>
      </c>
      <c r="F191" s="139">
        <f t="shared" si="26"/>
        <v>45960</v>
      </c>
      <c r="G191" s="139">
        <v>46011</v>
      </c>
      <c r="H191" s="139">
        <v>45987</v>
      </c>
      <c r="I191" s="139" t="s">
        <v>123</v>
      </c>
      <c r="J191" s="140" t="s">
        <v>477</v>
      </c>
      <c r="K191" s="141">
        <f t="shared" si="28"/>
        <v>27</v>
      </c>
      <c r="L191" s="141">
        <v>1157663</v>
      </c>
      <c r="M191" s="140" t="s">
        <v>15</v>
      </c>
      <c r="N191" s="140">
        <v>806707</v>
      </c>
      <c r="O191" s="137" t="s">
        <v>246</v>
      </c>
      <c r="P191" s="143">
        <v>45967</v>
      </c>
      <c r="Q191" s="143">
        <v>46142</v>
      </c>
      <c r="R191" s="185" t="s">
        <v>211</v>
      </c>
      <c r="S191" s="144" t="s">
        <v>478</v>
      </c>
      <c r="T191" s="145">
        <v>1</v>
      </c>
      <c r="U191" s="186" t="s">
        <v>106</v>
      </c>
      <c r="V191" s="146">
        <v>60</v>
      </c>
      <c r="W191" s="146">
        <v>60</v>
      </c>
      <c r="X191" s="147">
        <v>0</v>
      </c>
      <c r="Y191" s="146">
        <v>0</v>
      </c>
      <c r="Z191" s="146">
        <v>0</v>
      </c>
      <c r="AA191" s="146">
        <v>0</v>
      </c>
      <c r="AB191" s="146">
        <v>56</v>
      </c>
      <c r="AC191" s="146">
        <v>56</v>
      </c>
      <c r="AD191" s="146">
        <v>0</v>
      </c>
      <c r="AE191" s="146">
        <v>0</v>
      </c>
      <c r="AF191" s="146">
        <v>0</v>
      </c>
      <c r="AG191" s="146">
        <v>0</v>
      </c>
      <c r="AH191" s="146">
        <v>2</v>
      </c>
      <c r="AI191" s="146">
        <v>2</v>
      </c>
      <c r="AJ191" s="146">
        <v>0</v>
      </c>
      <c r="AK191" s="146">
        <v>0</v>
      </c>
      <c r="AL191" s="146">
        <v>0</v>
      </c>
      <c r="AM191" s="146">
        <v>0</v>
      </c>
      <c r="AN191" s="146">
        <v>5</v>
      </c>
      <c r="AO191" s="146">
        <v>5</v>
      </c>
      <c r="AP191" s="146">
        <v>4</v>
      </c>
      <c r="AQ191" s="146">
        <v>4</v>
      </c>
      <c r="AR191" s="146">
        <v>0</v>
      </c>
      <c r="AS191" s="146">
        <v>0</v>
      </c>
      <c r="AT191" s="146">
        <v>1</v>
      </c>
      <c r="AU191" s="146">
        <v>1</v>
      </c>
      <c r="AV191" s="146">
        <v>0</v>
      </c>
      <c r="AW191" s="146">
        <v>0</v>
      </c>
      <c r="AX191" s="146">
        <f t="shared" si="30"/>
        <v>10302</v>
      </c>
      <c r="AY191" s="146">
        <f t="shared" si="29"/>
        <v>10302</v>
      </c>
      <c r="AZ191" s="140" t="s">
        <v>562</v>
      </c>
      <c r="BA191" s="140" t="s">
        <v>562</v>
      </c>
      <c r="BB191" s="137">
        <v>6</v>
      </c>
      <c r="BC191" s="187">
        <v>187</v>
      </c>
      <c r="BD191" s="149"/>
      <c r="BE191" s="145"/>
      <c r="BF191" s="150"/>
      <c r="BG191" s="188">
        <v>45998</v>
      </c>
      <c r="BH191" s="153" t="s">
        <v>77</v>
      </c>
      <c r="BI191" s="153" t="s">
        <v>562</v>
      </c>
    </row>
    <row r="192" spans="1:705" s="16" customFormat="1" ht="44.1" hidden="1" customHeight="1" x14ac:dyDescent="0.3">
      <c r="A192" s="26">
        <v>188</v>
      </c>
      <c r="B192" s="138">
        <v>240994</v>
      </c>
      <c r="C192" s="138">
        <v>188</v>
      </c>
      <c r="D192" s="139">
        <v>45950</v>
      </c>
      <c r="E192" s="139">
        <f t="shared" si="27"/>
        <v>45949</v>
      </c>
      <c r="F192" s="139">
        <f t="shared" si="26"/>
        <v>45960</v>
      </c>
      <c r="G192" s="139">
        <v>46011</v>
      </c>
      <c r="H192" s="139">
        <v>45984</v>
      </c>
      <c r="I192" s="139" t="s">
        <v>123</v>
      </c>
      <c r="J192" s="140" t="s">
        <v>479</v>
      </c>
      <c r="K192" s="141">
        <f t="shared" si="28"/>
        <v>24</v>
      </c>
      <c r="L192" s="141">
        <v>1157679</v>
      </c>
      <c r="M192" s="140" t="s">
        <v>15</v>
      </c>
      <c r="N192" s="140">
        <v>806708</v>
      </c>
      <c r="O192" s="137" t="s">
        <v>246</v>
      </c>
      <c r="P192" s="143">
        <v>45967</v>
      </c>
      <c r="Q192" s="143">
        <v>46142</v>
      </c>
      <c r="R192" s="185" t="s">
        <v>211</v>
      </c>
      <c r="S192" s="144" t="s">
        <v>480</v>
      </c>
      <c r="T192" s="145">
        <v>1</v>
      </c>
      <c r="U192" s="186" t="s">
        <v>481</v>
      </c>
      <c r="V192" s="146">
        <v>75</v>
      </c>
      <c r="W192" s="146">
        <v>75</v>
      </c>
      <c r="X192" s="147">
        <v>0</v>
      </c>
      <c r="Y192" s="146">
        <v>0</v>
      </c>
      <c r="Z192" s="146">
        <v>0</v>
      </c>
      <c r="AA192" s="146">
        <v>0</v>
      </c>
      <c r="AB192" s="146">
        <v>75</v>
      </c>
      <c r="AC192" s="146">
        <v>75</v>
      </c>
      <c r="AD192" s="146">
        <v>0</v>
      </c>
      <c r="AE192" s="146">
        <v>0</v>
      </c>
      <c r="AF192" s="146">
        <v>0</v>
      </c>
      <c r="AG192" s="146">
        <v>0</v>
      </c>
      <c r="AH192" s="146">
        <v>1</v>
      </c>
      <c r="AI192" s="146">
        <v>1</v>
      </c>
      <c r="AJ192" s="146">
        <v>0</v>
      </c>
      <c r="AK192" s="146">
        <v>0</v>
      </c>
      <c r="AL192" s="146">
        <v>0</v>
      </c>
      <c r="AM192" s="146"/>
      <c r="AN192" s="146">
        <v>1</v>
      </c>
      <c r="AO192" s="146">
        <v>1</v>
      </c>
      <c r="AP192" s="146">
        <v>2</v>
      </c>
      <c r="AQ192" s="146">
        <v>2</v>
      </c>
      <c r="AR192" s="146">
        <v>0</v>
      </c>
      <c r="AS192" s="146">
        <v>0</v>
      </c>
      <c r="AT192" s="146">
        <v>1</v>
      </c>
      <c r="AU192" s="146">
        <v>1</v>
      </c>
      <c r="AV192" s="146">
        <v>0</v>
      </c>
      <c r="AW192" s="146">
        <v>0</v>
      </c>
      <c r="AX192" s="146">
        <f t="shared" si="30"/>
        <v>10615</v>
      </c>
      <c r="AY192" s="146">
        <f t="shared" si="29"/>
        <v>10615</v>
      </c>
      <c r="AZ192" s="140" t="s">
        <v>562</v>
      </c>
      <c r="BA192" s="140" t="s">
        <v>562</v>
      </c>
      <c r="BB192" s="137">
        <v>4</v>
      </c>
      <c r="BC192" s="187">
        <v>188</v>
      </c>
      <c r="BD192" s="149"/>
      <c r="BE192" s="145"/>
      <c r="BF192" s="150"/>
      <c r="BG192" s="188">
        <v>45962</v>
      </c>
      <c r="BH192" s="153" t="s">
        <v>15</v>
      </c>
      <c r="BI192" s="153" t="s">
        <v>562</v>
      </c>
    </row>
    <row r="193" spans="1:63" s="16" customFormat="1" ht="44.1" hidden="1" customHeight="1" x14ac:dyDescent="0.3">
      <c r="A193" s="26">
        <v>189</v>
      </c>
      <c r="B193" s="138">
        <v>241022</v>
      </c>
      <c r="C193" s="138">
        <v>189</v>
      </c>
      <c r="D193" s="139">
        <v>45951</v>
      </c>
      <c r="E193" s="139">
        <f t="shared" si="27"/>
        <v>45950</v>
      </c>
      <c r="F193" s="139">
        <f t="shared" si="26"/>
        <v>45961</v>
      </c>
      <c r="G193" s="139">
        <v>46043</v>
      </c>
      <c r="H193" s="139">
        <v>46135</v>
      </c>
      <c r="I193" s="139" t="s">
        <v>321</v>
      </c>
      <c r="J193" s="140" t="s">
        <v>482</v>
      </c>
      <c r="K193" s="141">
        <f t="shared" si="28"/>
        <v>174</v>
      </c>
      <c r="L193" s="141">
        <v>1158022</v>
      </c>
      <c r="M193" s="140" t="s">
        <v>15</v>
      </c>
      <c r="N193" s="140" t="s">
        <v>1158</v>
      </c>
      <c r="O193" s="137" t="s">
        <v>246</v>
      </c>
      <c r="P193" s="143">
        <v>46002</v>
      </c>
      <c r="Q193" s="143">
        <v>46142</v>
      </c>
      <c r="R193" s="185" t="s">
        <v>211</v>
      </c>
      <c r="S193" s="144" t="s">
        <v>483</v>
      </c>
      <c r="T193" s="145">
        <v>1</v>
      </c>
      <c r="U193" s="186" t="s">
        <v>484</v>
      </c>
      <c r="V193" s="146">
        <v>26</v>
      </c>
      <c r="W193" s="146">
        <v>26</v>
      </c>
      <c r="X193" s="147">
        <v>24</v>
      </c>
      <c r="Y193" s="146">
        <v>24</v>
      </c>
      <c r="Z193" s="146">
        <v>0</v>
      </c>
      <c r="AA193" s="146">
        <v>0</v>
      </c>
      <c r="AB193" s="146">
        <v>0</v>
      </c>
      <c r="AC193" s="146">
        <v>0</v>
      </c>
      <c r="AD193" s="146">
        <v>0</v>
      </c>
      <c r="AE193" s="146">
        <v>0</v>
      </c>
      <c r="AF193" s="146">
        <v>30</v>
      </c>
      <c r="AG193" s="146">
        <v>30</v>
      </c>
      <c r="AH193" s="146">
        <v>0</v>
      </c>
      <c r="AI193" s="146">
        <v>0</v>
      </c>
      <c r="AJ193" s="146">
        <v>0</v>
      </c>
      <c r="AK193" s="146">
        <v>0</v>
      </c>
      <c r="AL193" s="146">
        <v>1</v>
      </c>
      <c r="AM193" s="146">
        <v>1</v>
      </c>
      <c r="AN193" s="146">
        <v>1</v>
      </c>
      <c r="AO193" s="146">
        <v>1</v>
      </c>
      <c r="AP193" s="146">
        <v>0</v>
      </c>
      <c r="AQ193" s="146">
        <v>0</v>
      </c>
      <c r="AR193" s="146">
        <v>0</v>
      </c>
      <c r="AS193" s="146">
        <v>0</v>
      </c>
      <c r="AT193" s="146">
        <v>0</v>
      </c>
      <c r="AU193" s="146">
        <v>0</v>
      </c>
      <c r="AV193" s="146">
        <v>0</v>
      </c>
      <c r="AW193" s="146">
        <v>0</v>
      </c>
      <c r="AX193" s="146">
        <f t="shared" si="30"/>
        <v>8780</v>
      </c>
      <c r="AY193" s="146">
        <f t="shared" si="29"/>
        <v>8780</v>
      </c>
      <c r="AZ193" s="140" t="s">
        <v>562</v>
      </c>
      <c r="BA193" s="140" t="s">
        <v>562</v>
      </c>
      <c r="BB193" s="137">
        <v>10</v>
      </c>
      <c r="BC193" s="187">
        <v>189</v>
      </c>
      <c r="BD193" s="149"/>
      <c r="BE193" s="145"/>
      <c r="BF193" s="150"/>
      <c r="BG193" s="188">
        <v>46131</v>
      </c>
      <c r="BH193" s="153" t="s">
        <v>535</v>
      </c>
      <c r="BI193" s="153" t="s">
        <v>562</v>
      </c>
    </row>
    <row r="194" spans="1:63" s="16" customFormat="1" ht="44.1" customHeight="1" x14ac:dyDescent="0.3">
      <c r="A194" s="26">
        <v>190</v>
      </c>
      <c r="B194" s="110">
        <v>241027</v>
      </c>
      <c r="C194" s="110">
        <v>190</v>
      </c>
      <c r="D194" s="111">
        <v>45951</v>
      </c>
      <c r="E194" s="111">
        <f t="shared" si="27"/>
        <v>45950</v>
      </c>
      <c r="F194" s="111">
        <f t="shared" si="26"/>
        <v>45961</v>
      </c>
      <c r="G194" s="111">
        <v>46043</v>
      </c>
      <c r="H194" s="111">
        <f ca="1">TODAY()</f>
        <v>46277</v>
      </c>
      <c r="I194" s="111" t="s">
        <v>321</v>
      </c>
      <c r="J194" s="112" t="s">
        <v>485</v>
      </c>
      <c r="K194" s="113">
        <f t="shared" ca="1" si="28"/>
        <v>316</v>
      </c>
      <c r="L194" s="113">
        <v>1158077</v>
      </c>
      <c r="M194" s="114" t="s">
        <v>366</v>
      </c>
      <c r="N194" s="112" t="s">
        <v>365</v>
      </c>
      <c r="O194" s="109" t="s">
        <v>365</v>
      </c>
      <c r="P194" s="115" t="s">
        <v>77</v>
      </c>
      <c r="Q194" s="115" t="s">
        <v>77</v>
      </c>
      <c r="R194" s="131" t="s">
        <v>211</v>
      </c>
      <c r="S194" s="117" t="s">
        <v>486</v>
      </c>
      <c r="T194" s="118">
        <v>2</v>
      </c>
      <c r="U194" s="132" t="s">
        <v>106</v>
      </c>
      <c r="V194" s="119">
        <v>175</v>
      </c>
      <c r="W194" s="119"/>
      <c r="X194" s="120">
        <v>0</v>
      </c>
      <c r="Y194" s="119">
        <v>0</v>
      </c>
      <c r="Z194" s="119">
        <v>0</v>
      </c>
      <c r="AA194" s="119">
        <v>0</v>
      </c>
      <c r="AB194" s="119">
        <v>0</v>
      </c>
      <c r="AC194" s="119"/>
      <c r="AD194" s="119">
        <v>0</v>
      </c>
      <c r="AE194" s="119">
        <v>0</v>
      </c>
      <c r="AF194" s="119">
        <v>0</v>
      </c>
      <c r="AG194" s="119">
        <v>0</v>
      </c>
      <c r="AH194" s="119">
        <v>0</v>
      </c>
      <c r="AI194" s="119"/>
      <c r="AJ194" s="119">
        <v>0</v>
      </c>
      <c r="AK194" s="119">
        <v>0</v>
      </c>
      <c r="AL194" s="119">
        <v>2</v>
      </c>
      <c r="AM194" s="119"/>
      <c r="AN194" s="119">
        <v>2</v>
      </c>
      <c r="AO194" s="119"/>
      <c r="AP194" s="119">
        <v>2</v>
      </c>
      <c r="AQ194" s="119"/>
      <c r="AR194" s="119">
        <v>0</v>
      </c>
      <c r="AS194" s="119">
        <v>0</v>
      </c>
      <c r="AT194" s="119">
        <v>0</v>
      </c>
      <c r="AU194" s="119"/>
      <c r="AV194" s="119">
        <v>0</v>
      </c>
      <c r="AW194" s="119">
        <v>0</v>
      </c>
      <c r="AX194" s="146">
        <f t="shared" si="30"/>
        <v>13060</v>
      </c>
      <c r="AY194" s="146">
        <f t="shared" si="29"/>
        <v>0</v>
      </c>
      <c r="AZ194" s="109" t="s">
        <v>365</v>
      </c>
      <c r="BA194" s="112" t="s">
        <v>77</v>
      </c>
      <c r="BB194" s="109" t="s">
        <v>77</v>
      </c>
      <c r="BC194" s="133">
        <v>190</v>
      </c>
      <c r="BD194" s="122"/>
      <c r="BE194" s="118"/>
      <c r="BF194" s="123"/>
      <c r="BG194" s="109"/>
      <c r="BH194" s="125" t="s">
        <v>77</v>
      </c>
      <c r="BI194" s="125" t="s">
        <v>77</v>
      </c>
    </row>
    <row r="195" spans="1:63" s="41" customFormat="1" ht="44.1" hidden="1" customHeight="1" x14ac:dyDescent="0.3">
      <c r="A195" s="26">
        <v>191</v>
      </c>
      <c r="B195" s="136">
        <v>241028</v>
      </c>
      <c r="C195" s="138">
        <v>191</v>
      </c>
      <c r="D195" s="139">
        <v>45951</v>
      </c>
      <c r="E195" s="139">
        <f t="shared" si="27"/>
        <v>45950</v>
      </c>
      <c r="F195" s="139">
        <f t="shared" si="26"/>
        <v>45961</v>
      </c>
      <c r="G195" s="139">
        <v>46043</v>
      </c>
      <c r="H195" s="139">
        <v>45980</v>
      </c>
      <c r="I195" s="139" t="s">
        <v>321</v>
      </c>
      <c r="J195" s="140" t="s">
        <v>487</v>
      </c>
      <c r="K195" s="141">
        <f t="shared" si="28"/>
        <v>19</v>
      </c>
      <c r="L195" s="141">
        <v>1158094</v>
      </c>
      <c r="M195" s="140" t="s">
        <v>15</v>
      </c>
      <c r="N195" s="140">
        <v>806940</v>
      </c>
      <c r="O195" s="137" t="s">
        <v>246</v>
      </c>
      <c r="P195" s="143">
        <v>45966</v>
      </c>
      <c r="Q195" s="143">
        <v>46142</v>
      </c>
      <c r="R195" s="185" t="s">
        <v>211</v>
      </c>
      <c r="S195" s="144" t="s">
        <v>488</v>
      </c>
      <c r="T195" s="145">
        <v>1</v>
      </c>
      <c r="U195" s="137" t="s">
        <v>489</v>
      </c>
      <c r="V195" s="146">
        <v>48</v>
      </c>
      <c r="W195" s="146">
        <v>48</v>
      </c>
      <c r="X195" s="147">
        <v>0</v>
      </c>
      <c r="Y195" s="146">
        <v>0</v>
      </c>
      <c r="Z195" s="146">
        <v>0</v>
      </c>
      <c r="AA195" s="146">
        <v>0</v>
      </c>
      <c r="AB195" s="146">
        <v>0</v>
      </c>
      <c r="AC195" s="146"/>
      <c r="AD195" s="146">
        <v>0</v>
      </c>
      <c r="AE195" s="146">
        <v>0</v>
      </c>
      <c r="AF195" s="146">
        <v>0</v>
      </c>
      <c r="AG195" s="146">
        <v>0</v>
      </c>
      <c r="AH195" s="146">
        <v>0</v>
      </c>
      <c r="AI195" s="146"/>
      <c r="AJ195" s="146">
        <v>0</v>
      </c>
      <c r="AK195" s="146">
        <v>0</v>
      </c>
      <c r="AL195" s="146">
        <v>0</v>
      </c>
      <c r="AM195" s="146"/>
      <c r="AN195" s="146">
        <v>1</v>
      </c>
      <c r="AO195" s="146">
        <v>1</v>
      </c>
      <c r="AP195" s="146">
        <v>1</v>
      </c>
      <c r="AQ195" s="146">
        <v>1</v>
      </c>
      <c r="AR195" s="146">
        <v>0</v>
      </c>
      <c r="AS195" s="146">
        <v>0</v>
      </c>
      <c r="AT195" s="146">
        <v>0</v>
      </c>
      <c r="AU195" s="146"/>
      <c r="AV195" s="146">
        <v>0</v>
      </c>
      <c r="AW195" s="146">
        <v>0</v>
      </c>
      <c r="AX195" s="146">
        <f t="shared" si="30"/>
        <v>3570</v>
      </c>
      <c r="AY195" s="146">
        <f t="shared" si="29"/>
        <v>3570</v>
      </c>
      <c r="AZ195" s="140" t="s">
        <v>562</v>
      </c>
      <c r="BA195" s="140" t="s">
        <v>562</v>
      </c>
      <c r="BB195" s="189">
        <v>3</v>
      </c>
      <c r="BC195" s="148">
        <v>191</v>
      </c>
      <c r="BD195" s="149"/>
      <c r="BE195" s="145"/>
      <c r="BF195" s="150"/>
      <c r="BG195" s="151">
        <v>45962</v>
      </c>
      <c r="BH195" s="153" t="s">
        <v>535</v>
      </c>
      <c r="BI195" s="153" t="s">
        <v>562</v>
      </c>
    </row>
    <row r="196" spans="1:63" s="16" customFormat="1" ht="43.95" hidden="1" customHeight="1" x14ac:dyDescent="0.3">
      <c r="A196" s="26">
        <v>192</v>
      </c>
      <c r="B196" s="138">
        <v>241029</v>
      </c>
      <c r="C196" s="138">
        <v>192</v>
      </c>
      <c r="D196" s="139">
        <v>45951</v>
      </c>
      <c r="E196" s="139">
        <f t="shared" si="27"/>
        <v>45950</v>
      </c>
      <c r="F196" s="139">
        <f t="shared" si="26"/>
        <v>45961</v>
      </c>
      <c r="G196" s="139">
        <v>46043</v>
      </c>
      <c r="H196" s="139">
        <v>46181</v>
      </c>
      <c r="I196" s="139" t="s">
        <v>321</v>
      </c>
      <c r="J196" s="140" t="s">
        <v>490</v>
      </c>
      <c r="K196" s="141">
        <f t="shared" si="28"/>
        <v>220</v>
      </c>
      <c r="L196" s="141">
        <v>1158098</v>
      </c>
      <c r="M196" s="140" t="s">
        <v>15</v>
      </c>
      <c r="N196" s="140">
        <v>810552</v>
      </c>
      <c r="O196" s="137" t="s">
        <v>246</v>
      </c>
      <c r="P196" s="143">
        <v>46016</v>
      </c>
      <c r="Q196" s="143">
        <v>46184</v>
      </c>
      <c r="R196" s="185" t="s">
        <v>211</v>
      </c>
      <c r="S196" s="144" t="s">
        <v>491</v>
      </c>
      <c r="T196" s="145">
        <v>1</v>
      </c>
      <c r="U196" s="186" t="s">
        <v>122</v>
      </c>
      <c r="V196" s="146">
        <v>67</v>
      </c>
      <c r="W196" s="146">
        <v>67</v>
      </c>
      <c r="X196" s="147">
        <v>0</v>
      </c>
      <c r="Y196" s="146">
        <v>0</v>
      </c>
      <c r="Z196" s="146">
        <v>0</v>
      </c>
      <c r="AA196" s="146">
        <v>0</v>
      </c>
      <c r="AB196" s="146">
        <v>0</v>
      </c>
      <c r="AC196" s="146">
        <v>0</v>
      </c>
      <c r="AD196" s="146">
        <v>0</v>
      </c>
      <c r="AE196" s="146">
        <v>0</v>
      </c>
      <c r="AF196" s="146">
        <v>0</v>
      </c>
      <c r="AG196" s="146">
        <v>0</v>
      </c>
      <c r="AH196" s="146">
        <v>0</v>
      </c>
      <c r="AI196" s="146">
        <v>0</v>
      </c>
      <c r="AJ196" s="146">
        <v>1</v>
      </c>
      <c r="AK196" s="146">
        <v>1</v>
      </c>
      <c r="AL196" s="146">
        <v>0</v>
      </c>
      <c r="AM196" s="146">
        <v>0</v>
      </c>
      <c r="AN196" s="146">
        <v>1</v>
      </c>
      <c r="AO196" s="146">
        <v>1</v>
      </c>
      <c r="AP196" s="146">
        <v>0</v>
      </c>
      <c r="AQ196" s="146">
        <v>0</v>
      </c>
      <c r="AR196" s="146">
        <v>0</v>
      </c>
      <c r="AS196" s="146">
        <v>0</v>
      </c>
      <c r="AT196" s="146">
        <v>0</v>
      </c>
      <c r="AU196" s="146">
        <v>0</v>
      </c>
      <c r="AV196" s="146">
        <v>0</v>
      </c>
      <c r="AW196" s="146">
        <v>0</v>
      </c>
      <c r="AX196" s="146">
        <f t="shared" si="30"/>
        <v>4455</v>
      </c>
      <c r="AY196" s="146">
        <f t="shared" si="29"/>
        <v>4455</v>
      </c>
      <c r="AZ196" s="140" t="s">
        <v>562</v>
      </c>
      <c r="BA196" s="140" t="s">
        <v>562</v>
      </c>
      <c r="BB196" s="140">
        <v>12</v>
      </c>
      <c r="BC196" s="187">
        <v>192</v>
      </c>
      <c r="BD196" s="149"/>
      <c r="BE196" s="145"/>
      <c r="BF196" s="150"/>
      <c r="BG196" s="188">
        <v>46177</v>
      </c>
      <c r="BH196" s="153" t="s">
        <v>535</v>
      </c>
      <c r="BI196" s="153" t="s">
        <v>562</v>
      </c>
    </row>
    <row r="197" spans="1:63" s="16" customFormat="1" ht="44.1" hidden="1" customHeight="1" x14ac:dyDescent="0.3">
      <c r="A197" s="26">
        <v>193</v>
      </c>
      <c r="B197" s="138">
        <v>241030</v>
      </c>
      <c r="C197" s="138">
        <v>193</v>
      </c>
      <c r="D197" s="139">
        <v>45951</v>
      </c>
      <c r="E197" s="139">
        <f t="shared" si="27"/>
        <v>45950</v>
      </c>
      <c r="F197" s="139">
        <f t="shared" si="26"/>
        <v>45961</v>
      </c>
      <c r="G197" s="139">
        <v>46043</v>
      </c>
      <c r="H197" s="139">
        <v>46090</v>
      </c>
      <c r="I197" s="139" t="s">
        <v>321</v>
      </c>
      <c r="J197" s="140" t="s">
        <v>492</v>
      </c>
      <c r="K197" s="141">
        <f t="shared" si="28"/>
        <v>129</v>
      </c>
      <c r="L197" s="141">
        <v>1158103</v>
      </c>
      <c r="M197" s="140" t="s">
        <v>15</v>
      </c>
      <c r="N197" s="142">
        <v>810943</v>
      </c>
      <c r="O197" s="140" t="s">
        <v>246</v>
      </c>
      <c r="P197" s="143">
        <v>46021</v>
      </c>
      <c r="Q197" s="143">
        <v>46198</v>
      </c>
      <c r="R197" s="185" t="s">
        <v>211</v>
      </c>
      <c r="S197" s="144" t="s">
        <v>493</v>
      </c>
      <c r="T197" s="145">
        <v>1</v>
      </c>
      <c r="U197" s="186" t="s">
        <v>106</v>
      </c>
      <c r="V197" s="146">
        <v>46</v>
      </c>
      <c r="W197" s="146">
        <v>46</v>
      </c>
      <c r="X197" s="147">
        <v>0</v>
      </c>
      <c r="Y197" s="146">
        <v>0</v>
      </c>
      <c r="Z197" s="146">
        <v>0</v>
      </c>
      <c r="AA197" s="146">
        <v>0</v>
      </c>
      <c r="AB197" s="146">
        <v>46</v>
      </c>
      <c r="AC197" s="146">
        <v>46</v>
      </c>
      <c r="AD197" s="146">
        <v>0</v>
      </c>
      <c r="AE197" s="146">
        <v>0</v>
      </c>
      <c r="AF197" s="146">
        <v>0</v>
      </c>
      <c r="AG197" s="146">
        <v>0</v>
      </c>
      <c r="AH197" s="146"/>
      <c r="AI197" s="146"/>
      <c r="AJ197" s="146">
        <v>0</v>
      </c>
      <c r="AK197" s="146">
        <v>0</v>
      </c>
      <c r="AL197" s="146">
        <v>1</v>
      </c>
      <c r="AM197" s="146">
        <v>1</v>
      </c>
      <c r="AN197" s="146">
        <v>1</v>
      </c>
      <c r="AO197" s="146">
        <v>1</v>
      </c>
      <c r="AP197" s="146"/>
      <c r="AQ197" s="146"/>
      <c r="AR197" s="146">
        <v>0</v>
      </c>
      <c r="AS197" s="146">
        <v>0</v>
      </c>
      <c r="AT197" s="146"/>
      <c r="AU197" s="146"/>
      <c r="AV197" s="146">
        <v>0</v>
      </c>
      <c r="AW197" s="146">
        <v>0</v>
      </c>
      <c r="AX197" s="146">
        <f t="shared" si="30"/>
        <v>6032</v>
      </c>
      <c r="AY197" s="146">
        <f t="shared" si="29"/>
        <v>6032</v>
      </c>
      <c r="AZ197" s="140" t="s">
        <v>562</v>
      </c>
      <c r="BA197" s="140" t="s">
        <v>562</v>
      </c>
      <c r="BB197" s="137">
        <v>10</v>
      </c>
      <c r="BC197" s="187">
        <v>193</v>
      </c>
      <c r="BD197" s="149"/>
      <c r="BE197" s="145"/>
      <c r="BF197" s="150"/>
      <c r="BG197" s="188">
        <v>46089</v>
      </c>
      <c r="BH197" s="153" t="s">
        <v>535</v>
      </c>
      <c r="BI197" s="153" t="s">
        <v>562</v>
      </c>
    </row>
    <row r="198" spans="1:63" s="41" customFormat="1" ht="44.1" hidden="1" customHeight="1" x14ac:dyDescent="0.3">
      <c r="A198" s="26">
        <v>194</v>
      </c>
      <c r="B198" s="136">
        <v>241031</v>
      </c>
      <c r="C198" s="138">
        <v>194</v>
      </c>
      <c r="D198" s="139">
        <v>45951</v>
      </c>
      <c r="E198" s="139">
        <f t="shared" si="27"/>
        <v>45950</v>
      </c>
      <c r="F198" s="139">
        <f t="shared" si="26"/>
        <v>45961</v>
      </c>
      <c r="G198" s="139">
        <v>46043</v>
      </c>
      <c r="H198" s="139">
        <v>45980</v>
      </c>
      <c r="I198" s="139" t="s">
        <v>321</v>
      </c>
      <c r="J198" s="140" t="s">
        <v>494</v>
      </c>
      <c r="K198" s="141">
        <f t="shared" si="28"/>
        <v>19</v>
      </c>
      <c r="L198" s="141">
        <v>1158120</v>
      </c>
      <c r="M198" s="140" t="s">
        <v>15</v>
      </c>
      <c r="N198" s="140">
        <v>806940</v>
      </c>
      <c r="O198" s="137" t="s">
        <v>246</v>
      </c>
      <c r="P198" s="143">
        <v>45966</v>
      </c>
      <c r="Q198" s="143">
        <v>46142</v>
      </c>
      <c r="R198" s="185" t="s">
        <v>211</v>
      </c>
      <c r="S198" s="144" t="s">
        <v>495</v>
      </c>
      <c r="T198" s="145">
        <v>1</v>
      </c>
      <c r="U198" s="137" t="s">
        <v>489</v>
      </c>
      <c r="V198" s="146">
        <v>57</v>
      </c>
      <c r="W198" s="146">
        <v>57</v>
      </c>
      <c r="X198" s="147">
        <v>0</v>
      </c>
      <c r="Y198" s="146">
        <v>0</v>
      </c>
      <c r="Z198" s="146">
        <v>0</v>
      </c>
      <c r="AA198" s="146">
        <v>0</v>
      </c>
      <c r="AB198" s="146">
        <v>0</v>
      </c>
      <c r="AC198" s="146"/>
      <c r="AD198" s="146">
        <v>0</v>
      </c>
      <c r="AE198" s="146">
        <v>0</v>
      </c>
      <c r="AF198" s="146">
        <v>0</v>
      </c>
      <c r="AG198" s="146">
        <v>0</v>
      </c>
      <c r="AH198" s="146">
        <v>0</v>
      </c>
      <c r="AI198" s="146"/>
      <c r="AJ198" s="146">
        <v>0</v>
      </c>
      <c r="AK198" s="146">
        <v>0</v>
      </c>
      <c r="AL198" s="146">
        <v>0</v>
      </c>
      <c r="AM198" s="146"/>
      <c r="AN198" s="146">
        <v>1</v>
      </c>
      <c r="AO198" s="146">
        <v>1</v>
      </c>
      <c r="AP198" s="146">
        <v>1</v>
      </c>
      <c r="AQ198" s="146">
        <v>1</v>
      </c>
      <c r="AR198" s="146">
        <v>0</v>
      </c>
      <c r="AS198" s="146">
        <v>0</v>
      </c>
      <c r="AT198" s="146">
        <v>0</v>
      </c>
      <c r="AU198" s="146"/>
      <c r="AV198" s="146">
        <v>0</v>
      </c>
      <c r="AW198" s="146">
        <v>0</v>
      </c>
      <c r="AX198" s="146">
        <f t="shared" si="30"/>
        <v>4110</v>
      </c>
      <c r="AY198" s="146">
        <f t="shared" si="29"/>
        <v>4110</v>
      </c>
      <c r="AZ198" s="140" t="s">
        <v>562</v>
      </c>
      <c r="BA198" s="140" t="s">
        <v>562</v>
      </c>
      <c r="BB198" s="189">
        <v>3</v>
      </c>
      <c r="BC198" s="148">
        <v>194</v>
      </c>
      <c r="BD198" s="149"/>
      <c r="BE198" s="145"/>
      <c r="BF198" s="150"/>
      <c r="BG198" s="151">
        <v>45962</v>
      </c>
      <c r="BH198" s="153" t="s">
        <v>535</v>
      </c>
      <c r="BI198" s="153" t="s">
        <v>562</v>
      </c>
    </row>
    <row r="199" spans="1:63" s="16" customFormat="1" ht="44.1" hidden="1" customHeight="1" x14ac:dyDescent="0.3">
      <c r="A199" s="26">
        <v>195</v>
      </c>
      <c r="B199" s="138">
        <v>241046</v>
      </c>
      <c r="C199" s="138">
        <v>195</v>
      </c>
      <c r="D199" s="139">
        <v>45951</v>
      </c>
      <c r="E199" s="139">
        <f t="shared" si="27"/>
        <v>45950</v>
      </c>
      <c r="F199" s="139">
        <f t="shared" si="26"/>
        <v>45961</v>
      </c>
      <c r="G199" s="139">
        <v>46377</v>
      </c>
      <c r="H199" s="139">
        <v>45783</v>
      </c>
      <c r="I199" s="139" t="s">
        <v>123</v>
      </c>
      <c r="J199" s="140" t="s">
        <v>496</v>
      </c>
      <c r="K199" s="141">
        <f t="shared" si="28"/>
        <v>-178</v>
      </c>
      <c r="L199" s="141">
        <v>1158164</v>
      </c>
      <c r="M199" s="140" t="s">
        <v>15</v>
      </c>
      <c r="N199" s="140">
        <v>806709</v>
      </c>
      <c r="O199" s="137" t="s">
        <v>246</v>
      </c>
      <c r="P199" s="143">
        <v>45981</v>
      </c>
      <c r="Q199" s="143">
        <v>46156</v>
      </c>
      <c r="R199" s="185" t="s">
        <v>211</v>
      </c>
      <c r="S199" s="144" t="s">
        <v>497</v>
      </c>
      <c r="T199" s="145">
        <v>1</v>
      </c>
      <c r="U199" s="186" t="s">
        <v>173</v>
      </c>
      <c r="V199" s="146">
        <v>96</v>
      </c>
      <c r="W199" s="146">
        <v>96</v>
      </c>
      <c r="X199" s="147"/>
      <c r="Y199" s="146">
        <v>0</v>
      </c>
      <c r="Z199" s="146">
        <v>0</v>
      </c>
      <c r="AA199" s="146">
        <v>0</v>
      </c>
      <c r="AB199" s="146">
        <v>0</v>
      </c>
      <c r="AC199" s="146"/>
      <c r="AD199" s="146">
        <v>0</v>
      </c>
      <c r="AE199" s="146">
        <v>0</v>
      </c>
      <c r="AF199" s="146">
        <v>0</v>
      </c>
      <c r="AG199" s="146">
        <v>0</v>
      </c>
      <c r="AH199" s="146">
        <v>1</v>
      </c>
      <c r="AI199" s="146">
        <v>1</v>
      </c>
      <c r="AJ199" s="146">
        <v>0</v>
      </c>
      <c r="AK199" s="146">
        <v>0</v>
      </c>
      <c r="AL199" s="146">
        <v>0</v>
      </c>
      <c r="AM199" s="146"/>
      <c r="AN199" s="146">
        <v>1</v>
      </c>
      <c r="AO199" s="146">
        <v>1</v>
      </c>
      <c r="AP199" s="146">
        <v>2</v>
      </c>
      <c r="AQ199" s="146">
        <v>2</v>
      </c>
      <c r="AR199" s="146">
        <v>0</v>
      </c>
      <c r="AS199" s="146">
        <v>0</v>
      </c>
      <c r="AT199" s="146">
        <v>0</v>
      </c>
      <c r="AU199" s="146"/>
      <c r="AV199" s="146">
        <v>1</v>
      </c>
      <c r="AW199" s="146">
        <v>1</v>
      </c>
      <c r="AX199" s="146">
        <f t="shared" si="30"/>
        <v>8200</v>
      </c>
      <c r="AY199" s="146">
        <f t="shared" si="29"/>
        <v>8200</v>
      </c>
      <c r="AZ199" s="140" t="s">
        <v>562</v>
      </c>
      <c r="BA199" s="140" t="s">
        <v>562</v>
      </c>
      <c r="BB199" s="137">
        <v>5</v>
      </c>
      <c r="BC199" s="187">
        <v>195</v>
      </c>
      <c r="BD199" s="149"/>
      <c r="BE199" s="145"/>
      <c r="BF199" s="150"/>
      <c r="BG199" s="188">
        <v>45992</v>
      </c>
      <c r="BH199" s="153" t="s">
        <v>15</v>
      </c>
      <c r="BI199" s="153" t="s">
        <v>562</v>
      </c>
    </row>
    <row r="200" spans="1:63" s="16" customFormat="1" ht="44.1" hidden="1" customHeight="1" x14ac:dyDescent="0.3">
      <c r="A200" s="26">
        <v>196</v>
      </c>
      <c r="B200" s="138">
        <v>241070</v>
      </c>
      <c r="C200" s="138">
        <v>196</v>
      </c>
      <c r="D200" s="139">
        <v>45951</v>
      </c>
      <c r="E200" s="139">
        <f t="shared" ref="E200:E231" si="31">D200-1</f>
        <v>45950</v>
      </c>
      <c r="F200" s="139">
        <f>E200-1</f>
        <v>45949</v>
      </c>
      <c r="G200" s="139">
        <f>F200-1</f>
        <v>45948</v>
      </c>
      <c r="H200" s="139">
        <v>45955</v>
      </c>
      <c r="I200" s="139" t="s">
        <v>75</v>
      </c>
      <c r="J200" s="140" t="s">
        <v>498</v>
      </c>
      <c r="K200" s="141">
        <f t="shared" ref="K200:K236" si="32">H200-F200</f>
        <v>6</v>
      </c>
      <c r="L200" s="141">
        <v>1158300</v>
      </c>
      <c r="M200" s="140" t="s">
        <v>15</v>
      </c>
      <c r="N200" s="140" t="s">
        <v>251</v>
      </c>
      <c r="O200" s="137" t="s">
        <v>251</v>
      </c>
      <c r="P200" s="143" t="s">
        <v>213</v>
      </c>
      <c r="Q200" s="143" t="s">
        <v>213</v>
      </c>
      <c r="R200" s="185" t="s">
        <v>211</v>
      </c>
      <c r="S200" s="144" t="s">
        <v>499</v>
      </c>
      <c r="T200" s="145">
        <v>1</v>
      </c>
      <c r="U200" s="186" t="s">
        <v>374</v>
      </c>
      <c r="V200" s="146">
        <v>0</v>
      </c>
      <c r="W200" s="146">
        <v>0</v>
      </c>
      <c r="X200" s="147">
        <v>0</v>
      </c>
      <c r="Y200" s="146">
        <v>0</v>
      </c>
      <c r="Z200" s="146">
        <v>0</v>
      </c>
      <c r="AA200" s="146">
        <v>0</v>
      </c>
      <c r="AB200" s="146">
        <v>0</v>
      </c>
      <c r="AC200" s="146"/>
      <c r="AD200" s="146">
        <v>0</v>
      </c>
      <c r="AE200" s="146">
        <v>0</v>
      </c>
      <c r="AF200" s="146">
        <v>0</v>
      </c>
      <c r="AG200" s="146">
        <v>0</v>
      </c>
      <c r="AH200" s="146">
        <v>1</v>
      </c>
      <c r="AI200" s="146">
        <v>1</v>
      </c>
      <c r="AJ200" s="146">
        <v>0</v>
      </c>
      <c r="AK200" s="146">
        <v>0</v>
      </c>
      <c r="AL200" s="146">
        <v>0</v>
      </c>
      <c r="AM200" s="146">
        <v>0</v>
      </c>
      <c r="AN200" s="146">
        <v>0</v>
      </c>
      <c r="AO200" s="146"/>
      <c r="AP200" s="146">
        <v>0</v>
      </c>
      <c r="AQ200" s="146"/>
      <c r="AR200" s="146">
        <v>0</v>
      </c>
      <c r="AS200" s="146">
        <v>0</v>
      </c>
      <c r="AT200" s="146">
        <v>1</v>
      </c>
      <c r="AU200" s="146">
        <v>1</v>
      </c>
      <c r="AV200" s="146">
        <v>0</v>
      </c>
      <c r="AW200" s="146">
        <v>0</v>
      </c>
      <c r="AX200" s="146">
        <f t="shared" si="30"/>
        <v>520</v>
      </c>
      <c r="AY200" s="146">
        <f t="shared" si="29"/>
        <v>520</v>
      </c>
      <c r="AZ200" s="140" t="s">
        <v>562</v>
      </c>
      <c r="BA200" s="140" t="s">
        <v>562</v>
      </c>
      <c r="BB200" s="137">
        <v>7</v>
      </c>
      <c r="BC200" s="187">
        <v>196</v>
      </c>
      <c r="BD200" s="149"/>
      <c r="BE200" s="145"/>
      <c r="BF200" s="150"/>
      <c r="BG200" s="151">
        <v>45931</v>
      </c>
      <c r="BH200" s="153" t="s">
        <v>15</v>
      </c>
      <c r="BI200" s="153" t="s">
        <v>562</v>
      </c>
    </row>
    <row r="201" spans="1:63" s="16" customFormat="1" ht="44.1" hidden="1" customHeight="1" x14ac:dyDescent="0.3">
      <c r="A201" s="26">
        <v>197</v>
      </c>
      <c r="B201" s="138">
        <v>241083</v>
      </c>
      <c r="C201" s="138">
        <v>197</v>
      </c>
      <c r="D201" s="139">
        <v>45952</v>
      </c>
      <c r="E201" s="139">
        <f t="shared" si="31"/>
        <v>45951</v>
      </c>
      <c r="F201" s="139">
        <f t="shared" ref="F201:F264" si="33">D201+10</f>
        <v>45962</v>
      </c>
      <c r="G201" s="139">
        <v>46044</v>
      </c>
      <c r="H201" s="139">
        <v>46132</v>
      </c>
      <c r="I201" s="139" t="s">
        <v>321</v>
      </c>
      <c r="J201" s="140" t="s">
        <v>502</v>
      </c>
      <c r="K201" s="141">
        <f t="shared" si="32"/>
        <v>170</v>
      </c>
      <c r="L201" s="141">
        <v>1158643</v>
      </c>
      <c r="M201" s="140" t="s">
        <v>15</v>
      </c>
      <c r="N201" s="140">
        <v>810552</v>
      </c>
      <c r="O201" s="137" t="s">
        <v>246</v>
      </c>
      <c r="P201" s="143">
        <v>46016</v>
      </c>
      <c r="Q201" s="143">
        <v>46184</v>
      </c>
      <c r="R201" s="185" t="s">
        <v>211</v>
      </c>
      <c r="S201" s="144" t="s">
        <v>503</v>
      </c>
      <c r="T201" s="145">
        <v>1</v>
      </c>
      <c r="U201" s="186" t="s">
        <v>122</v>
      </c>
      <c r="V201" s="146">
        <v>135</v>
      </c>
      <c r="W201" s="146">
        <v>135</v>
      </c>
      <c r="X201" s="147">
        <v>0</v>
      </c>
      <c r="Y201" s="146">
        <v>0</v>
      </c>
      <c r="Z201" s="146">
        <v>0</v>
      </c>
      <c r="AA201" s="146">
        <v>0</v>
      </c>
      <c r="AB201" s="146">
        <v>0</v>
      </c>
      <c r="AC201" s="146">
        <v>0</v>
      </c>
      <c r="AD201" s="146">
        <v>0</v>
      </c>
      <c r="AE201" s="146">
        <v>0</v>
      </c>
      <c r="AF201" s="146">
        <v>0</v>
      </c>
      <c r="AG201" s="146">
        <v>0</v>
      </c>
      <c r="AH201" s="146">
        <v>1</v>
      </c>
      <c r="AI201" s="146">
        <v>1</v>
      </c>
      <c r="AJ201" s="146">
        <v>0</v>
      </c>
      <c r="AK201" s="146">
        <v>0</v>
      </c>
      <c r="AL201" s="146">
        <v>0</v>
      </c>
      <c r="AM201" s="146">
        <v>0</v>
      </c>
      <c r="AN201" s="146">
        <v>2</v>
      </c>
      <c r="AO201" s="146">
        <v>2</v>
      </c>
      <c r="AP201" s="146">
        <v>2</v>
      </c>
      <c r="AQ201" s="146">
        <v>2</v>
      </c>
      <c r="AR201" s="146">
        <v>0</v>
      </c>
      <c r="AS201" s="146">
        <v>0</v>
      </c>
      <c r="AT201" s="146">
        <v>0</v>
      </c>
      <c r="AU201" s="146">
        <v>0</v>
      </c>
      <c r="AV201" s="146">
        <v>0</v>
      </c>
      <c r="AW201" s="146">
        <v>0</v>
      </c>
      <c r="AX201" s="146">
        <f t="shared" si="30"/>
        <v>9650</v>
      </c>
      <c r="AY201" s="146">
        <f t="shared" si="29"/>
        <v>9650</v>
      </c>
      <c r="AZ201" s="137" t="s">
        <v>562</v>
      </c>
      <c r="BA201" s="137" t="s">
        <v>562</v>
      </c>
      <c r="BB201" s="137">
        <v>11</v>
      </c>
      <c r="BC201" s="187">
        <v>197</v>
      </c>
      <c r="BD201" s="149"/>
      <c r="BE201" s="145"/>
      <c r="BF201" s="150"/>
      <c r="BG201" s="188">
        <v>46126</v>
      </c>
      <c r="BH201" s="153" t="s">
        <v>535</v>
      </c>
      <c r="BI201" s="153" t="s">
        <v>562</v>
      </c>
      <c r="BK201" s="238"/>
    </row>
    <row r="202" spans="1:63" s="16" customFormat="1" ht="44.1" hidden="1" customHeight="1" x14ac:dyDescent="0.3">
      <c r="A202" s="26">
        <v>198</v>
      </c>
      <c r="B202" s="138">
        <v>241084</v>
      </c>
      <c r="C202" s="138">
        <v>198</v>
      </c>
      <c r="D202" s="139">
        <v>45952</v>
      </c>
      <c r="E202" s="139">
        <f t="shared" si="31"/>
        <v>45951</v>
      </c>
      <c r="F202" s="139">
        <f t="shared" si="33"/>
        <v>45962</v>
      </c>
      <c r="G202" s="139">
        <v>46044</v>
      </c>
      <c r="H202" s="139">
        <v>46068</v>
      </c>
      <c r="I202" s="139" t="s">
        <v>321</v>
      </c>
      <c r="J202" s="140" t="s">
        <v>504</v>
      </c>
      <c r="K202" s="141">
        <f t="shared" si="32"/>
        <v>106</v>
      </c>
      <c r="L202" s="141">
        <v>1158652</v>
      </c>
      <c r="M202" s="140" t="s">
        <v>15</v>
      </c>
      <c r="N202" s="140">
        <v>810948</v>
      </c>
      <c r="O202" s="137" t="s">
        <v>246</v>
      </c>
      <c r="P202" s="143">
        <v>46029</v>
      </c>
      <c r="Q202" s="143">
        <v>46198</v>
      </c>
      <c r="R202" s="185" t="s">
        <v>211</v>
      </c>
      <c r="S202" s="144" t="s">
        <v>505</v>
      </c>
      <c r="T202" s="145">
        <v>1</v>
      </c>
      <c r="U202" s="186" t="s">
        <v>106</v>
      </c>
      <c r="V202" s="146">
        <v>153</v>
      </c>
      <c r="W202" s="146">
        <v>153</v>
      </c>
      <c r="X202" s="147">
        <v>0</v>
      </c>
      <c r="Y202" s="146">
        <v>0</v>
      </c>
      <c r="Z202" s="146">
        <v>40</v>
      </c>
      <c r="AA202" s="146">
        <v>40</v>
      </c>
      <c r="AB202" s="146">
        <v>0</v>
      </c>
      <c r="AC202" s="146"/>
      <c r="AD202" s="146">
        <v>0</v>
      </c>
      <c r="AE202" s="146">
        <v>0</v>
      </c>
      <c r="AF202" s="146">
        <v>0</v>
      </c>
      <c r="AG202" s="146">
        <v>0</v>
      </c>
      <c r="AH202" s="146">
        <v>0</v>
      </c>
      <c r="AI202" s="146"/>
      <c r="AJ202" s="146">
        <v>1</v>
      </c>
      <c r="AK202" s="146">
        <v>1</v>
      </c>
      <c r="AL202" s="146">
        <v>0</v>
      </c>
      <c r="AM202" s="146"/>
      <c r="AN202" s="146">
        <v>1</v>
      </c>
      <c r="AO202" s="146">
        <v>1</v>
      </c>
      <c r="AP202" s="146">
        <v>0</v>
      </c>
      <c r="AQ202" s="146"/>
      <c r="AR202" s="146">
        <v>0</v>
      </c>
      <c r="AS202" s="146">
        <v>0</v>
      </c>
      <c r="AT202" s="146">
        <v>0</v>
      </c>
      <c r="AU202" s="146"/>
      <c r="AV202" s="146">
        <v>0</v>
      </c>
      <c r="AW202" s="146">
        <v>0</v>
      </c>
      <c r="AX202" s="146">
        <f t="shared" si="30"/>
        <v>11135</v>
      </c>
      <c r="AY202" s="146">
        <f t="shared" si="29"/>
        <v>11135</v>
      </c>
      <c r="AZ202" s="140" t="s">
        <v>562</v>
      </c>
      <c r="BA202" s="140" t="s">
        <v>562</v>
      </c>
      <c r="BB202" s="137">
        <v>8</v>
      </c>
      <c r="BC202" s="187">
        <v>198</v>
      </c>
      <c r="BD202" s="149"/>
      <c r="BE202" s="145"/>
      <c r="BF202" s="150"/>
      <c r="BG202" s="188">
        <v>46054</v>
      </c>
      <c r="BH202" s="153" t="s">
        <v>535</v>
      </c>
      <c r="BI202" s="153" t="s">
        <v>562</v>
      </c>
    </row>
    <row r="203" spans="1:63" s="16" customFormat="1" ht="44.1" hidden="1" customHeight="1" x14ac:dyDescent="0.3">
      <c r="A203" s="26">
        <v>199</v>
      </c>
      <c r="B203" s="138">
        <v>241085</v>
      </c>
      <c r="C203" s="138">
        <v>199</v>
      </c>
      <c r="D203" s="139">
        <v>45952</v>
      </c>
      <c r="E203" s="139">
        <f t="shared" si="31"/>
        <v>45951</v>
      </c>
      <c r="F203" s="139">
        <f t="shared" si="33"/>
        <v>45962</v>
      </c>
      <c r="G203" s="139">
        <v>46044</v>
      </c>
      <c r="H203" s="139">
        <v>46132</v>
      </c>
      <c r="I203" s="139" t="s">
        <v>321</v>
      </c>
      <c r="J203" s="140" t="s">
        <v>506</v>
      </c>
      <c r="K203" s="141">
        <f t="shared" si="32"/>
        <v>170</v>
      </c>
      <c r="L203" s="141">
        <v>1158655</v>
      </c>
      <c r="M203" s="140" t="s">
        <v>15</v>
      </c>
      <c r="N203" s="140">
        <v>810951</v>
      </c>
      <c r="O203" s="137" t="s">
        <v>246</v>
      </c>
      <c r="P203" s="143">
        <v>46034</v>
      </c>
      <c r="Q203" s="143">
        <v>46198</v>
      </c>
      <c r="R203" s="185" t="s">
        <v>211</v>
      </c>
      <c r="S203" s="144" t="s">
        <v>507</v>
      </c>
      <c r="T203" s="145">
        <v>1</v>
      </c>
      <c r="U203" s="186" t="s">
        <v>82</v>
      </c>
      <c r="V203" s="146">
        <v>30</v>
      </c>
      <c r="W203" s="146">
        <v>30</v>
      </c>
      <c r="X203" s="147">
        <v>0</v>
      </c>
      <c r="Y203" s="146">
        <v>0</v>
      </c>
      <c r="Z203" s="146">
        <v>0</v>
      </c>
      <c r="AA203" s="146">
        <v>0</v>
      </c>
      <c r="AB203" s="146">
        <v>30</v>
      </c>
      <c r="AC203" s="146">
        <v>30</v>
      </c>
      <c r="AD203" s="146">
        <v>0</v>
      </c>
      <c r="AE203" s="146">
        <v>0</v>
      </c>
      <c r="AF203" s="146">
        <v>0</v>
      </c>
      <c r="AG203" s="146">
        <v>0</v>
      </c>
      <c r="AH203" s="146">
        <v>0</v>
      </c>
      <c r="AI203" s="146">
        <v>0</v>
      </c>
      <c r="AJ203" s="146">
        <v>0</v>
      </c>
      <c r="AK203" s="146">
        <v>0</v>
      </c>
      <c r="AL203" s="146">
        <v>0</v>
      </c>
      <c r="AM203" s="146">
        <v>0</v>
      </c>
      <c r="AN203" s="146">
        <v>1</v>
      </c>
      <c r="AO203" s="146">
        <v>1</v>
      </c>
      <c r="AP203" s="146">
        <v>1</v>
      </c>
      <c r="AQ203" s="146">
        <v>1</v>
      </c>
      <c r="AR203" s="146">
        <v>0</v>
      </c>
      <c r="AS203" s="146">
        <v>0</v>
      </c>
      <c r="AT203" s="146">
        <v>0</v>
      </c>
      <c r="AU203" s="146">
        <v>0</v>
      </c>
      <c r="AV203" s="146">
        <v>0</v>
      </c>
      <c r="AW203" s="146">
        <v>0</v>
      </c>
      <c r="AX203" s="146">
        <f t="shared" si="30"/>
        <v>4200</v>
      </c>
      <c r="AY203" s="146">
        <f t="shared" si="29"/>
        <v>4200</v>
      </c>
      <c r="AZ203" s="140" t="s">
        <v>562</v>
      </c>
      <c r="BA203" s="140" t="s">
        <v>562</v>
      </c>
      <c r="BB203" s="137">
        <v>10</v>
      </c>
      <c r="BC203" s="187">
        <v>199</v>
      </c>
      <c r="BD203" s="149"/>
      <c r="BE203" s="145"/>
      <c r="BF203" s="150"/>
      <c r="BG203" s="188">
        <v>46118</v>
      </c>
      <c r="BH203" s="153" t="s">
        <v>535</v>
      </c>
      <c r="BI203" s="153" t="s">
        <v>562</v>
      </c>
    </row>
    <row r="204" spans="1:63" s="16" customFormat="1" ht="44.1" hidden="1" customHeight="1" x14ac:dyDescent="0.3">
      <c r="A204" s="201">
        <v>200</v>
      </c>
      <c r="B204" s="138">
        <v>241122</v>
      </c>
      <c r="C204" s="138">
        <v>200</v>
      </c>
      <c r="D204" s="139">
        <v>46090</v>
      </c>
      <c r="E204" s="139">
        <f t="shared" si="31"/>
        <v>46089</v>
      </c>
      <c r="F204" s="139">
        <f t="shared" si="33"/>
        <v>46100</v>
      </c>
      <c r="G204" s="139">
        <v>46151</v>
      </c>
      <c r="H204" s="139">
        <v>46156</v>
      </c>
      <c r="I204" s="139" t="s">
        <v>123</v>
      </c>
      <c r="J204" s="140" t="s">
        <v>1088</v>
      </c>
      <c r="K204" s="141">
        <f t="shared" si="32"/>
        <v>56</v>
      </c>
      <c r="L204" s="141">
        <v>1158843</v>
      </c>
      <c r="M204" s="140" t="s">
        <v>15</v>
      </c>
      <c r="N204" s="140" t="s">
        <v>1133</v>
      </c>
      <c r="O204" s="137" t="s">
        <v>246</v>
      </c>
      <c r="P204" s="143">
        <v>46113</v>
      </c>
      <c r="Q204" s="143">
        <v>46173</v>
      </c>
      <c r="R204" s="185" t="s">
        <v>1235</v>
      </c>
      <c r="S204" s="144" t="s">
        <v>508</v>
      </c>
      <c r="T204" s="145">
        <v>3</v>
      </c>
      <c r="U204" s="186" t="s">
        <v>484</v>
      </c>
      <c r="V204" s="146">
        <v>230</v>
      </c>
      <c r="W204" s="146">
        <v>230</v>
      </c>
      <c r="X204" s="147">
        <v>64</v>
      </c>
      <c r="Y204" s="146">
        <v>64</v>
      </c>
      <c r="Z204" s="146">
        <v>0</v>
      </c>
      <c r="AA204" s="146">
        <v>0</v>
      </c>
      <c r="AB204" s="146">
        <v>100</v>
      </c>
      <c r="AC204" s="146">
        <v>100</v>
      </c>
      <c r="AD204" s="146">
        <v>0</v>
      </c>
      <c r="AE204" s="146">
        <v>0</v>
      </c>
      <c r="AF204" s="146">
        <v>80</v>
      </c>
      <c r="AG204" s="146">
        <v>80</v>
      </c>
      <c r="AH204" s="146">
        <v>3</v>
      </c>
      <c r="AI204" s="146">
        <v>3</v>
      </c>
      <c r="AJ204" s="146">
        <v>0</v>
      </c>
      <c r="AK204" s="146">
        <v>0</v>
      </c>
      <c r="AL204" s="146">
        <v>1</v>
      </c>
      <c r="AM204" s="146">
        <v>1</v>
      </c>
      <c r="AN204" s="146">
        <v>1</v>
      </c>
      <c r="AO204" s="146">
        <v>1</v>
      </c>
      <c r="AP204" s="146">
        <v>4</v>
      </c>
      <c r="AQ204" s="146">
        <v>4</v>
      </c>
      <c r="AR204" s="146">
        <v>0</v>
      </c>
      <c r="AS204" s="146">
        <v>0</v>
      </c>
      <c r="AT204" s="146">
        <v>3</v>
      </c>
      <c r="AU204" s="146">
        <v>3</v>
      </c>
      <c r="AV204" s="146">
        <v>0</v>
      </c>
      <c r="AW204" s="146">
        <v>0</v>
      </c>
      <c r="AX204" s="146">
        <f t="shared" si="30"/>
        <v>41750</v>
      </c>
      <c r="AY204" s="146">
        <f t="shared" si="29"/>
        <v>41750</v>
      </c>
      <c r="AZ204" s="137" t="s">
        <v>562</v>
      </c>
      <c r="BA204" s="137" t="s">
        <v>562</v>
      </c>
      <c r="BB204" s="137">
        <v>11</v>
      </c>
      <c r="BC204" s="187">
        <v>200</v>
      </c>
      <c r="BD204" s="149"/>
      <c r="BE204" s="145"/>
      <c r="BF204" s="150"/>
      <c r="BG204" s="188">
        <v>46118</v>
      </c>
      <c r="BH204" s="153" t="s">
        <v>15</v>
      </c>
      <c r="BI204" s="153" t="s">
        <v>562</v>
      </c>
      <c r="BK204" s="238"/>
    </row>
    <row r="205" spans="1:63" s="16" customFormat="1" ht="44.1" hidden="1" customHeight="1" x14ac:dyDescent="0.3">
      <c r="A205" s="26">
        <v>201</v>
      </c>
      <c r="B205" s="138">
        <v>241128</v>
      </c>
      <c r="C205" s="138">
        <v>201</v>
      </c>
      <c r="D205" s="139">
        <v>45953</v>
      </c>
      <c r="E205" s="139">
        <f t="shared" si="31"/>
        <v>45952</v>
      </c>
      <c r="F205" s="139">
        <f t="shared" si="33"/>
        <v>45963</v>
      </c>
      <c r="G205" s="139">
        <v>46045</v>
      </c>
      <c r="H205" s="139">
        <v>45995</v>
      </c>
      <c r="I205" s="139" t="s">
        <v>321</v>
      </c>
      <c r="J205" s="140" t="s">
        <v>509</v>
      </c>
      <c r="K205" s="141">
        <f t="shared" si="32"/>
        <v>32</v>
      </c>
      <c r="L205" s="141">
        <v>1159078</v>
      </c>
      <c r="M205" s="140" t="s">
        <v>15</v>
      </c>
      <c r="N205" s="140">
        <v>806943</v>
      </c>
      <c r="O205" s="137" t="s">
        <v>246</v>
      </c>
      <c r="P205" s="143">
        <v>45978</v>
      </c>
      <c r="Q205" s="143">
        <v>46142</v>
      </c>
      <c r="R205" s="185" t="s">
        <v>211</v>
      </c>
      <c r="S205" s="144" t="s">
        <v>223</v>
      </c>
      <c r="T205" s="145">
        <v>1</v>
      </c>
      <c r="U205" s="186" t="s">
        <v>82</v>
      </c>
      <c r="V205" s="146">
        <v>64</v>
      </c>
      <c r="W205" s="146">
        <v>64</v>
      </c>
      <c r="X205" s="147">
        <v>0</v>
      </c>
      <c r="Y205" s="146">
        <v>0</v>
      </c>
      <c r="Z205" s="146">
        <v>0</v>
      </c>
      <c r="AA205" s="146">
        <v>0</v>
      </c>
      <c r="AB205" s="146">
        <v>64</v>
      </c>
      <c r="AC205" s="146">
        <v>64</v>
      </c>
      <c r="AD205" s="146">
        <v>0</v>
      </c>
      <c r="AE205" s="146">
        <v>0</v>
      </c>
      <c r="AF205" s="146">
        <v>0</v>
      </c>
      <c r="AG205" s="146">
        <v>0</v>
      </c>
      <c r="AH205" s="146">
        <v>0</v>
      </c>
      <c r="AI205" s="146"/>
      <c r="AJ205" s="146">
        <v>0</v>
      </c>
      <c r="AK205" s="146">
        <v>0</v>
      </c>
      <c r="AL205" s="146">
        <v>0</v>
      </c>
      <c r="AM205" s="146"/>
      <c r="AN205" s="146">
        <v>1</v>
      </c>
      <c r="AO205" s="146">
        <v>1</v>
      </c>
      <c r="AP205" s="146">
        <v>1</v>
      </c>
      <c r="AQ205" s="146">
        <v>1</v>
      </c>
      <c r="AR205" s="146">
        <v>0</v>
      </c>
      <c r="AS205" s="146">
        <v>0</v>
      </c>
      <c r="AT205" s="146">
        <v>0</v>
      </c>
      <c r="AU205" s="146"/>
      <c r="AV205" s="146">
        <v>0</v>
      </c>
      <c r="AW205" s="146">
        <v>0</v>
      </c>
      <c r="AX205" s="146">
        <f t="shared" si="30"/>
        <v>8178</v>
      </c>
      <c r="AY205" s="146">
        <f t="shared" si="29"/>
        <v>8178</v>
      </c>
      <c r="AZ205" s="140" t="s">
        <v>562</v>
      </c>
      <c r="BA205" s="140" t="s">
        <v>562</v>
      </c>
      <c r="BB205" s="137">
        <v>5</v>
      </c>
      <c r="BC205" s="187">
        <v>201</v>
      </c>
      <c r="BD205" s="149"/>
      <c r="BE205" s="145"/>
      <c r="BF205" s="150"/>
      <c r="BG205" s="188">
        <v>46016</v>
      </c>
      <c r="BH205" s="153" t="s">
        <v>535</v>
      </c>
      <c r="BI205" s="153" t="s">
        <v>562</v>
      </c>
    </row>
    <row r="206" spans="1:63" s="16" customFormat="1" ht="44.1" hidden="1" customHeight="1" x14ac:dyDescent="0.3">
      <c r="A206" s="26">
        <v>202</v>
      </c>
      <c r="B206" s="90">
        <v>241129</v>
      </c>
      <c r="C206" s="90">
        <v>202</v>
      </c>
      <c r="D206" s="91">
        <v>45953</v>
      </c>
      <c r="E206" s="91">
        <f t="shared" si="31"/>
        <v>45952</v>
      </c>
      <c r="F206" s="91">
        <f t="shared" si="33"/>
        <v>45963</v>
      </c>
      <c r="G206" s="91">
        <v>46045</v>
      </c>
      <c r="H206" s="91">
        <f ca="1">TODAY()</f>
        <v>46277</v>
      </c>
      <c r="I206" s="91" t="s">
        <v>321</v>
      </c>
      <c r="J206" s="92" t="s">
        <v>510</v>
      </c>
      <c r="K206" s="93">
        <f t="shared" ca="1" si="32"/>
        <v>314</v>
      </c>
      <c r="L206" s="93">
        <v>1159080</v>
      </c>
      <c r="M206" s="92" t="s">
        <v>212</v>
      </c>
      <c r="N206" s="92" t="s">
        <v>213</v>
      </c>
      <c r="O206" s="89" t="s">
        <v>213</v>
      </c>
      <c r="P206" s="126" t="s">
        <v>212</v>
      </c>
      <c r="Q206" s="126" t="s">
        <v>212</v>
      </c>
      <c r="R206" s="158" t="s">
        <v>211</v>
      </c>
      <c r="S206" s="94" t="s">
        <v>511</v>
      </c>
      <c r="T206" s="95">
        <v>1</v>
      </c>
      <c r="U206" s="159" t="s">
        <v>81</v>
      </c>
      <c r="V206" s="96">
        <v>60</v>
      </c>
      <c r="W206" s="96"/>
      <c r="X206" s="97">
        <v>0</v>
      </c>
      <c r="Y206" s="96">
        <v>0</v>
      </c>
      <c r="Z206" s="96">
        <v>0</v>
      </c>
      <c r="AA206" s="96">
        <v>0</v>
      </c>
      <c r="AB206" s="96">
        <v>1</v>
      </c>
      <c r="AC206" s="96"/>
      <c r="AD206" s="96">
        <v>0</v>
      </c>
      <c r="AE206" s="96">
        <v>0</v>
      </c>
      <c r="AF206" s="96">
        <v>0</v>
      </c>
      <c r="AG206" s="96">
        <v>0</v>
      </c>
      <c r="AH206" s="96">
        <v>1</v>
      </c>
      <c r="AI206" s="96"/>
      <c r="AJ206" s="96">
        <v>0</v>
      </c>
      <c r="AK206" s="96">
        <v>0</v>
      </c>
      <c r="AL206" s="96">
        <v>1</v>
      </c>
      <c r="AM206" s="96"/>
      <c r="AN206" s="96">
        <v>1</v>
      </c>
      <c r="AO206" s="96"/>
      <c r="AP206" s="96">
        <v>1</v>
      </c>
      <c r="AQ206" s="96"/>
      <c r="AR206" s="96">
        <v>0</v>
      </c>
      <c r="AS206" s="96">
        <v>0</v>
      </c>
      <c r="AT206" s="96">
        <v>1</v>
      </c>
      <c r="AU206" s="96"/>
      <c r="AV206" s="96">
        <v>0</v>
      </c>
      <c r="AW206" s="96">
        <v>0</v>
      </c>
      <c r="AX206" s="146">
        <f t="shared" si="30"/>
        <v>5457</v>
      </c>
      <c r="AY206" s="146">
        <f t="shared" si="29"/>
        <v>0</v>
      </c>
      <c r="AZ206" s="92" t="s">
        <v>212</v>
      </c>
      <c r="BA206" s="92" t="s">
        <v>212</v>
      </c>
      <c r="BB206" s="89" t="s">
        <v>212</v>
      </c>
      <c r="BC206" s="160">
        <v>202</v>
      </c>
      <c r="BD206" s="100"/>
      <c r="BE206" s="95"/>
      <c r="BF206" s="101"/>
      <c r="BG206" s="89"/>
      <c r="BH206" s="102" t="s">
        <v>212</v>
      </c>
      <c r="BI206" s="102" t="s">
        <v>212</v>
      </c>
    </row>
    <row r="207" spans="1:63" s="16" customFormat="1" ht="44.1" hidden="1" customHeight="1" x14ac:dyDescent="0.3">
      <c r="A207" s="26">
        <v>203</v>
      </c>
      <c r="B207" s="138">
        <v>241131</v>
      </c>
      <c r="C207" s="138">
        <v>203</v>
      </c>
      <c r="D207" s="139">
        <v>45953</v>
      </c>
      <c r="E207" s="139">
        <f t="shared" si="31"/>
        <v>45952</v>
      </c>
      <c r="F207" s="139">
        <f t="shared" si="33"/>
        <v>45963</v>
      </c>
      <c r="G207" s="139">
        <v>46045</v>
      </c>
      <c r="H207" s="139">
        <v>46112</v>
      </c>
      <c r="I207" s="139" t="s">
        <v>321</v>
      </c>
      <c r="J207" s="140" t="s">
        <v>512</v>
      </c>
      <c r="K207" s="141">
        <f t="shared" si="32"/>
        <v>149</v>
      </c>
      <c r="L207" s="141">
        <v>1159099</v>
      </c>
      <c r="M207" s="140" t="s">
        <v>15</v>
      </c>
      <c r="N207" s="140">
        <v>810553</v>
      </c>
      <c r="O207" s="137" t="s">
        <v>246</v>
      </c>
      <c r="P207" s="143">
        <v>46016</v>
      </c>
      <c r="Q207" s="143">
        <v>46184</v>
      </c>
      <c r="R207" s="185" t="s">
        <v>1235</v>
      </c>
      <c r="S207" s="144" t="s">
        <v>513</v>
      </c>
      <c r="T207" s="145">
        <v>1</v>
      </c>
      <c r="U207" s="186" t="s">
        <v>122</v>
      </c>
      <c r="V207" s="146">
        <v>202</v>
      </c>
      <c r="W207" s="146">
        <v>202</v>
      </c>
      <c r="X207" s="147">
        <v>0</v>
      </c>
      <c r="Y207" s="146">
        <v>0</v>
      </c>
      <c r="Z207" s="146">
        <v>0</v>
      </c>
      <c r="AA207" s="146">
        <v>0</v>
      </c>
      <c r="AB207" s="146">
        <v>53</v>
      </c>
      <c r="AC207" s="146">
        <v>53</v>
      </c>
      <c r="AD207" s="146">
        <v>0</v>
      </c>
      <c r="AE207" s="146">
        <v>0</v>
      </c>
      <c r="AF207" s="146">
        <v>0</v>
      </c>
      <c r="AG207" s="146">
        <v>0</v>
      </c>
      <c r="AH207" s="146">
        <v>0</v>
      </c>
      <c r="AI207" s="146">
        <v>0</v>
      </c>
      <c r="AJ207" s="146">
        <v>0</v>
      </c>
      <c r="AK207" s="146">
        <v>0</v>
      </c>
      <c r="AL207" s="146">
        <v>2</v>
      </c>
      <c r="AM207" s="146">
        <v>2</v>
      </c>
      <c r="AN207" s="146">
        <v>1</v>
      </c>
      <c r="AO207" s="146">
        <v>1</v>
      </c>
      <c r="AP207" s="146">
        <v>0</v>
      </c>
      <c r="AQ207" s="146">
        <v>0</v>
      </c>
      <c r="AR207" s="146">
        <v>0</v>
      </c>
      <c r="AS207" s="146">
        <v>0</v>
      </c>
      <c r="AT207" s="146">
        <v>0</v>
      </c>
      <c r="AU207" s="146">
        <v>0</v>
      </c>
      <c r="AV207" s="146">
        <v>0</v>
      </c>
      <c r="AW207" s="146">
        <v>0</v>
      </c>
      <c r="AX207" s="146">
        <f t="shared" si="30"/>
        <v>16381</v>
      </c>
      <c r="AY207" s="146">
        <f t="shared" si="29"/>
        <v>16381</v>
      </c>
      <c r="AZ207" s="140" t="s">
        <v>562</v>
      </c>
      <c r="BA207" s="140" t="s">
        <v>562</v>
      </c>
      <c r="BB207" s="137">
        <v>10</v>
      </c>
      <c r="BC207" s="187">
        <v>203</v>
      </c>
      <c r="BD207" s="149"/>
      <c r="BE207" s="145"/>
      <c r="BF207" s="150"/>
      <c r="BG207" s="188">
        <v>46106</v>
      </c>
      <c r="BH207" s="153" t="s">
        <v>535</v>
      </c>
      <c r="BI207" s="153" t="s">
        <v>562</v>
      </c>
    </row>
    <row r="208" spans="1:63" s="41" customFormat="1" ht="44.1" hidden="1" customHeight="1" x14ac:dyDescent="0.3">
      <c r="A208" s="26">
        <v>204</v>
      </c>
      <c r="B208" s="136">
        <v>241136</v>
      </c>
      <c r="C208" s="138">
        <v>204</v>
      </c>
      <c r="D208" s="139">
        <v>45953</v>
      </c>
      <c r="E208" s="139">
        <f t="shared" si="31"/>
        <v>45952</v>
      </c>
      <c r="F208" s="139">
        <f t="shared" si="33"/>
        <v>45963</v>
      </c>
      <c r="G208" s="139">
        <v>46014</v>
      </c>
      <c r="H208" s="139">
        <v>45977</v>
      </c>
      <c r="I208" s="139" t="s">
        <v>123</v>
      </c>
      <c r="J208" s="140" t="s">
        <v>514</v>
      </c>
      <c r="K208" s="141">
        <f t="shared" si="32"/>
        <v>14</v>
      </c>
      <c r="L208" s="141">
        <v>1159122</v>
      </c>
      <c r="M208" s="140" t="s">
        <v>15</v>
      </c>
      <c r="N208" s="140">
        <v>806945</v>
      </c>
      <c r="O208" s="137" t="s">
        <v>246</v>
      </c>
      <c r="P208" s="143">
        <v>45962</v>
      </c>
      <c r="Q208" s="143">
        <v>46142</v>
      </c>
      <c r="R208" s="185" t="s">
        <v>211</v>
      </c>
      <c r="S208" s="144" t="s">
        <v>127</v>
      </c>
      <c r="T208" s="145">
        <v>1</v>
      </c>
      <c r="U208" s="137" t="s">
        <v>128</v>
      </c>
      <c r="V208" s="146">
        <v>78</v>
      </c>
      <c r="W208" s="146">
        <v>78</v>
      </c>
      <c r="X208" s="147">
        <v>0</v>
      </c>
      <c r="Y208" s="146">
        <v>0</v>
      </c>
      <c r="Z208" s="146">
        <v>0</v>
      </c>
      <c r="AA208" s="146">
        <v>0</v>
      </c>
      <c r="AB208" s="146">
        <v>0</v>
      </c>
      <c r="AC208" s="146"/>
      <c r="AD208" s="146">
        <v>0</v>
      </c>
      <c r="AE208" s="146">
        <v>0</v>
      </c>
      <c r="AF208" s="146">
        <v>0</v>
      </c>
      <c r="AG208" s="146">
        <v>0</v>
      </c>
      <c r="AH208" s="146">
        <v>1</v>
      </c>
      <c r="AI208" s="146">
        <v>1</v>
      </c>
      <c r="AJ208" s="146">
        <v>0</v>
      </c>
      <c r="AK208" s="146">
        <v>0</v>
      </c>
      <c r="AL208" s="146">
        <v>2</v>
      </c>
      <c r="AM208" s="146">
        <v>2</v>
      </c>
      <c r="AN208" s="146">
        <v>5</v>
      </c>
      <c r="AO208" s="146">
        <v>5</v>
      </c>
      <c r="AP208" s="146">
        <v>4</v>
      </c>
      <c r="AQ208" s="146">
        <v>4</v>
      </c>
      <c r="AR208" s="146">
        <v>0</v>
      </c>
      <c r="AS208" s="146">
        <v>0</v>
      </c>
      <c r="AT208" s="146">
        <v>1</v>
      </c>
      <c r="AU208" s="146">
        <v>1</v>
      </c>
      <c r="AV208" s="146">
        <v>0</v>
      </c>
      <c r="AW208" s="146">
        <v>0</v>
      </c>
      <c r="AX208" s="146">
        <f t="shared" si="30"/>
        <v>9200</v>
      </c>
      <c r="AY208" s="146">
        <f t="shared" si="29"/>
        <v>9200</v>
      </c>
      <c r="AZ208" s="140" t="s">
        <v>562</v>
      </c>
      <c r="BA208" s="140" t="s">
        <v>562</v>
      </c>
      <c r="BB208" s="189">
        <v>3</v>
      </c>
      <c r="BC208" s="148">
        <v>204</v>
      </c>
      <c r="BD208" s="149"/>
      <c r="BE208" s="145"/>
      <c r="BF208" s="150"/>
      <c r="BG208" s="151">
        <v>45962</v>
      </c>
      <c r="BH208" s="153" t="s">
        <v>535</v>
      </c>
      <c r="BI208" s="153" t="s">
        <v>562</v>
      </c>
    </row>
    <row r="209" spans="1:705" s="16" customFormat="1" ht="44.1" hidden="1" customHeight="1" x14ac:dyDescent="0.3">
      <c r="A209" s="26">
        <v>205</v>
      </c>
      <c r="B209" s="138">
        <v>241154</v>
      </c>
      <c r="C209" s="138">
        <v>205</v>
      </c>
      <c r="D209" s="139">
        <v>45953</v>
      </c>
      <c r="E209" s="139">
        <f t="shared" si="31"/>
        <v>45952</v>
      </c>
      <c r="F209" s="139">
        <f t="shared" si="33"/>
        <v>45963</v>
      </c>
      <c r="G209" s="139">
        <v>46014</v>
      </c>
      <c r="H209" s="139">
        <v>45979</v>
      </c>
      <c r="I209" s="139" t="s">
        <v>123</v>
      </c>
      <c r="J209" s="140" t="s">
        <v>515</v>
      </c>
      <c r="K209" s="141">
        <f t="shared" si="32"/>
        <v>16</v>
      </c>
      <c r="L209" s="141">
        <v>1159349</v>
      </c>
      <c r="M209" s="140" t="s">
        <v>15</v>
      </c>
      <c r="N209" s="140">
        <v>806946</v>
      </c>
      <c r="O209" s="137" t="s">
        <v>246</v>
      </c>
      <c r="P209" s="143">
        <v>45966</v>
      </c>
      <c r="Q209" s="143">
        <v>46142</v>
      </c>
      <c r="R209" s="185" t="s">
        <v>211</v>
      </c>
      <c r="S209" s="144" t="s">
        <v>516</v>
      </c>
      <c r="T209" s="145">
        <v>1</v>
      </c>
      <c r="U209" s="186" t="s">
        <v>82</v>
      </c>
      <c r="V209" s="146">
        <v>122</v>
      </c>
      <c r="W209" s="146">
        <v>122</v>
      </c>
      <c r="X209" s="147">
        <v>0</v>
      </c>
      <c r="Y209" s="146">
        <v>0</v>
      </c>
      <c r="Z209" s="146">
        <v>0</v>
      </c>
      <c r="AA209" s="146">
        <v>0</v>
      </c>
      <c r="AB209" s="146">
        <v>61</v>
      </c>
      <c r="AC209" s="146">
        <v>61</v>
      </c>
      <c r="AD209" s="146">
        <v>0</v>
      </c>
      <c r="AE209" s="146">
        <v>0</v>
      </c>
      <c r="AF209" s="146">
        <v>0</v>
      </c>
      <c r="AG209" s="146">
        <v>0</v>
      </c>
      <c r="AH209" s="146">
        <v>1</v>
      </c>
      <c r="AI209" s="146">
        <v>1</v>
      </c>
      <c r="AJ209" s="146">
        <v>0</v>
      </c>
      <c r="AK209" s="146">
        <v>0</v>
      </c>
      <c r="AL209" s="146">
        <v>0</v>
      </c>
      <c r="AM209" s="146"/>
      <c r="AN209" s="146">
        <v>2</v>
      </c>
      <c r="AO209" s="146">
        <v>2</v>
      </c>
      <c r="AP209" s="146">
        <v>3</v>
      </c>
      <c r="AQ209" s="146">
        <v>3</v>
      </c>
      <c r="AR209" s="146">
        <v>0</v>
      </c>
      <c r="AS209" s="146">
        <v>0</v>
      </c>
      <c r="AT209" s="146">
        <v>1</v>
      </c>
      <c r="AU209" s="146">
        <v>1</v>
      </c>
      <c r="AV209" s="146">
        <v>0</v>
      </c>
      <c r="AW209" s="146">
        <v>0</v>
      </c>
      <c r="AX209" s="146">
        <f t="shared" si="30"/>
        <v>13327</v>
      </c>
      <c r="AY209" s="146">
        <f t="shared" si="29"/>
        <v>13327</v>
      </c>
      <c r="AZ209" s="140" t="s">
        <v>562</v>
      </c>
      <c r="BA209" s="140" t="s">
        <v>562</v>
      </c>
      <c r="BB209" s="137">
        <v>5</v>
      </c>
      <c r="BC209" s="187">
        <v>205</v>
      </c>
      <c r="BD209" s="149"/>
      <c r="BE209" s="145"/>
      <c r="BF209" s="150"/>
      <c r="BG209" s="188">
        <v>45962</v>
      </c>
      <c r="BH209" s="153" t="s">
        <v>15</v>
      </c>
      <c r="BI209" s="153" t="s">
        <v>562</v>
      </c>
    </row>
    <row r="210" spans="1:705" s="41" customFormat="1" ht="44.1" hidden="1" customHeight="1" x14ac:dyDescent="0.3">
      <c r="A210" s="26">
        <v>206</v>
      </c>
      <c r="B210" s="136">
        <v>241180</v>
      </c>
      <c r="C210" s="138">
        <v>206</v>
      </c>
      <c r="D210" s="139">
        <v>45956</v>
      </c>
      <c r="E210" s="139">
        <f t="shared" si="31"/>
        <v>45955</v>
      </c>
      <c r="F210" s="139">
        <f t="shared" si="33"/>
        <v>45966</v>
      </c>
      <c r="G210" s="139">
        <v>46017</v>
      </c>
      <c r="H210" s="139">
        <v>45972</v>
      </c>
      <c r="I210" s="139" t="s">
        <v>123</v>
      </c>
      <c r="J210" s="140" t="s">
        <v>519</v>
      </c>
      <c r="K210" s="141">
        <f t="shared" si="32"/>
        <v>6</v>
      </c>
      <c r="L210" s="141">
        <v>1160176</v>
      </c>
      <c r="M210" s="140" t="s">
        <v>15</v>
      </c>
      <c r="N210" s="140">
        <v>806945</v>
      </c>
      <c r="O210" s="137" t="s">
        <v>246</v>
      </c>
      <c r="P210" s="143">
        <v>45962</v>
      </c>
      <c r="Q210" s="143">
        <v>46142</v>
      </c>
      <c r="R210" s="185" t="s">
        <v>211</v>
      </c>
      <c r="S210" s="144" t="s">
        <v>520</v>
      </c>
      <c r="T210" s="145">
        <v>1</v>
      </c>
      <c r="U210" s="137" t="s">
        <v>128</v>
      </c>
      <c r="V210" s="146">
        <v>11</v>
      </c>
      <c r="W210" s="146">
        <v>11</v>
      </c>
      <c r="X210" s="147">
        <v>0</v>
      </c>
      <c r="Y210" s="146">
        <v>0</v>
      </c>
      <c r="Z210" s="146">
        <v>0</v>
      </c>
      <c r="AA210" s="146">
        <v>0</v>
      </c>
      <c r="AB210" s="146">
        <v>0</v>
      </c>
      <c r="AC210" s="146">
        <v>0</v>
      </c>
      <c r="AD210" s="146">
        <v>0</v>
      </c>
      <c r="AE210" s="146">
        <v>0</v>
      </c>
      <c r="AF210" s="146">
        <v>0</v>
      </c>
      <c r="AG210" s="146">
        <v>0</v>
      </c>
      <c r="AH210" s="146">
        <v>1</v>
      </c>
      <c r="AI210" s="146">
        <v>1</v>
      </c>
      <c r="AJ210" s="146">
        <v>0</v>
      </c>
      <c r="AK210" s="146">
        <v>0</v>
      </c>
      <c r="AL210" s="146">
        <v>2</v>
      </c>
      <c r="AM210" s="146">
        <v>2</v>
      </c>
      <c r="AN210" s="146">
        <v>1</v>
      </c>
      <c r="AO210" s="146">
        <v>1</v>
      </c>
      <c r="AP210" s="146">
        <v>1</v>
      </c>
      <c r="AQ210" s="146">
        <v>1</v>
      </c>
      <c r="AR210" s="146">
        <v>0</v>
      </c>
      <c r="AS210" s="146">
        <v>0</v>
      </c>
      <c r="AT210" s="146">
        <v>1</v>
      </c>
      <c r="AU210" s="146">
        <v>1</v>
      </c>
      <c r="AV210" s="146">
        <v>0</v>
      </c>
      <c r="AW210" s="146"/>
      <c r="AX210" s="146">
        <f t="shared" si="30"/>
        <v>3050</v>
      </c>
      <c r="AY210" s="146">
        <f t="shared" si="29"/>
        <v>3050</v>
      </c>
      <c r="AZ210" s="140" t="s">
        <v>562</v>
      </c>
      <c r="BA210" s="140" t="s">
        <v>562</v>
      </c>
      <c r="BB210" s="189">
        <v>3</v>
      </c>
      <c r="BC210" s="148">
        <v>206</v>
      </c>
      <c r="BD210" s="149"/>
      <c r="BE210" s="145"/>
      <c r="BF210" s="150"/>
      <c r="BG210" s="151">
        <v>45962</v>
      </c>
      <c r="BH210" s="153" t="s">
        <v>535</v>
      </c>
      <c r="BI210" s="153" t="s">
        <v>562</v>
      </c>
    </row>
    <row r="211" spans="1:705" s="16" customFormat="1" ht="44.1" hidden="1" customHeight="1" x14ac:dyDescent="0.3">
      <c r="A211" s="26">
        <v>207</v>
      </c>
      <c r="B211" s="136">
        <v>241305</v>
      </c>
      <c r="C211" s="136">
        <v>207</v>
      </c>
      <c r="D211" s="242">
        <v>45960</v>
      </c>
      <c r="E211" s="242">
        <f t="shared" si="31"/>
        <v>45959</v>
      </c>
      <c r="F211" s="242">
        <f t="shared" si="33"/>
        <v>45970</v>
      </c>
      <c r="G211" s="242">
        <v>46051</v>
      </c>
      <c r="H211" s="242">
        <v>46120</v>
      </c>
      <c r="I211" s="242" t="s">
        <v>321</v>
      </c>
      <c r="J211" s="140" t="s">
        <v>521</v>
      </c>
      <c r="K211" s="243">
        <f t="shared" si="32"/>
        <v>150</v>
      </c>
      <c r="L211" s="243">
        <v>1161899</v>
      </c>
      <c r="M211" s="140" t="s">
        <v>535</v>
      </c>
      <c r="N211" s="140">
        <v>808145</v>
      </c>
      <c r="O211" s="140" t="s">
        <v>246</v>
      </c>
      <c r="P211" s="143">
        <v>46013</v>
      </c>
      <c r="Q211" s="143">
        <v>46156</v>
      </c>
      <c r="R211" s="185" t="s">
        <v>211</v>
      </c>
      <c r="S211" s="244" t="s">
        <v>522</v>
      </c>
      <c r="T211" s="245">
        <v>1</v>
      </c>
      <c r="U211" s="186" t="s">
        <v>523</v>
      </c>
      <c r="V211" s="246">
        <v>74</v>
      </c>
      <c r="W211" s="246">
        <v>74</v>
      </c>
      <c r="X211" s="247">
        <v>0</v>
      </c>
      <c r="Y211" s="246">
        <v>0</v>
      </c>
      <c r="Z211" s="246">
        <v>0</v>
      </c>
      <c r="AA211" s="246">
        <v>0</v>
      </c>
      <c r="AB211" s="246">
        <v>3</v>
      </c>
      <c r="AC211" s="246">
        <v>3</v>
      </c>
      <c r="AD211" s="246">
        <v>0</v>
      </c>
      <c r="AE211" s="246">
        <v>0</v>
      </c>
      <c r="AF211" s="246">
        <v>292</v>
      </c>
      <c r="AG211" s="246">
        <v>292</v>
      </c>
      <c r="AH211" s="246">
        <v>0</v>
      </c>
      <c r="AI211" s="246">
        <v>0</v>
      </c>
      <c r="AJ211" s="246">
        <v>0</v>
      </c>
      <c r="AK211" s="246">
        <v>0</v>
      </c>
      <c r="AL211" s="246">
        <v>0</v>
      </c>
      <c r="AM211" s="246">
        <v>0</v>
      </c>
      <c r="AN211" s="246">
        <v>1</v>
      </c>
      <c r="AO211" s="246">
        <v>1</v>
      </c>
      <c r="AP211" s="246">
        <v>1</v>
      </c>
      <c r="AQ211" s="246">
        <v>1</v>
      </c>
      <c r="AR211" s="246">
        <v>0</v>
      </c>
      <c r="AS211" s="246">
        <v>0</v>
      </c>
      <c r="AT211" s="246">
        <v>0</v>
      </c>
      <c r="AU211" s="246">
        <v>0</v>
      </c>
      <c r="AV211" s="246">
        <v>0</v>
      </c>
      <c r="AW211" s="246">
        <v>0</v>
      </c>
      <c r="AX211" s="246">
        <f t="shared" si="30"/>
        <v>50561</v>
      </c>
      <c r="AY211" s="246">
        <f t="shared" si="29"/>
        <v>50561</v>
      </c>
      <c r="AZ211" s="137" t="s">
        <v>562</v>
      </c>
      <c r="BA211" s="137" t="s">
        <v>562</v>
      </c>
      <c r="BB211" s="140">
        <v>11</v>
      </c>
      <c r="BC211" s="248">
        <v>207</v>
      </c>
      <c r="BD211" s="249"/>
      <c r="BE211" s="245"/>
      <c r="BF211" s="250"/>
      <c r="BG211" s="251">
        <v>46118</v>
      </c>
      <c r="BH211" s="252" t="s">
        <v>535</v>
      </c>
      <c r="BI211" s="153" t="s">
        <v>562</v>
      </c>
      <c r="BK211" s="238"/>
    </row>
    <row r="212" spans="1:705" s="16" customFormat="1" ht="44.1" hidden="1" customHeight="1" x14ac:dyDescent="0.3">
      <c r="A212" s="26">
        <v>208</v>
      </c>
      <c r="B212" s="138">
        <v>241336</v>
      </c>
      <c r="C212" s="138">
        <v>208</v>
      </c>
      <c r="D212" s="139">
        <v>45960</v>
      </c>
      <c r="E212" s="139">
        <f t="shared" si="31"/>
        <v>45959</v>
      </c>
      <c r="F212" s="139">
        <f t="shared" si="33"/>
        <v>45970</v>
      </c>
      <c r="G212" s="139">
        <v>46021</v>
      </c>
      <c r="H212" s="139">
        <v>45995</v>
      </c>
      <c r="I212" s="139" t="s">
        <v>123</v>
      </c>
      <c r="J212" s="140" t="s">
        <v>524</v>
      </c>
      <c r="K212" s="141">
        <f t="shared" si="32"/>
        <v>25</v>
      </c>
      <c r="L212" s="141">
        <v>1162036</v>
      </c>
      <c r="M212" s="140" t="s">
        <v>15</v>
      </c>
      <c r="N212" s="140">
        <v>808146</v>
      </c>
      <c r="O212" s="140" t="s">
        <v>246</v>
      </c>
      <c r="P212" s="143">
        <v>45980</v>
      </c>
      <c r="Q212" s="143">
        <v>46156</v>
      </c>
      <c r="R212" s="185" t="s">
        <v>211</v>
      </c>
      <c r="S212" s="144" t="s">
        <v>525</v>
      </c>
      <c r="T212" s="145">
        <v>2</v>
      </c>
      <c r="U212" s="186" t="s">
        <v>106</v>
      </c>
      <c r="V212" s="146">
        <v>147</v>
      </c>
      <c r="W212" s="146">
        <v>147</v>
      </c>
      <c r="X212" s="147">
        <v>0</v>
      </c>
      <c r="Y212" s="146">
        <v>0</v>
      </c>
      <c r="Z212" s="146">
        <v>0</v>
      </c>
      <c r="AA212" s="146">
        <v>0</v>
      </c>
      <c r="AB212" s="146">
        <v>56</v>
      </c>
      <c r="AC212" s="146">
        <v>56</v>
      </c>
      <c r="AD212" s="146">
        <v>0</v>
      </c>
      <c r="AE212" s="146">
        <v>0</v>
      </c>
      <c r="AF212" s="146">
        <v>0</v>
      </c>
      <c r="AG212" s="146">
        <v>0</v>
      </c>
      <c r="AH212" s="146">
        <v>2</v>
      </c>
      <c r="AI212" s="146">
        <v>2</v>
      </c>
      <c r="AJ212" s="146">
        <v>0</v>
      </c>
      <c r="AK212" s="146">
        <v>0</v>
      </c>
      <c r="AL212" s="146">
        <v>3</v>
      </c>
      <c r="AM212" s="146">
        <v>3</v>
      </c>
      <c r="AN212" s="146">
        <v>6</v>
      </c>
      <c r="AO212" s="146">
        <v>6</v>
      </c>
      <c r="AP212" s="146">
        <v>4</v>
      </c>
      <c r="AQ212" s="146">
        <v>4</v>
      </c>
      <c r="AR212" s="146">
        <v>0</v>
      </c>
      <c r="AS212" s="146">
        <v>0</v>
      </c>
      <c r="AT212" s="146">
        <v>2</v>
      </c>
      <c r="AU212" s="146">
        <v>2</v>
      </c>
      <c r="AV212" s="146">
        <v>0</v>
      </c>
      <c r="AW212" s="146">
        <v>0</v>
      </c>
      <c r="AX212" s="146">
        <f t="shared" si="30"/>
        <v>17702</v>
      </c>
      <c r="AY212" s="146">
        <f t="shared" si="29"/>
        <v>17702</v>
      </c>
      <c r="AZ212" s="140" t="s">
        <v>562</v>
      </c>
      <c r="BA212" s="140" t="s">
        <v>562</v>
      </c>
      <c r="BB212" s="137">
        <v>5</v>
      </c>
      <c r="BC212" s="187">
        <v>208</v>
      </c>
      <c r="BD212" s="149"/>
      <c r="BE212" s="145"/>
      <c r="BF212" s="150"/>
      <c r="BG212" s="188">
        <v>45992</v>
      </c>
      <c r="BH212" s="153" t="s">
        <v>15</v>
      </c>
      <c r="BI212" s="153" t="s">
        <v>562</v>
      </c>
    </row>
    <row r="213" spans="1:705" s="41" customFormat="1" ht="44.1" hidden="1" customHeight="1" x14ac:dyDescent="0.3">
      <c r="A213" s="26">
        <v>209</v>
      </c>
      <c r="B213" s="136">
        <v>241345</v>
      </c>
      <c r="C213" s="138">
        <v>209</v>
      </c>
      <c r="D213" s="139">
        <v>45963</v>
      </c>
      <c r="E213" s="139">
        <f t="shared" si="31"/>
        <v>45962</v>
      </c>
      <c r="F213" s="139">
        <f t="shared" si="33"/>
        <v>45973</v>
      </c>
      <c r="G213" s="139">
        <v>46024</v>
      </c>
      <c r="H213" s="139">
        <v>45974</v>
      </c>
      <c r="I213" s="139" t="s">
        <v>123</v>
      </c>
      <c r="J213" s="140" t="s">
        <v>526</v>
      </c>
      <c r="K213" s="141">
        <f t="shared" si="32"/>
        <v>1</v>
      </c>
      <c r="L213" s="141">
        <v>1162633</v>
      </c>
      <c r="M213" s="140" t="s">
        <v>15</v>
      </c>
      <c r="N213" s="140">
        <v>807816</v>
      </c>
      <c r="O213" s="137" t="s">
        <v>246</v>
      </c>
      <c r="P213" s="143">
        <v>45969</v>
      </c>
      <c r="Q213" s="143">
        <v>45984</v>
      </c>
      <c r="R213" s="185" t="s">
        <v>211</v>
      </c>
      <c r="S213" s="144" t="s">
        <v>527</v>
      </c>
      <c r="T213" s="145">
        <v>1</v>
      </c>
      <c r="U213" s="137" t="s">
        <v>173</v>
      </c>
      <c r="V213" s="146">
        <v>27</v>
      </c>
      <c r="W213" s="146">
        <v>27</v>
      </c>
      <c r="X213" s="147">
        <v>0</v>
      </c>
      <c r="Y213" s="146">
        <v>0</v>
      </c>
      <c r="Z213" s="146">
        <v>0</v>
      </c>
      <c r="AA213" s="146">
        <v>0</v>
      </c>
      <c r="AB213" s="146">
        <v>25</v>
      </c>
      <c r="AC213" s="146">
        <v>25</v>
      </c>
      <c r="AD213" s="146">
        <v>0</v>
      </c>
      <c r="AE213" s="146">
        <v>0</v>
      </c>
      <c r="AF213" s="146">
        <v>0</v>
      </c>
      <c r="AG213" s="146">
        <v>0</v>
      </c>
      <c r="AH213" s="146">
        <v>1</v>
      </c>
      <c r="AI213" s="146">
        <v>1</v>
      </c>
      <c r="AJ213" s="146">
        <v>0</v>
      </c>
      <c r="AK213" s="146">
        <v>0</v>
      </c>
      <c r="AL213" s="146">
        <v>0</v>
      </c>
      <c r="AM213" s="146"/>
      <c r="AN213" s="146">
        <v>2</v>
      </c>
      <c r="AO213" s="146">
        <v>2</v>
      </c>
      <c r="AP213" s="146">
        <v>2</v>
      </c>
      <c r="AQ213" s="146">
        <v>2</v>
      </c>
      <c r="AR213" s="146">
        <v>0</v>
      </c>
      <c r="AS213" s="146">
        <v>0</v>
      </c>
      <c r="AT213" s="146">
        <v>1</v>
      </c>
      <c r="AU213" s="146">
        <v>1</v>
      </c>
      <c r="AV213" s="146">
        <v>0</v>
      </c>
      <c r="AW213" s="146">
        <v>0</v>
      </c>
      <c r="AX213" s="146">
        <f t="shared" si="30"/>
        <v>4945</v>
      </c>
      <c r="AY213" s="146">
        <f t="shared" si="29"/>
        <v>4945</v>
      </c>
      <c r="AZ213" s="140" t="s">
        <v>562</v>
      </c>
      <c r="BA213" s="140" t="s">
        <v>562</v>
      </c>
      <c r="BB213" s="189">
        <v>3</v>
      </c>
      <c r="BC213" s="148">
        <v>209</v>
      </c>
      <c r="BD213" s="149"/>
      <c r="BE213" s="145"/>
      <c r="BF213" s="150"/>
      <c r="BG213" s="151">
        <v>45962</v>
      </c>
      <c r="BH213" s="153" t="s">
        <v>535</v>
      </c>
      <c r="BI213" s="153" t="s">
        <v>562</v>
      </c>
    </row>
    <row r="214" spans="1:705" s="182" customFormat="1" ht="44.1" hidden="1" customHeight="1" x14ac:dyDescent="0.3">
      <c r="A214" s="26">
        <v>210</v>
      </c>
      <c r="B214" s="138">
        <v>241347</v>
      </c>
      <c r="C214" s="138">
        <v>210</v>
      </c>
      <c r="D214" s="139">
        <v>45963</v>
      </c>
      <c r="E214" s="139">
        <f t="shared" si="31"/>
        <v>45962</v>
      </c>
      <c r="F214" s="139">
        <f t="shared" si="33"/>
        <v>45973</v>
      </c>
      <c r="G214" s="139">
        <v>46024</v>
      </c>
      <c r="H214" s="139">
        <v>45672</v>
      </c>
      <c r="I214" s="139" t="s">
        <v>123</v>
      </c>
      <c r="J214" s="140" t="s">
        <v>528</v>
      </c>
      <c r="K214" s="141">
        <f t="shared" si="32"/>
        <v>-301</v>
      </c>
      <c r="L214" s="141">
        <v>1162716</v>
      </c>
      <c r="M214" s="140" t="s">
        <v>15</v>
      </c>
      <c r="N214" s="140">
        <v>810728</v>
      </c>
      <c r="O214" s="140" t="s">
        <v>246</v>
      </c>
      <c r="P214" s="143">
        <v>46008</v>
      </c>
      <c r="Q214" s="143">
        <v>46067</v>
      </c>
      <c r="R214" s="185" t="s">
        <v>211</v>
      </c>
      <c r="S214" s="144" t="s">
        <v>529</v>
      </c>
      <c r="T214" s="145">
        <v>1</v>
      </c>
      <c r="U214" s="186" t="s">
        <v>82</v>
      </c>
      <c r="V214" s="146">
        <v>24</v>
      </c>
      <c r="W214" s="146">
        <v>24</v>
      </c>
      <c r="X214" s="147">
        <v>40</v>
      </c>
      <c r="Y214" s="146">
        <v>40</v>
      </c>
      <c r="Z214" s="146">
        <v>0</v>
      </c>
      <c r="AA214" s="146">
        <v>0</v>
      </c>
      <c r="AB214" s="146">
        <v>22</v>
      </c>
      <c r="AC214" s="146">
        <v>22</v>
      </c>
      <c r="AD214" s="146">
        <v>0</v>
      </c>
      <c r="AE214" s="146">
        <v>0</v>
      </c>
      <c r="AF214" s="146">
        <v>40</v>
      </c>
      <c r="AG214" s="146">
        <v>40</v>
      </c>
      <c r="AH214" s="146">
        <v>1</v>
      </c>
      <c r="AI214" s="146">
        <v>1</v>
      </c>
      <c r="AJ214" s="146">
        <v>0</v>
      </c>
      <c r="AK214" s="146">
        <v>0</v>
      </c>
      <c r="AL214" s="146">
        <v>1</v>
      </c>
      <c r="AM214" s="146">
        <v>1</v>
      </c>
      <c r="AN214" s="146">
        <v>2</v>
      </c>
      <c r="AO214" s="146">
        <v>2</v>
      </c>
      <c r="AP214" s="146">
        <v>1</v>
      </c>
      <c r="AQ214" s="146">
        <v>1</v>
      </c>
      <c r="AR214" s="146">
        <v>0</v>
      </c>
      <c r="AS214" s="146">
        <v>0</v>
      </c>
      <c r="AT214" s="146">
        <v>1</v>
      </c>
      <c r="AU214" s="146">
        <v>1</v>
      </c>
      <c r="AV214" s="146">
        <v>0</v>
      </c>
      <c r="AW214" s="146">
        <v>0</v>
      </c>
      <c r="AX214" s="146">
        <f t="shared" ref="AX214:AX245" si="34">(V214*60)+(X214*80)+(Z214*38)+(AB214*57)+(AD214*75)+(AF214*155)+(AH214*170)+(AJ214*375)+(AL214*590)+(AN214*60)+(AP214*630)+(AR214*400)+(AT214*350)+(AV214*950)</f>
        <v>13954</v>
      </c>
      <c r="AY214" s="146">
        <f t="shared" si="29"/>
        <v>13954</v>
      </c>
      <c r="AZ214" s="140" t="s">
        <v>562</v>
      </c>
      <c r="BA214" s="140" t="s">
        <v>562</v>
      </c>
      <c r="BB214" s="137">
        <v>6</v>
      </c>
      <c r="BC214" s="187">
        <v>210</v>
      </c>
      <c r="BD214" s="149"/>
      <c r="BE214" s="145"/>
      <c r="BF214" s="150"/>
      <c r="BG214" s="188">
        <v>46023</v>
      </c>
      <c r="BH214" s="153" t="s">
        <v>15</v>
      </c>
      <c r="BI214" s="153" t="s">
        <v>562</v>
      </c>
      <c r="BJ214" s="16"/>
      <c r="BK214" s="16"/>
      <c r="BL214" s="16"/>
      <c r="BM214" s="16"/>
      <c r="BN214" s="16"/>
      <c r="BO214" s="16"/>
      <c r="BP214" s="16"/>
      <c r="BQ214" s="16"/>
      <c r="BR214" s="16"/>
      <c r="BS214" s="16"/>
      <c r="BT214" s="16"/>
      <c r="BU214" s="16"/>
      <c r="BV214" s="16"/>
      <c r="BW214" s="16"/>
      <c r="BX214" s="16"/>
      <c r="BY214" s="16"/>
      <c r="BZ214" s="16"/>
      <c r="CA214" s="16"/>
      <c r="CB214" s="16"/>
      <c r="CC214" s="16"/>
      <c r="CD214" s="16"/>
      <c r="CE214" s="16"/>
      <c r="CF214" s="16"/>
      <c r="CG214" s="16"/>
      <c r="CH214" s="16"/>
      <c r="CI214" s="16"/>
      <c r="CJ214" s="16"/>
      <c r="CK214" s="16"/>
      <c r="CL214" s="16"/>
      <c r="CM214" s="16"/>
      <c r="CN214" s="16"/>
      <c r="CO214" s="16"/>
      <c r="CP214" s="16"/>
      <c r="CQ214" s="16"/>
      <c r="CR214" s="16"/>
      <c r="CS214" s="16"/>
      <c r="CT214" s="16"/>
      <c r="CU214" s="16"/>
      <c r="CV214" s="16"/>
      <c r="CW214" s="16"/>
      <c r="CX214" s="16"/>
      <c r="CY214" s="16"/>
      <c r="CZ214" s="16"/>
      <c r="DA214" s="16"/>
      <c r="DB214" s="16"/>
      <c r="DC214" s="16"/>
      <c r="DD214" s="16"/>
      <c r="DE214" s="16"/>
      <c r="DF214" s="16"/>
      <c r="DG214" s="16"/>
      <c r="DH214" s="16"/>
      <c r="DI214" s="16"/>
      <c r="DJ214" s="16"/>
      <c r="DK214" s="16"/>
      <c r="DL214" s="16"/>
      <c r="DM214" s="16"/>
      <c r="DN214" s="16"/>
      <c r="DO214" s="16"/>
      <c r="DP214" s="16"/>
      <c r="DQ214" s="16"/>
      <c r="DR214" s="16"/>
      <c r="DS214" s="16"/>
      <c r="DT214" s="16"/>
      <c r="DU214" s="16"/>
      <c r="DV214" s="16"/>
      <c r="DW214" s="16"/>
      <c r="DX214" s="16"/>
      <c r="DY214" s="16"/>
      <c r="DZ214" s="16"/>
      <c r="EA214" s="16"/>
      <c r="EB214" s="16"/>
      <c r="EC214" s="16"/>
      <c r="ED214" s="16"/>
      <c r="EE214" s="16"/>
      <c r="EF214" s="16"/>
      <c r="EG214" s="16"/>
      <c r="EH214" s="16"/>
      <c r="EI214" s="16"/>
      <c r="EJ214" s="16"/>
      <c r="EK214" s="16"/>
      <c r="EL214" s="16"/>
      <c r="EM214" s="16"/>
      <c r="EN214" s="16"/>
      <c r="EO214" s="16"/>
      <c r="EP214" s="16"/>
      <c r="EQ214" s="16"/>
      <c r="ER214" s="16"/>
      <c r="ES214" s="16"/>
      <c r="ET214" s="16"/>
      <c r="EU214" s="16"/>
      <c r="EV214" s="16"/>
      <c r="EW214" s="16"/>
      <c r="EX214" s="16"/>
      <c r="EY214" s="16"/>
      <c r="EZ214" s="16"/>
      <c r="FA214" s="16"/>
      <c r="FB214" s="16"/>
      <c r="FC214" s="16"/>
      <c r="FD214" s="16"/>
      <c r="FE214" s="16"/>
      <c r="FF214" s="16"/>
      <c r="FG214" s="16"/>
      <c r="FH214" s="16"/>
      <c r="FI214" s="16"/>
      <c r="FJ214" s="16"/>
      <c r="FK214" s="16"/>
      <c r="FL214" s="16"/>
      <c r="FM214" s="16"/>
      <c r="FN214" s="16"/>
      <c r="FO214" s="16"/>
      <c r="FP214" s="16"/>
      <c r="FQ214" s="16"/>
      <c r="FR214" s="16"/>
      <c r="FS214" s="16"/>
      <c r="FT214" s="16"/>
      <c r="FU214" s="16"/>
      <c r="FV214" s="16"/>
      <c r="FW214" s="16"/>
      <c r="FX214" s="16"/>
      <c r="FY214" s="16"/>
      <c r="FZ214" s="16"/>
      <c r="GA214" s="16"/>
      <c r="GB214" s="16"/>
      <c r="GC214" s="16"/>
      <c r="GD214" s="16"/>
      <c r="GE214" s="16"/>
      <c r="GF214" s="16"/>
      <c r="GG214" s="16"/>
      <c r="GH214" s="16"/>
      <c r="GI214" s="16"/>
      <c r="GJ214" s="16"/>
      <c r="GK214" s="16"/>
      <c r="GL214" s="16"/>
      <c r="GM214" s="16"/>
      <c r="GN214" s="16"/>
      <c r="GO214" s="16"/>
      <c r="GP214" s="16"/>
      <c r="GQ214" s="16"/>
      <c r="GR214" s="16"/>
      <c r="GS214" s="16"/>
      <c r="GT214" s="16"/>
      <c r="GU214" s="16"/>
      <c r="GV214" s="16"/>
      <c r="GW214" s="16"/>
      <c r="GX214" s="16"/>
      <c r="GY214" s="16"/>
      <c r="GZ214" s="16"/>
      <c r="HA214" s="16"/>
      <c r="HB214" s="16"/>
      <c r="HC214" s="16"/>
      <c r="HD214" s="16"/>
      <c r="HE214" s="16"/>
      <c r="HF214" s="16"/>
      <c r="HG214" s="16"/>
      <c r="HH214" s="16"/>
      <c r="HI214" s="16"/>
      <c r="HJ214" s="16"/>
      <c r="HK214" s="16"/>
      <c r="HL214" s="16"/>
      <c r="HM214" s="16"/>
      <c r="HN214" s="16"/>
      <c r="HO214" s="16"/>
      <c r="HP214" s="16"/>
      <c r="HQ214" s="16"/>
      <c r="HR214" s="16"/>
      <c r="HS214" s="16"/>
      <c r="HT214" s="16"/>
      <c r="HU214" s="16"/>
      <c r="HV214" s="16"/>
      <c r="HW214" s="16"/>
      <c r="HX214" s="16"/>
      <c r="HY214" s="16"/>
      <c r="HZ214" s="16"/>
      <c r="IA214" s="16"/>
      <c r="IB214" s="16"/>
      <c r="IC214" s="16"/>
      <c r="ID214" s="16"/>
      <c r="IE214" s="16"/>
      <c r="IF214" s="16"/>
      <c r="IG214" s="16"/>
      <c r="IH214" s="16"/>
      <c r="II214" s="16"/>
      <c r="IJ214" s="16"/>
      <c r="IK214" s="16"/>
      <c r="IL214" s="16"/>
      <c r="IM214" s="16"/>
      <c r="IN214" s="16"/>
      <c r="IO214" s="16"/>
      <c r="IP214" s="16"/>
      <c r="IQ214" s="16"/>
      <c r="IR214" s="16"/>
      <c r="IS214" s="16"/>
      <c r="IT214" s="16"/>
      <c r="IU214" s="16"/>
      <c r="IV214" s="16"/>
      <c r="IW214" s="16"/>
      <c r="IX214" s="16"/>
      <c r="IY214" s="16"/>
      <c r="IZ214" s="16"/>
      <c r="JA214" s="16"/>
      <c r="JB214" s="16"/>
      <c r="JC214" s="16"/>
      <c r="JD214" s="16"/>
      <c r="JE214" s="16"/>
      <c r="JF214" s="16"/>
      <c r="JG214" s="16"/>
      <c r="JH214" s="16"/>
      <c r="JI214" s="16"/>
      <c r="JJ214" s="16"/>
      <c r="JK214" s="16"/>
      <c r="JL214" s="16"/>
      <c r="JM214" s="16"/>
      <c r="JN214" s="16"/>
      <c r="JO214" s="16"/>
      <c r="JP214" s="16"/>
      <c r="JQ214" s="16"/>
      <c r="JR214" s="16"/>
      <c r="JS214" s="16"/>
      <c r="JT214" s="16"/>
      <c r="JU214" s="16"/>
      <c r="JV214" s="16"/>
      <c r="JW214" s="16"/>
      <c r="JX214" s="16"/>
      <c r="JY214" s="16"/>
      <c r="JZ214" s="16"/>
      <c r="KA214" s="16"/>
      <c r="KB214" s="16"/>
      <c r="KC214" s="16"/>
      <c r="KD214" s="16"/>
      <c r="KE214" s="16"/>
      <c r="KF214" s="16"/>
      <c r="KG214" s="16"/>
      <c r="KH214" s="16"/>
      <c r="KI214" s="16"/>
      <c r="KJ214" s="16"/>
      <c r="KK214" s="16"/>
      <c r="KL214" s="16"/>
      <c r="KM214" s="16"/>
      <c r="KN214" s="16"/>
      <c r="KO214" s="16"/>
      <c r="KP214" s="16"/>
      <c r="KQ214" s="16"/>
      <c r="KR214" s="16"/>
      <c r="KS214" s="16"/>
      <c r="KT214" s="16"/>
      <c r="KU214" s="16"/>
      <c r="KV214" s="16"/>
      <c r="KW214" s="16"/>
      <c r="KX214" s="16"/>
      <c r="KY214" s="16"/>
      <c r="KZ214" s="16"/>
      <c r="LA214" s="16"/>
      <c r="LB214" s="16"/>
      <c r="LC214" s="16"/>
      <c r="LD214" s="16"/>
      <c r="LE214" s="16"/>
      <c r="LF214" s="16"/>
      <c r="LG214" s="16"/>
      <c r="LH214" s="16"/>
      <c r="LI214" s="16"/>
      <c r="LJ214" s="16"/>
      <c r="LK214" s="16"/>
      <c r="LL214" s="16"/>
      <c r="LM214" s="16"/>
      <c r="LN214" s="16"/>
      <c r="LO214" s="16"/>
      <c r="LP214" s="16"/>
      <c r="LQ214" s="16"/>
      <c r="LR214" s="16"/>
      <c r="LS214" s="16"/>
      <c r="LT214" s="16"/>
      <c r="LU214" s="16"/>
      <c r="LV214" s="16"/>
      <c r="LW214" s="16"/>
      <c r="LX214" s="16"/>
      <c r="LY214" s="16"/>
      <c r="LZ214" s="16"/>
      <c r="MA214" s="16"/>
      <c r="MB214" s="16"/>
      <c r="MC214" s="16"/>
      <c r="MD214" s="16"/>
      <c r="ME214" s="16"/>
      <c r="MF214" s="16"/>
      <c r="MG214" s="16"/>
      <c r="MH214" s="16"/>
      <c r="MI214" s="16"/>
      <c r="MJ214" s="16"/>
      <c r="MK214" s="16"/>
      <c r="ML214" s="16"/>
      <c r="MM214" s="16"/>
      <c r="MN214" s="16"/>
      <c r="MO214" s="16"/>
      <c r="MP214" s="16"/>
      <c r="MQ214" s="16"/>
      <c r="MR214" s="16"/>
      <c r="MS214" s="16"/>
      <c r="MT214" s="16"/>
      <c r="MU214" s="16"/>
      <c r="MV214" s="16"/>
      <c r="MW214" s="16"/>
      <c r="MX214" s="16"/>
      <c r="MY214" s="16"/>
      <c r="MZ214" s="16"/>
      <c r="NA214" s="16"/>
      <c r="NB214" s="16"/>
      <c r="NC214" s="16"/>
      <c r="ND214" s="16"/>
      <c r="NE214" s="16"/>
      <c r="NF214" s="16"/>
      <c r="NG214" s="16"/>
      <c r="NH214" s="16"/>
      <c r="NI214" s="16"/>
      <c r="NJ214" s="16"/>
      <c r="NK214" s="16"/>
      <c r="NL214" s="16"/>
      <c r="NM214" s="16"/>
      <c r="NN214" s="16"/>
      <c r="NO214" s="16"/>
      <c r="NP214" s="16"/>
      <c r="NQ214" s="16"/>
      <c r="NR214" s="16"/>
      <c r="NS214" s="16"/>
      <c r="NT214" s="16"/>
      <c r="NU214" s="16"/>
      <c r="NV214" s="16"/>
      <c r="NW214" s="16"/>
      <c r="NX214" s="16"/>
      <c r="NY214" s="16"/>
      <c r="NZ214" s="16"/>
      <c r="OA214" s="16"/>
      <c r="OB214" s="16"/>
      <c r="OC214" s="16"/>
      <c r="OD214" s="16"/>
      <c r="OE214" s="16"/>
      <c r="OF214" s="16"/>
      <c r="OG214" s="16"/>
      <c r="OH214" s="16"/>
      <c r="OI214" s="16"/>
      <c r="OJ214" s="16"/>
      <c r="OK214" s="16"/>
      <c r="OL214" s="16"/>
      <c r="OM214" s="16"/>
      <c r="ON214" s="16"/>
      <c r="OO214" s="16"/>
      <c r="OP214" s="16"/>
      <c r="OQ214" s="16"/>
      <c r="OR214" s="16"/>
      <c r="OS214" s="16"/>
      <c r="OT214" s="16"/>
      <c r="OU214" s="16"/>
      <c r="OV214" s="16"/>
      <c r="OW214" s="16"/>
      <c r="OX214" s="16"/>
      <c r="OY214" s="16"/>
      <c r="OZ214" s="16"/>
      <c r="PA214" s="16"/>
      <c r="PB214" s="16"/>
      <c r="PC214" s="16"/>
      <c r="PD214" s="16"/>
      <c r="PE214" s="16"/>
      <c r="PF214" s="16"/>
      <c r="PG214" s="16"/>
      <c r="PH214" s="16"/>
      <c r="PI214" s="16"/>
      <c r="PJ214" s="16"/>
      <c r="PK214" s="16"/>
      <c r="PL214" s="16"/>
      <c r="PM214" s="16"/>
      <c r="PN214" s="16"/>
      <c r="PO214" s="16"/>
      <c r="PP214" s="16"/>
      <c r="PQ214" s="16"/>
      <c r="PR214" s="16"/>
      <c r="PS214" s="16"/>
      <c r="PT214" s="16"/>
      <c r="PU214" s="16"/>
      <c r="PV214" s="16"/>
      <c r="PW214" s="16"/>
      <c r="PX214" s="16"/>
      <c r="PY214" s="16"/>
      <c r="PZ214" s="16"/>
      <c r="QA214" s="16"/>
      <c r="QB214" s="16"/>
      <c r="QC214" s="16"/>
      <c r="QD214" s="16"/>
      <c r="QE214" s="16"/>
      <c r="QF214" s="16"/>
      <c r="QG214" s="16"/>
      <c r="QH214" s="16"/>
      <c r="QI214" s="16"/>
      <c r="QJ214" s="16"/>
      <c r="QK214" s="16"/>
      <c r="QL214" s="16"/>
      <c r="QM214" s="16"/>
      <c r="QN214" s="16"/>
      <c r="QO214" s="16"/>
      <c r="QP214" s="16"/>
      <c r="QQ214" s="16"/>
      <c r="QR214" s="16"/>
      <c r="QS214" s="16"/>
      <c r="QT214" s="16"/>
      <c r="QU214" s="16"/>
      <c r="QV214" s="16"/>
      <c r="QW214" s="16"/>
      <c r="QX214" s="16"/>
      <c r="QY214" s="16"/>
      <c r="QZ214" s="16"/>
      <c r="RA214" s="16"/>
      <c r="RB214" s="16"/>
      <c r="RC214" s="16"/>
      <c r="RD214" s="16"/>
      <c r="RE214" s="16"/>
      <c r="RF214" s="16"/>
      <c r="RG214" s="16"/>
      <c r="RH214" s="16"/>
      <c r="RI214" s="16"/>
      <c r="RJ214" s="16"/>
      <c r="RK214" s="16"/>
      <c r="RL214" s="16"/>
      <c r="RM214" s="16"/>
      <c r="RN214" s="16"/>
      <c r="RO214" s="16"/>
      <c r="RP214" s="16"/>
      <c r="RQ214" s="16"/>
      <c r="RR214" s="16"/>
      <c r="RS214" s="16"/>
      <c r="RT214" s="16"/>
      <c r="RU214" s="16"/>
      <c r="RV214" s="16"/>
      <c r="RW214" s="16"/>
      <c r="RX214" s="16"/>
      <c r="RY214" s="16"/>
      <c r="RZ214" s="16"/>
      <c r="SA214" s="16"/>
      <c r="SB214" s="16"/>
      <c r="SC214" s="16"/>
      <c r="SD214" s="16"/>
      <c r="SE214" s="16"/>
      <c r="SF214" s="16"/>
      <c r="SG214" s="16"/>
      <c r="SH214" s="16"/>
      <c r="SI214" s="16"/>
      <c r="SJ214" s="16"/>
      <c r="SK214" s="16"/>
      <c r="SL214" s="16"/>
      <c r="SM214" s="16"/>
      <c r="SN214" s="16"/>
      <c r="SO214" s="16"/>
      <c r="SP214" s="16"/>
      <c r="SQ214" s="16"/>
      <c r="SR214" s="16"/>
      <c r="SS214" s="16"/>
      <c r="ST214" s="16"/>
      <c r="SU214" s="16"/>
      <c r="SV214" s="16"/>
      <c r="SW214" s="16"/>
      <c r="SX214" s="16"/>
      <c r="SY214" s="16"/>
      <c r="SZ214" s="16"/>
      <c r="TA214" s="16"/>
      <c r="TB214" s="16"/>
      <c r="TC214" s="16"/>
      <c r="TD214" s="16"/>
      <c r="TE214" s="16"/>
      <c r="TF214" s="16"/>
      <c r="TG214" s="16"/>
      <c r="TH214" s="16"/>
      <c r="TI214" s="16"/>
      <c r="TJ214" s="16"/>
      <c r="TK214" s="16"/>
      <c r="TL214" s="16"/>
      <c r="TM214" s="16"/>
      <c r="TN214" s="16"/>
      <c r="TO214" s="16"/>
      <c r="TP214" s="16"/>
      <c r="TQ214" s="16"/>
      <c r="TR214" s="16"/>
      <c r="TS214" s="16"/>
      <c r="TT214" s="16"/>
      <c r="TU214" s="16"/>
      <c r="TV214" s="16"/>
      <c r="TW214" s="16"/>
      <c r="TX214" s="16"/>
      <c r="TY214" s="16"/>
      <c r="TZ214" s="16"/>
      <c r="UA214" s="16"/>
      <c r="UB214" s="16"/>
      <c r="UC214" s="16"/>
      <c r="UD214" s="16"/>
      <c r="UE214" s="16"/>
      <c r="UF214" s="16"/>
      <c r="UG214" s="16"/>
      <c r="UH214" s="16"/>
      <c r="UI214" s="16"/>
      <c r="UJ214" s="16"/>
      <c r="UK214" s="16"/>
      <c r="UL214" s="16"/>
      <c r="UM214" s="16"/>
      <c r="UN214" s="16"/>
      <c r="UO214" s="16"/>
      <c r="UP214" s="16"/>
      <c r="UQ214" s="16"/>
      <c r="UR214" s="16"/>
      <c r="US214" s="16"/>
      <c r="UT214" s="16"/>
      <c r="UU214" s="16"/>
      <c r="UV214" s="16"/>
      <c r="UW214" s="16"/>
      <c r="UX214" s="16"/>
      <c r="UY214" s="16"/>
      <c r="UZ214" s="16"/>
      <c r="VA214" s="16"/>
      <c r="VB214" s="16"/>
      <c r="VC214" s="16"/>
      <c r="VD214" s="16"/>
      <c r="VE214" s="16"/>
      <c r="VF214" s="16"/>
      <c r="VG214" s="16"/>
      <c r="VH214" s="16"/>
      <c r="VI214" s="16"/>
      <c r="VJ214" s="16"/>
      <c r="VK214" s="16"/>
      <c r="VL214" s="16"/>
      <c r="VM214" s="16"/>
      <c r="VN214" s="16"/>
      <c r="VO214" s="16"/>
      <c r="VP214" s="16"/>
      <c r="VQ214" s="16"/>
      <c r="VR214" s="16"/>
      <c r="VS214" s="16"/>
      <c r="VT214" s="16"/>
      <c r="VU214" s="16"/>
      <c r="VV214" s="16"/>
      <c r="VW214" s="16"/>
      <c r="VX214" s="16"/>
      <c r="VY214" s="16"/>
      <c r="VZ214" s="16"/>
      <c r="WA214" s="16"/>
      <c r="WB214" s="16"/>
      <c r="WC214" s="16"/>
      <c r="WD214" s="16"/>
      <c r="WE214" s="16"/>
      <c r="WF214" s="16"/>
      <c r="WG214" s="16"/>
      <c r="WH214" s="16"/>
      <c r="WI214" s="16"/>
      <c r="WJ214" s="16"/>
      <c r="WK214" s="16"/>
      <c r="WL214" s="16"/>
      <c r="WM214" s="16"/>
      <c r="WN214" s="16"/>
      <c r="WO214" s="16"/>
      <c r="WP214" s="16"/>
      <c r="WQ214" s="16"/>
      <c r="WR214" s="16"/>
      <c r="WS214" s="16"/>
      <c r="WT214" s="16"/>
      <c r="WU214" s="16"/>
      <c r="WV214" s="16"/>
      <c r="WW214" s="16"/>
      <c r="WX214" s="16"/>
      <c r="WY214" s="16"/>
      <c r="WZ214" s="16"/>
      <c r="XA214" s="16"/>
      <c r="XB214" s="16"/>
      <c r="XC214" s="16"/>
      <c r="XD214" s="16"/>
      <c r="XE214" s="16"/>
      <c r="XF214" s="16"/>
      <c r="XG214" s="16"/>
      <c r="XH214" s="16"/>
      <c r="XI214" s="16"/>
      <c r="XJ214" s="16"/>
      <c r="XK214" s="16"/>
      <c r="XL214" s="16"/>
      <c r="XM214" s="16"/>
      <c r="XN214" s="16"/>
      <c r="XO214" s="16"/>
      <c r="XP214" s="16"/>
      <c r="XQ214" s="16"/>
      <c r="XR214" s="16"/>
      <c r="XS214" s="16"/>
      <c r="XT214" s="16"/>
      <c r="XU214" s="16"/>
      <c r="XV214" s="16"/>
      <c r="XW214" s="16"/>
      <c r="XX214" s="16"/>
      <c r="XY214" s="16"/>
      <c r="XZ214" s="16"/>
      <c r="YA214" s="16"/>
      <c r="YB214" s="16"/>
      <c r="YC214" s="16"/>
      <c r="YD214" s="16"/>
      <c r="YE214" s="16"/>
      <c r="YF214" s="16"/>
      <c r="YG214" s="16"/>
      <c r="YH214" s="16"/>
      <c r="YI214" s="16"/>
      <c r="YJ214" s="16"/>
      <c r="YK214" s="16"/>
      <c r="YL214" s="16"/>
      <c r="YM214" s="16"/>
      <c r="YN214" s="16"/>
      <c r="YO214" s="16"/>
      <c r="YP214" s="16"/>
      <c r="YQ214" s="16"/>
      <c r="YR214" s="16"/>
      <c r="YS214" s="16"/>
      <c r="YT214" s="16"/>
      <c r="YU214" s="16"/>
      <c r="YV214" s="16"/>
      <c r="YW214" s="16"/>
      <c r="YX214" s="16"/>
      <c r="YY214" s="16"/>
      <c r="YZ214" s="16"/>
      <c r="ZA214" s="16"/>
      <c r="ZB214" s="16"/>
      <c r="ZC214" s="16"/>
      <c r="ZD214" s="16"/>
      <c r="ZE214" s="16"/>
      <c r="ZF214" s="16"/>
      <c r="ZG214" s="16"/>
      <c r="ZH214" s="16"/>
      <c r="ZI214" s="16"/>
      <c r="ZJ214" s="16"/>
      <c r="ZK214" s="16"/>
      <c r="ZL214" s="16"/>
      <c r="ZM214" s="16"/>
      <c r="ZN214" s="16"/>
      <c r="ZO214" s="16"/>
      <c r="ZP214" s="16"/>
      <c r="ZQ214" s="16"/>
      <c r="ZR214" s="16"/>
      <c r="ZS214" s="16"/>
      <c r="ZT214" s="16"/>
      <c r="ZU214" s="16"/>
      <c r="ZV214" s="16"/>
      <c r="ZW214" s="16"/>
      <c r="ZX214" s="16"/>
      <c r="ZY214" s="16"/>
      <c r="ZZ214" s="16"/>
      <c r="AAA214" s="16"/>
      <c r="AAB214" s="16"/>
      <c r="AAC214" s="16"/>
    </row>
    <row r="215" spans="1:705" s="16" customFormat="1" ht="44.1" hidden="1" customHeight="1" x14ac:dyDescent="0.3">
      <c r="A215" s="26">
        <v>211</v>
      </c>
      <c r="B215" s="138">
        <v>241361</v>
      </c>
      <c r="C215" s="138">
        <v>211</v>
      </c>
      <c r="D215" s="139">
        <v>45963</v>
      </c>
      <c r="E215" s="139">
        <f t="shared" si="31"/>
        <v>45962</v>
      </c>
      <c r="F215" s="139">
        <f t="shared" si="33"/>
        <v>45973</v>
      </c>
      <c r="G215" s="139">
        <v>46055</v>
      </c>
      <c r="H215" s="139">
        <v>46026</v>
      </c>
      <c r="I215" s="139" t="s">
        <v>321</v>
      </c>
      <c r="J215" s="140" t="s">
        <v>530</v>
      </c>
      <c r="K215" s="141">
        <f t="shared" si="32"/>
        <v>53</v>
      </c>
      <c r="L215" s="141">
        <v>1162781</v>
      </c>
      <c r="M215" s="140" t="s">
        <v>15</v>
      </c>
      <c r="N215" s="140">
        <v>803662</v>
      </c>
      <c r="O215" s="140" t="s">
        <v>246</v>
      </c>
      <c r="P215" s="143">
        <v>46001</v>
      </c>
      <c r="Q215" s="143">
        <v>46163</v>
      </c>
      <c r="R215" s="185" t="s">
        <v>211</v>
      </c>
      <c r="S215" s="144" t="s">
        <v>531</v>
      </c>
      <c r="T215" s="145">
        <v>1</v>
      </c>
      <c r="U215" s="186" t="s">
        <v>98</v>
      </c>
      <c r="V215" s="146">
        <v>100</v>
      </c>
      <c r="W215" s="146">
        <v>100</v>
      </c>
      <c r="X215" s="147">
        <v>0</v>
      </c>
      <c r="Y215" s="146">
        <v>0</v>
      </c>
      <c r="Z215" s="146">
        <v>0</v>
      </c>
      <c r="AA215" s="146">
        <v>0</v>
      </c>
      <c r="AB215" s="146">
        <v>12</v>
      </c>
      <c r="AC215" s="146">
        <v>12</v>
      </c>
      <c r="AD215" s="146">
        <v>0</v>
      </c>
      <c r="AE215" s="146">
        <v>0</v>
      </c>
      <c r="AF215" s="146">
        <v>0</v>
      </c>
      <c r="AG215" s="146">
        <v>0</v>
      </c>
      <c r="AH215" s="146">
        <v>0</v>
      </c>
      <c r="AI215" s="146"/>
      <c r="AJ215" s="146">
        <v>0</v>
      </c>
      <c r="AK215" s="146">
        <v>0</v>
      </c>
      <c r="AL215" s="146">
        <v>1</v>
      </c>
      <c r="AM215" s="146">
        <v>1</v>
      </c>
      <c r="AN215" s="146">
        <v>1</v>
      </c>
      <c r="AO215" s="146">
        <v>1</v>
      </c>
      <c r="AP215" s="146">
        <v>0</v>
      </c>
      <c r="AQ215" s="146"/>
      <c r="AR215" s="146">
        <v>0</v>
      </c>
      <c r="AS215" s="146">
        <v>0</v>
      </c>
      <c r="AT215" s="146">
        <v>0</v>
      </c>
      <c r="AU215" s="146"/>
      <c r="AV215" s="146">
        <v>0</v>
      </c>
      <c r="AW215" s="146">
        <v>0</v>
      </c>
      <c r="AX215" s="146">
        <f t="shared" si="34"/>
        <v>7334</v>
      </c>
      <c r="AY215" s="146">
        <f t="shared" si="29"/>
        <v>7334</v>
      </c>
      <c r="AZ215" s="140" t="s">
        <v>562</v>
      </c>
      <c r="BA215" s="140" t="s">
        <v>562</v>
      </c>
      <c r="BB215" s="137">
        <v>6</v>
      </c>
      <c r="BC215" s="187">
        <v>211</v>
      </c>
      <c r="BD215" s="149"/>
      <c r="BE215" s="145"/>
      <c r="BF215" s="150"/>
      <c r="BG215" s="188">
        <v>46023</v>
      </c>
      <c r="BH215" s="153" t="s">
        <v>535</v>
      </c>
      <c r="BI215" s="153" t="s">
        <v>562</v>
      </c>
    </row>
    <row r="216" spans="1:705" s="16" customFormat="1" ht="42" hidden="1" customHeight="1" x14ac:dyDescent="0.3">
      <c r="A216" s="26">
        <v>212</v>
      </c>
      <c r="B216" s="138">
        <v>241362</v>
      </c>
      <c r="C216" s="138">
        <v>212</v>
      </c>
      <c r="D216" s="139">
        <v>46037</v>
      </c>
      <c r="E216" s="139">
        <f t="shared" si="31"/>
        <v>46036</v>
      </c>
      <c r="F216" s="139">
        <f t="shared" si="33"/>
        <v>46047</v>
      </c>
      <c r="G216" s="139">
        <v>46055</v>
      </c>
      <c r="H216" s="139">
        <v>46109</v>
      </c>
      <c r="I216" s="139" t="s">
        <v>123</v>
      </c>
      <c r="J216" s="140" t="s">
        <v>909</v>
      </c>
      <c r="K216" s="141">
        <f t="shared" si="32"/>
        <v>62</v>
      </c>
      <c r="L216" s="141">
        <v>1162787</v>
      </c>
      <c r="M216" s="140" t="s">
        <v>15</v>
      </c>
      <c r="N216" s="140">
        <v>815386</v>
      </c>
      <c r="O216" s="140" t="s">
        <v>246</v>
      </c>
      <c r="P216" s="143">
        <v>46077</v>
      </c>
      <c r="Q216" s="143">
        <v>46233</v>
      </c>
      <c r="R216" s="185" t="s">
        <v>1235</v>
      </c>
      <c r="S216" s="144" t="s">
        <v>532</v>
      </c>
      <c r="T216" s="145">
        <v>1</v>
      </c>
      <c r="U216" s="186" t="s">
        <v>98</v>
      </c>
      <c r="V216" s="146">
        <v>156</v>
      </c>
      <c r="W216" s="146">
        <v>156</v>
      </c>
      <c r="X216" s="147">
        <v>0</v>
      </c>
      <c r="Y216" s="146">
        <v>0</v>
      </c>
      <c r="Z216" s="146">
        <v>0</v>
      </c>
      <c r="AA216" s="146">
        <v>0</v>
      </c>
      <c r="AB216" s="146">
        <v>12</v>
      </c>
      <c r="AC216" s="146">
        <v>12</v>
      </c>
      <c r="AD216" s="146">
        <v>0</v>
      </c>
      <c r="AE216" s="146">
        <v>0</v>
      </c>
      <c r="AF216" s="146">
        <v>0</v>
      </c>
      <c r="AG216" s="146">
        <v>0</v>
      </c>
      <c r="AH216" s="146">
        <v>1</v>
      </c>
      <c r="AI216" s="146">
        <v>1</v>
      </c>
      <c r="AJ216" s="146">
        <v>1</v>
      </c>
      <c r="AK216" s="146">
        <v>1</v>
      </c>
      <c r="AL216" s="146">
        <v>1</v>
      </c>
      <c r="AM216" s="146">
        <v>1</v>
      </c>
      <c r="AN216" s="146">
        <v>1</v>
      </c>
      <c r="AO216" s="146">
        <v>1</v>
      </c>
      <c r="AP216" s="146">
        <v>1</v>
      </c>
      <c r="AQ216" s="146">
        <v>1</v>
      </c>
      <c r="AR216" s="146">
        <v>0</v>
      </c>
      <c r="AS216" s="146">
        <v>0</v>
      </c>
      <c r="AT216" s="146">
        <v>0</v>
      </c>
      <c r="AU216" s="146">
        <v>0</v>
      </c>
      <c r="AV216" s="146">
        <v>1</v>
      </c>
      <c r="AW216" s="146">
        <v>1</v>
      </c>
      <c r="AX216" s="146">
        <f t="shared" si="34"/>
        <v>12819</v>
      </c>
      <c r="AY216" s="146">
        <f t="shared" si="29"/>
        <v>12819</v>
      </c>
      <c r="AZ216" s="140" t="s">
        <v>562</v>
      </c>
      <c r="BA216" s="140" t="s">
        <v>562</v>
      </c>
      <c r="BB216" s="137">
        <v>10</v>
      </c>
      <c r="BC216" s="187">
        <v>212</v>
      </c>
      <c r="BD216" s="149"/>
      <c r="BE216" s="145"/>
      <c r="BF216" s="150"/>
      <c r="BG216" s="188">
        <v>46107</v>
      </c>
      <c r="BH216" s="153" t="s">
        <v>535</v>
      </c>
      <c r="BI216" s="153" t="s">
        <v>562</v>
      </c>
    </row>
    <row r="217" spans="1:705" s="16" customFormat="1" ht="44.1" customHeight="1" x14ac:dyDescent="0.3">
      <c r="A217" s="26">
        <v>213</v>
      </c>
      <c r="B217" s="110">
        <v>241363</v>
      </c>
      <c r="C217" s="110">
        <v>213</v>
      </c>
      <c r="D217" s="111">
        <v>45963</v>
      </c>
      <c r="E217" s="111">
        <f t="shared" si="31"/>
        <v>45962</v>
      </c>
      <c r="F217" s="111">
        <f t="shared" si="33"/>
        <v>45973</v>
      </c>
      <c r="G217" s="111">
        <v>46055</v>
      </c>
      <c r="H217" s="111">
        <f ca="1">TODAY()</f>
        <v>46277</v>
      </c>
      <c r="I217" s="111" t="s">
        <v>321</v>
      </c>
      <c r="J217" s="112" t="s">
        <v>533</v>
      </c>
      <c r="K217" s="113">
        <f t="shared" ca="1" si="32"/>
        <v>304</v>
      </c>
      <c r="L217" s="113">
        <v>1162808</v>
      </c>
      <c r="M217" s="114" t="s">
        <v>366</v>
      </c>
      <c r="N217" s="112" t="s">
        <v>365</v>
      </c>
      <c r="O217" s="109" t="s">
        <v>365</v>
      </c>
      <c r="P217" s="115" t="s">
        <v>77</v>
      </c>
      <c r="Q217" s="115" t="s">
        <v>77</v>
      </c>
      <c r="R217" s="131" t="s">
        <v>211</v>
      </c>
      <c r="S217" s="117" t="s">
        <v>534</v>
      </c>
      <c r="T217" s="118">
        <v>1</v>
      </c>
      <c r="U217" s="132" t="s">
        <v>82</v>
      </c>
      <c r="V217" s="119">
        <v>233</v>
      </c>
      <c r="W217" s="119"/>
      <c r="X217" s="120">
        <v>0</v>
      </c>
      <c r="Y217" s="119">
        <v>0</v>
      </c>
      <c r="Z217" s="119">
        <v>0</v>
      </c>
      <c r="AA217" s="119">
        <v>0</v>
      </c>
      <c r="AB217" s="119">
        <v>1</v>
      </c>
      <c r="AC217" s="119"/>
      <c r="AD217" s="119">
        <v>0</v>
      </c>
      <c r="AE217" s="119">
        <v>0</v>
      </c>
      <c r="AF217" s="119">
        <v>0</v>
      </c>
      <c r="AG217" s="119">
        <v>0</v>
      </c>
      <c r="AH217" s="119">
        <v>1</v>
      </c>
      <c r="AI217" s="119"/>
      <c r="AJ217" s="119">
        <v>0</v>
      </c>
      <c r="AK217" s="119">
        <v>0</v>
      </c>
      <c r="AL217" s="119">
        <v>1</v>
      </c>
      <c r="AM217" s="119"/>
      <c r="AN217" s="119">
        <v>1</v>
      </c>
      <c r="AO217" s="119"/>
      <c r="AP217" s="119">
        <v>1</v>
      </c>
      <c r="AQ217" s="119"/>
      <c r="AR217" s="119">
        <v>0</v>
      </c>
      <c r="AS217" s="119">
        <v>0</v>
      </c>
      <c r="AT217" s="119">
        <v>1</v>
      </c>
      <c r="AU217" s="119"/>
      <c r="AV217" s="119">
        <v>0</v>
      </c>
      <c r="AW217" s="119">
        <v>0</v>
      </c>
      <c r="AX217" s="146">
        <f t="shared" si="34"/>
        <v>15837</v>
      </c>
      <c r="AY217" s="146">
        <f t="shared" si="29"/>
        <v>0</v>
      </c>
      <c r="AZ217" s="109" t="s">
        <v>365</v>
      </c>
      <c r="BA217" s="112" t="s">
        <v>77</v>
      </c>
      <c r="BB217" s="109" t="s">
        <v>77</v>
      </c>
      <c r="BC217" s="133">
        <v>213</v>
      </c>
      <c r="BD217" s="122"/>
      <c r="BE217" s="118"/>
      <c r="BF217" s="123"/>
      <c r="BG217" s="109"/>
      <c r="BH217" s="125" t="s">
        <v>77</v>
      </c>
      <c r="BI217" s="125" t="s">
        <v>77</v>
      </c>
    </row>
    <row r="218" spans="1:705" s="16" customFormat="1" ht="44.1" customHeight="1" x14ac:dyDescent="0.3">
      <c r="A218" s="26">
        <v>214</v>
      </c>
      <c r="B218" s="110">
        <v>241376</v>
      </c>
      <c r="C218" s="110">
        <v>214</v>
      </c>
      <c r="D218" s="111">
        <v>45964</v>
      </c>
      <c r="E218" s="111">
        <f t="shared" si="31"/>
        <v>45963</v>
      </c>
      <c r="F218" s="111">
        <f t="shared" si="33"/>
        <v>45974</v>
      </c>
      <c r="G218" s="111">
        <v>46056</v>
      </c>
      <c r="H218" s="111">
        <f ca="1">TODAY()</f>
        <v>46277</v>
      </c>
      <c r="I218" s="111" t="s">
        <v>321</v>
      </c>
      <c r="J218" s="112" t="s">
        <v>536</v>
      </c>
      <c r="K218" s="113">
        <f t="shared" ca="1" si="32"/>
        <v>303</v>
      </c>
      <c r="L218" s="113">
        <v>1162956</v>
      </c>
      <c r="M218" s="114" t="s">
        <v>587</v>
      </c>
      <c r="N218" s="112" t="s">
        <v>365</v>
      </c>
      <c r="O218" s="109" t="s">
        <v>365</v>
      </c>
      <c r="P218" s="115" t="s">
        <v>77</v>
      </c>
      <c r="Q218" s="115" t="s">
        <v>77</v>
      </c>
      <c r="R218" s="131" t="s">
        <v>211</v>
      </c>
      <c r="S218" s="117" t="s">
        <v>537</v>
      </c>
      <c r="T218" s="118">
        <v>1</v>
      </c>
      <c r="U218" s="132" t="s">
        <v>82</v>
      </c>
      <c r="V218" s="119">
        <v>92</v>
      </c>
      <c r="W218" s="119"/>
      <c r="X218" s="120">
        <v>0</v>
      </c>
      <c r="Y218" s="119">
        <v>0</v>
      </c>
      <c r="Z218" s="119">
        <v>0</v>
      </c>
      <c r="AA218" s="119">
        <v>0</v>
      </c>
      <c r="AB218" s="119">
        <v>1</v>
      </c>
      <c r="AC218" s="119"/>
      <c r="AD218" s="119">
        <v>0</v>
      </c>
      <c r="AE218" s="119">
        <v>0</v>
      </c>
      <c r="AF218" s="119">
        <v>0</v>
      </c>
      <c r="AG218" s="119">
        <v>0</v>
      </c>
      <c r="AH218" s="119">
        <v>1</v>
      </c>
      <c r="AI218" s="119"/>
      <c r="AJ218" s="119">
        <v>0</v>
      </c>
      <c r="AK218" s="119">
        <v>0</v>
      </c>
      <c r="AL218" s="119">
        <v>1</v>
      </c>
      <c r="AM218" s="119"/>
      <c r="AN218" s="119">
        <v>1</v>
      </c>
      <c r="AO218" s="119"/>
      <c r="AP218" s="119">
        <v>1</v>
      </c>
      <c r="AQ218" s="119"/>
      <c r="AR218" s="119">
        <v>0</v>
      </c>
      <c r="AS218" s="119">
        <v>0</v>
      </c>
      <c r="AT218" s="119">
        <v>1</v>
      </c>
      <c r="AU218" s="119"/>
      <c r="AV218" s="119">
        <v>0</v>
      </c>
      <c r="AW218" s="119">
        <v>0</v>
      </c>
      <c r="AX218" s="146">
        <f t="shared" si="34"/>
        <v>7377</v>
      </c>
      <c r="AY218" s="146">
        <f t="shared" si="29"/>
        <v>0</v>
      </c>
      <c r="AZ218" s="109" t="s">
        <v>365</v>
      </c>
      <c r="BA218" s="112" t="s">
        <v>77</v>
      </c>
      <c r="BB218" s="109" t="s">
        <v>77</v>
      </c>
      <c r="BC218" s="133">
        <v>214</v>
      </c>
      <c r="BD218" s="122"/>
      <c r="BE218" s="118"/>
      <c r="BF218" s="123"/>
      <c r="BG218" s="109"/>
      <c r="BH218" s="125" t="s">
        <v>77</v>
      </c>
      <c r="BI218" s="125" t="s">
        <v>77</v>
      </c>
    </row>
    <row r="219" spans="1:705" s="16" customFormat="1" ht="44.1" hidden="1" customHeight="1" x14ac:dyDescent="0.3">
      <c r="A219" s="26">
        <v>215</v>
      </c>
      <c r="B219" s="138">
        <v>241380</v>
      </c>
      <c r="C219" s="138">
        <v>215</v>
      </c>
      <c r="D219" s="139">
        <v>46156</v>
      </c>
      <c r="E219" s="139">
        <f t="shared" si="31"/>
        <v>46155</v>
      </c>
      <c r="F219" s="139">
        <f t="shared" si="33"/>
        <v>46166</v>
      </c>
      <c r="G219" s="139">
        <v>46208</v>
      </c>
      <c r="H219" s="139">
        <v>46180</v>
      </c>
      <c r="I219" s="139" t="s">
        <v>123</v>
      </c>
      <c r="J219" s="140" t="s">
        <v>1245</v>
      </c>
      <c r="K219" s="141">
        <f t="shared" si="32"/>
        <v>14</v>
      </c>
      <c r="L219" s="141">
        <v>1162971</v>
      </c>
      <c r="M219" s="140" t="s">
        <v>15</v>
      </c>
      <c r="N219" s="140" t="s">
        <v>1252</v>
      </c>
      <c r="O219" s="137" t="s">
        <v>246</v>
      </c>
      <c r="P219" s="143">
        <v>46162</v>
      </c>
      <c r="Q219" s="143">
        <v>46341</v>
      </c>
      <c r="R219" s="185" t="s">
        <v>211</v>
      </c>
      <c r="S219" s="144" t="s">
        <v>538</v>
      </c>
      <c r="T219" s="145">
        <v>1</v>
      </c>
      <c r="U219" s="186" t="s">
        <v>82</v>
      </c>
      <c r="V219" s="146">
        <v>254</v>
      </c>
      <c r="W219" s="146">
        <v>254</v>
      </c>
      <c r="X219" s="147">
        <v>0</v>
      </c>
      <c r="Y219" s="146">
        <v>0</v>
      </c>
      <c r="Z219" s="146">
        <v>0</v>
      </c>
      <c r="AA219" s="146">
        <v>0</v>
      </c>
      <c r="AB219" s="146">
        <v>254</v>
      </c>
      <c r="AC219" s="146">
        <v>254</v>
      </c>
      <c r="AD219" s="146">
        <v>0</v>
      </c>
      <c r="AE219" s="146">
        <v>0</v>
      </c>
      <c r="AF219" s="146">
        <v>0</v>
      </c>
      <c r="AG219" s="146">
        <v>0</v>
      </c>
      <c r="AH219" s="146">
        <v>1</v>
      </c>
      <c r="AI219" s="146">
        <v>1</v>
      </c>
      <c r="AJ219" s="146">
        <v>0</v>
      </c>
      <c r="AK219" s="146">
        <v>0</v>
      </c>
      <c r="AL219" s="146">
        <v>2</v>
      </c>
      <c r="AM219" s="146">
        <v>2</v>
      </c>
      <c r="AN219" s="146">
        <v>1</v>
      </c>
      <c r="AO219" s="146">
        <v>1</v>
      </c>
      <c r="AP219" s="146">
        <v>1</v>
      </c>
      <c r="AQ219" s="146">
        <v>1</v>
      </c>
      <c r="AR219" s="146">
        <v>0</v>
      </c>
      <c r="AS219" s="146">
        <v>0</v>
      </c>
      <c r="AT219" s="146">
        <v>1</v>
      </c>
      <c r="AU219" s="146">
        <v>1</v>
      </c>
      <c r="AV219" s="146">
        <v>0</v>
      </c>
      <c r="AW219" s="146">
        <v>0</v>
      </c>
      <c r="AX219" s="146">
        <f t="shared" si="34"/>
        <v>32108</v>
      </c>
      <c r="AY219" s="146">
        <f t="shared" si="29"/>
        <v>32108</v>
      </c>
      <c r="AZ219" s="140" t="s">
        <v>562</v>
      </c>
      <c r="BA219" s="140" t="s">
        <v>562</v>
      </c>
      <c r="BB219" s="140">
        <v>12</v>
      </c>
      <c r="BC219" s="187">
        <v>215</v>
      </c>
      <c r="BD219" s="149"/>
      <c r="BE219" s="145"/>
      <c r="BF219" s="150"/>
      <c r="BG219" s="188">
        <v>46174</v>
      </c>
      <c r="BH219" s="153" t="s">
        <v>15</v>
      </c>
      <c r="BI219" s="153" t="s">
        <v>562</v>
      </c>
    </row>
    <row r="220" spans="1:705" s="16" customFormat="1" ht="44.1" hidden="1" customHeight="1" x14ac:dyDescent="0.3">
      <c r="A220" s="26">
        <v>216</v>
      </c>
      <c r="B220" s="90">
        <v>241404</v>
      </c>
      <c r="C220" s="90">
        <v>216</v>
      </c>
      <c r="D220" s="91">
        <v>45964</v>
      </c>
      <c r="E220" s="91">
        <f t="shared" si="31"/>
        <v>45963</v>
      </c>
      <c r="F220" s="91">
        <f t="shared" si="33"/>
        <v>45974</v>
      </c>
      <c r="G220" s="91">
        <v>46056</v>
      </c>
      <c r="H220" s="91">
        <f ca="1">TODAY()</f>
        <v>46277</v>
      </c>
      <c r="I220" s="91" t="s">
        <v>321</v>
      </c>
      <c r="J220" s="92" t="s">
        <v>539</v>
      </c>
      <c r="K220" s="93">
        <f t="shared" ca="1" si="32"/>
        <v>303</v>
      </c>
      <c r="L220" s="93">
        <v>1163094</v>
      </c>
      <c r="M220" s="92" t="s">
        <v>212</v>
      </c>
      <c r="N220" s="92">
        <v>810946</v>
      </c>
      <c r="O220" s="92" t="s">
        <v>246</v>
      </c>
      <c r="P220" s="126">
        <v>46014</v>
      </c>
      <c r="Q220" s="126">
        <v>46198</v>
      </c>
      <c r="R220" s="158" t="s">
        <v>212</v>
      </c>
      <c r="S220" s="94" t="s">
        <v>540</v>
      </c>
      <c r="T220" s="95">
        <v>1</v>
      </c>
      <c r="U220" s="159" t="s">
        <v>82</v>
      </c>
      <c r="V220" s="96">
        <v>39</v>
      </c>
      <c r="W220" s="96"/>
      <c r="X220" s="97">
        <v>0</v>
      </c>
      <c r="Y220" s="96">
        <v>0</v>
      </c>
      <c r="Z220" s="96">
        <v>0</v>
      </c>
      <c r="AA220" s="96">
        <v>0</v>
      </c>
      <c r="AB220" s="96">
        <v>1</v>
      </c>
      <c r="AC220" s="96"/>
      <c r="AD220" s="96">
        <v>0</v>
      </c>
      <c r="AE220" s="96">
        <v>0</v>
      </c>
      <c r="AF220" s="96">
        <v>0</v>
      </c>
      <c r="AG220" s="96">
        <v>0</v>
      </c>
      <c r="AH220" s="96">
        <v>1</v>
      </c>
      <c r="AI220" s="96"/>
      <c r="AJ220" s="96">
        <v>0</v>
      </c>
      <c r="AK220" s="96">
        <v>0</v>
      </c>
      <c r="AL220" s="96">
        <v>1</v>
      </c>
      <c r="AM220" s="96"/>
      <c r="AN220" s="96">
        <v>1</v>
      </c>
      <c r="AO220" s="96"/>
      <c r="AP220" s="96">
        <v>1</v>
      </c>
      <c r="AQ220" s="96"/>
      <c r="AR220" s="96">
        <v>0</v>
      </c>
      <c r="AS220" s="96">
        <v>0</v>
      </c>
      <c r="AT220" s="96">
        <v>1</v>
      </c>
      <c r="AU220" s="96"/>
      <c r="AV220" s="96">
        <v>0</v>
      </c>
      <c r="AW220" s="96">
        <v>0</v>
      </c>
      <c r="AX220" s="146">
        <f t="shared" si="34"/>
        <v>4197</v>
      </c>
      <c r="AY220" s="146">
        <f t="shared" si="29"/>
        <v>0</v>
      </c>
      <c r="AZ220" s="92" t="s">
        <v>212</v>
      </c>
      <c r="BA220" s="92" t="s">
        <v>212</v>
      </c>
      <c r="BB220" s="89" t="s">
        <v>212</v>
      </c>
      <c r="BC220" s="160">
        <v>216</v>
      </c>
      <c r="BD220" s="100"/>
      <c r="BE220" s="95"/>
      <c r="BF220" s="101"/>
      <c r="BG220" s="89"/>
      <c r="BH220" s="102" t="s">
        <v>212</v>
      </c>
      <c r="BI220" s="102" t="s">
        <v>212</v>
      </c>
    </row>
    <row r="221" spans="1:705" s="182" customFormat="1" ht="44.1" hidden="1" customHeight="1" x14ac:dyDescent="0.3">
      <c r="A221" s="26">
        <v>217</v>
      </c>
      <c r="B221" s="138">
        <v>241409</v>
      </c>
      <c r="C221" s="138">
        <v>217</v>
      </c>
      <c r="D221" s="139">
        <v>45964</v>
      </c>
      <c r="E221" s="139">
        <f t="shared" si="31"/>
        <v>45963</v>
      </c>
      <c r="F221" s="139">
        <f t="shared" si="33"/>
        <v>45974</v>
      </c>
      <c r="G221" s="139">
        <v>46056</v>
      </c>
      <c r="H221" s="139">
        <v>46037</v>
      </c>
      <c r="I221" s="139" t="s">
        <v>321</v>
      </c>
      <c r="J221" s="140" t="s">
        <v>541</v>
      </c>
      <c r="K221" s="141">
        <f t="shared" si="32"/>
        <v>63</v>
      </c>
      <c r="L221" s="141">
        <v>1163189</v>
      </c>
      <c r="M221" s="140" t="s">
        <v>15</v>
      </c>
      <c r="N221" s="140">
        <v>810946</v>
      </c>
      <c r="O221" s="140" t="s">
        <v>246</v>
      </c>
      <c r="P221" s="143">
        <v>46014</v>
      </c>
      <c r="Q221" s="143">
        <v>46198</v>
      </c>
      <c r="R221" s="185" t="s">
        <v>211</v>
      </c>
      <c r="S221" s="144" t="s">
        <v>542</v>
      </c>
      <c r="T221" s="145">
        <v>1</v>
      </c>
      <c r="U221" s="186" t="s">
        <v>82</v>
      </c>
      <c r="V221" s="146">
        <v>63</v>
      </c>
      <c r="W221" s="146">
        <v>63</v>
      </c>
      <c r="X221" s="147">
        <v>0</v>
      </c>
      <c r="Y221" s="146">
        <v>0</v>
      </c>
      <c r="Z221" s="146">
        <v>0</v>
      </c>
      <c r="AA221" s="146">
        <v>0</v>
      </c>
      <c r="AB221" s="146">
        <v>129</v>
      </c>
      <c r="AC221" s="146">
        <v>129</v>
      </c>
      <c r="AD221" s="146">
        <v>0</v>
      </c>
      <c r="AE221" s="146">
        <v>0</v>
      </c>
      <c r="AF221" s="146">
        <v>0</v>
      </c>
      <c r="AG221" s="146">
        <v>0</v>
      </c>
      <c r="AH221" s="146">
        <v>2</v>
      </c>
      <c r="AI221" s="146">
        <v>2</v>
      </c>
      <c r="AJ221" s="146">
        <v>0</v>
      </c>
      <c r="AK221" s="146">
        <v>0</v>
      </c>
      <c r="AL221" s="146">
        <v>1</v>
      </c>
      <c r="AM221" s="146">
        <v>1</v>
      </c>
      <c r="AN221" s="146">
        <v>2</v>
      </c>
      <c r="AO221" s="146">
        <v>2</v>
      </c>
      <c r="AP221" s="146">
        <v>2</v>
      </c>
      <c r="AQ221" s="146">
        <v>2</v>
      </c>
      <c r="AR221" s="146">
        <v>0</v>
      </c>
      <c r="AS221" s="146">
        <v>0</v>
      </c>
      <c r="AT221" s="146">
        <v>1</v>
      </c>
      <c r="AU221" s="146">
        <v>1</v>
      </c>
      <c r="AV221" s="146">
        <v>0</v>
      </c>
      <c r="AW221" s="146">
        <v>0</v>
      </c>
      <c r="AX221" s="146">
        <f t="shared" si="34"/>
        <v>13793</v>
      </c>
      <c r="AY221" s="146">
        <f t="shared" si="29"/>
        <v>13793</v>
      </c>
      <c r="AZ221" s="137" t="s">
        <v>562</v>
      </c>
      <c r="BA221" s="137" t="s">
        <v>562</v>
      </c>
      <c r="BB221" s="137">
        <v>11</v>
      </c>
      <c r="BC221" s="187">
        <v>217</v>
      </c>
      <c r="BD221" s="149"/>
      <c r="BE221" s="145"/>
      <c r="BF221" s="150"/>
      <c r="BG221" s="188">
        <v>46023</v>
      </c>
      <c r="BH221" s="153" t="s">
        <v>535</v>
      </c>
      <c r="BI221" s="153" t="s">
        <v>562</v>
      </c>
      <c r="BK221" s="238"/>
    </row>
    <row r="222" spans="1:705" s="16" customFormat="1" ht="44.1" customHeight="1" x14ac:dyDescent="0.3">
      <c r="A222" s="26">
        <v>218</v>
      </c>
      <c r="B222" s="163">
        <v>241410</v>
      </c>
      <c r="C222" s="163">
        <v>218</v>
      </c>
      <c r="D222" s="164">
        <v>46210</v>
      </c>
      <c r="E222" s="164">
        <f t="shared" si="31"/>
        <v>46209</v>
      </c>
      <c r="F222" s="164">
        <f t="shared" si="33"/>
        <v>46220</v>
      </c>
      <c r="G222" s="164">
        <v>46272</v>
      </c>
      <c r="H222" s="164">
        <v>46252</v>
      </c>
      <c r="I222" s="164" t="s">
        <v>123</v>
      </c>
      <c r="J222" s="165" t="s">
        <v>1420</v>
      </c>
      <c r="K222" s="166">
        <f t="shared" si="32"/>
        <v>32</v>
      </c>
      <c r="L222" s="166">
        <v>1163194</v>
      </c>
      <c r="M222" s="162" t="s">
        <v>15</v>
      </c>
      <c r="N222" s="165" t="s">
        <v>1518</v>
      </c>
      <c r="O222" s="165" t="s">
        <v>246</v>
      </c>
      <c r="P222" s="167">
        <v>46223</v>
      </c>
      <c r="Q222" s="167">
        <v>46381</v>
      </c>
      <c r="R222" s="179" t="s">
        <v>211</v>
      </c>
      <c r="S222" s="168" t="s">
        <v>543</v>
      </c>
      <c r="T222" s="169">
        <v>1</v>
      </c>
      <c r="U222" s="180" t="s">
        <v>81</v>
      </c>
      <c r="V222" s="170">
        <v>135</v>
      </c>
      <c r="W222" s="170">
        <v>135</v>
      </c>
      <c r="X222" s="171">
        <v>0</v>
      </c>
      <c r="Y222" s="170">
        <v>0</v>
      </c>
      <c r="Z222" s="170">
        <v>0</v>
      </c>
      <c r="AA222" s="170">
        <v>0</v>
      </c>
      <c r="AB222" s="170">
        <v>84</v>
      </c>
      <c r="AC222" s="170">
        <v>84</v>
      </c>
      <c r="AD222" s="170">
        <v>20</v>
      </c>
      <c r="AE222" s="170">
        <v>20</v>
      </c>
      <c r="AF222" s="170">
        <v>0</v>
      </c>
      <c r="AG222" s="170">
        <v>0</v>
      </c>
      <c r="AH222" s="170">
        <v>0</v>
      </c>
      <c r="AI222" s="170"/>
      <c r="AJ222" s="170">
        <v>0</v>
      </c>
      <c r="AK222" s="170">
        <v>0</v>
      </c>
      <c r="AL222" s="170">
        <v>0</v>
      </c>
      <c r="AM222" s="170">
        <v>0</v>
      </c>
      <c r="AN222" s="170">
        <v>3</v>
      </c>
      <c r="AO222" s="170">
        <v>3</v>
      </c>
      <c r="AP222" s="170">
        <v>4</v>
      </c>
      <c r="AQ222" s="170">
        <v>4</v>
      </c>
      <c r="AR222" s="170">
        <v>0</v>
      </c>
      <c r="AS222" s="170">
        <v>0</v>
      </c>
      <c r="AT222" s="170">
        <v>0</v>
      </c>
      <c r="AU222" s="170"/>
      <c r="AV222" s="170">
        <v>0</v>
      </c>
      <c r="AW222" s="170">
        <v>0</v>
      </c>
      <c r="AX222" s="170">
        <f t="shared" si="34"/>
        <v>17088</v>
      </c>
      <c r="AY222" s="170">
        <f t="shared" si="29"/>
        <v>17088</v>
      </c>
      <c r="AZ222" s="165" t="s">
        <v>15</v>
      </c>
      <c r="BA222" s="165" t="s">
        <v>77</v>
      </c>
      <c r="BB222" s="162" t="s">
        <v>77</v>
      </c>
      <c r="BC222" s="181">
        <v>218</v>
      </c>
      <c r="BD222" s="173"/>
      <c r="BE222" s="169"/>
      <c r="BF222" s="174"/>
      <c r="BG222" s="178">
        <v>46246</v>
      </c>
      <c r="BH222" s="175" t="s">
        <v>77</v>
      </c>
      <c r="BI222" s="175" t="s">
        <v>77</v>
      </c>
    </row>
    <row r="223" spans="1:705" s="16" customFormat="1" ht="44.1" hidden="1" customHeight="1" x14ac:dyDescent="0.3">
      <c r="A223" s="26">
        <v>219</v>
      </c>
      <c r="B223" s="138">
        <v>241415</v>
      </c>
      <c r="C223" s="138">
        <v>219</v>
      </c>
      <c r="D223" s="139">
        <v>45964</v>
      </c>
      <c r="E223" s="139">
        <f t="shared" si="31"/>
        <v>45963</v>
      </c>
      <c r="F223" s="139">
        <f t="shared" si="33"/>
        <v>45974</v>
      </c>
      <c r="G223" s="139">
        <v>46056</v>
      </c>
      <c r="H223" s="139">
        <v>46105</v>
      </c>
      <c r="I223" s="139" t="s">
        <v>321</v>
      </c>
      <c r="J223" s="140" t="s">
        <v>544</v>
      </c>
      <c r="K223" s="141">
        <f t="shared" si="32"/>
        <v>131</v>
      </c>
      <c r="L223" s="141">
        <v>1163202</v>
      </c>
      <c r="M223" s="140" t="s">
        <v>15</v>
      </c>
      <c r="N223" s="140">
        <v>810946</v>
      </c>
      <c r="O223" s="140" t="s">
        <v>246</v>
      </c>
      <c r="P223" s="143">
        <v>46014</v>
      </c>
      <c r="Q223" s="143">
        <v>46198</v>
      </c>
      <c r="R223" s="185" t="s">
        <v>211</v>
      </c>
      <c r="S223" s="144" t="s">
        <v>545</v>
      </c>
      <c r="T223" s="145">
        <v>1</v>
      </c>
      <c r="U223" s="186" t="s">
        <v>82</v>
      </c>
      <c r="V223" s="146">
        <v>68</v>
      </c>
      <c r="W223" s="146">
        <v>68</v>
      </c>
      <c r="X223" s="147">
        <v>0</v>
      </c>
      <c r="Y223" s="146">
        <v>0</v>
      </c>
      <c r="Z223" s="146">
        <v>0</v>
      </c>
      <c r="AA223" s="146">
        <v>0</v>
      </c>
      <c r="AB223" s="146">
        <v>6</v>
      </c>
      <c r="AC223" s="146">
        <v>6</v>
      </c>
      <c r="AD223" s="146">
        <v>0</v>
      </c>
      <c r="AE223" s="146">
        <v>0</v>
      </c>
      <c r="AF223" s="146">
        <v>0</v>
      </c>
      <c r="AG223" s="146">
        <v>0</v>
      </c>
      <c r="AH223" s="146">
        <v>0</v>
      </c>
      <c r="AI223" s="146">
        <v>0</v>
      </c>
      <c r="AJ223" s="146">
        <v>0</v>
      </c>
      <c r="AK223" s="146">
        <v>0</v>
      </c>
      <c r="AL223" s="146">
        <v>0</v>
      </c>
      <c r="AM223" s="146">
        <v>0</v>
      </c>
      <c r="AN223" s="146">
        <v>1</v>
      </c>
      <c r="AO223" s="146">
        <v>1</v>
      </c>
      <c r="AP223" s="146">
        <v>1</v>
      </c>
      <c r="AQ223" s="146">
        <v>1</v>
      </c>
      <c r="AR223" s="146">
        <v>0</v>
      </c>
      <c r="AS223" s="146">
        <v>0</v>
      </c>
      <c r="AT223" s="146">
        <v>0</v>
      </c>
      <c r="AU223" s="146">
        <v>0</v>
      </c>
      <c r="AV223" s="146">
        <v>0</v>
      </c>
      <c r="AW223" s="146">
        <v>0</v>
      </c>
      <c r="AX223" s="146">
        <f t="shared" si="34"/>
        <v>5112</v>
      </c>
      <c r="AY223" s="146">
        <f t="shared" si="29"/>
        <v>5112</v>
      </c>
      <c r="AZ223" s="140" t="s">
        <v>562</v>
      </c>
      <c r="BA223" s="140" t="s">
        <v>562</v>
      </c>
      <c r="BB223" s="140">
        <v>10</v>
      </c>
      <c r="BC223" s="187">
        <v>219</v>
      </c>
      <c r="BD223" s="149"/>
      <c r="BE223" s="145"/>
      <c r="BF223" s="150"/>
      <c r="BG223" s="188">
        <v>46092</v>
      </c>
      <c r="BH223" s="153" t="s">
        <v>535</v>
      </c>
      <c r="BI223" s="153" t="s">
        <v>562</v>
      </c>
    </row>
    <row r="224" spans="1:705" s="16" customFormat="1" ht="44.1" hidden="1" customHeight="1" x14ac:dyDescent="0.3">
      <c r="A224" s="26">
        <v>220</v>
      </c>
      <c r="B224" s="138">
        <v>241420</v>
      </c>
      <c r="C224" s="138">
        <v>220</v>
      </c>
      <c r="D224" s="139">
        <v>45964</v>
      </c>
      <c r="E224" s="139">
        <f t="shared" si="31"/>
        <v>45963</v>
      </c>
      <c r="F224" s="139">
        <f t="shared" si="33"/>
        <v>45974</v>
      </c>
      <c r="G224" s="139">
        <v>46056</v>
      </c>
      <c r="H224" s="139">
        <v>46126</v>
      </c>
      <c r="I224" s="139" t="s">
        <v>321</v>
      </c>
      <c r="J224" s="140" t="s">
        <v>546</v>
      </c>
      <c r="K224" s="141">
        <f t="shared" si="32"/>
        <v>152</v>
      </c>
      <c r="L224" s="141">
        <v>1163216</v>
      </c>
      <c r="M224" s="140" t="s">
        <v>15</v>
      </c>
      <c r="N224" s="140">
        <v>810948</v>
      </c>
      <c r="O224" s="137" t="s">
        <v>246</v>
      </c>
      <c r="P224" s="143">
        <v>46029</v>
      </c>
      <c r="Q224" s="143">
        <v>46198</v>
      </c>
      <c r="R224" s="185" t="s">
        <v>1235</v>
      </c>
      <c r="S224" s="144" t="s">
        <v>547</v>
      </c>
      <c r="T224" s="145">
        <v>1</v>
      </c>
      <c r="U224" s="186" t="s">
        <v>106</v>
      </c>
      <c r="V224" s="146">
        <v>96</v>
      </c>
      <c r="W224" s="146">
        <v>96</v>
      </c>
      <c r="X224" s="147">
        <v>0</v>
      </c>
      <c r="Y224" s="146">
        <v>0</v>
      </c>
      <c r="Z224" s="146">
        <v>0</v>
      </c>
      <c r="AA224" s="146">
        <v>0</v>
      </c>
      <c r="AB224" s="146">
        <v>96</v>
      </c>
      <c r="AC224" s="146">
        <v>96</v>
      </c>
      <c r="AD224" s="146">
        <v>0</v>
      </c>
      <c r="AE224" s="146">
        <v>0</v>
      </c>
      <c r="AF224" s="146">
        <v>0</v>
      </c>
      <c r="AG224" s="146">
        <v>0</v>
      </c>
      <c r="AH224" s="146">
        <v>2</v>
      </c>
      <c r="AI224" s="146">
        <v>2</v>
      </c>
      <c r="AJ224" s="146">
        <v>0</v>
      </c>
      <c r="AK224" s="146">
        <v>0</v>
      </c>
      <c r="AL224" s="146">
        <v>1</v>
      </c>
      <c r="AM224" s="146">
        <v>1</v>
      </c>
      <c r="AN224" s="146">
        <v>4</v>
      </c>
      <c r="AO224" s="146">
        <v>4</v>
      </c>
      <c r="AP224" s="146">
        <v>2</v>
      </c>
      <c r="AQ224" s="146">
        <v>2</v>
      </c>
      <c r="AR224" s="146">
        <v>0</v>
      </c>
      <c r="AS224" s="146">
        <v>0</v>
      </c>
      <c r="AT224" s="146">
        <v>0</v>
      </c>
      <c r="AU224" s="146">
        <v>0</v>
      </c>
      <c r="AV224" s="146">
        <v>0</v>
      </c>
      <c r="AW224" s="146">
        <v>0</v>
      </c>
      <c r="AX224" s="146">
        <f t="shared" si="34"/>
        <v>13662</v>
      </c>
      <c r="AY224" s="146">
        <f t="shared" si="29"/>
        <v>13662</v>
      </c>
      <c r="AZ224" s="140" t="s">
        <v>562</v>
      </c>
      <c r="BA224" s="140" t="s">
        <v>562</v>
      </c>
      <c r="BB224" s="137">
        <v>12</v>
      </c>
      <c r="BC224" s="187">
        <v>220</v>
      </c>
      <c r="BD224" s="149"/>
      <c r="BE224" s="145"/>
      <c r="BF224" s="150"/>
      <c r="BG224" s="188">
        <v>46124</v>
      </c>
      <c r="BH224" s="153" t="s">
        <v>535</v>
      </c>
      <c r="BI224" s="153" t="s">
        <v>562</v>
      </c>
      <c r="BK224" s="238"/>
    </row>
    <row r="225" spans="1:705" s="16" customFormat="1" ht="44.1" hidden="1" customHeight="1" x14ac:dyDescent="0.3">
      <c r="A225" s="26">
        <v>221</v>
      </c>
      <c r="B225" s="138">
        <v>241423</v>
      </c>
      <c r="C225" s="138">
        <v>221</v>
      </c>
      <c r="D225" s="139">
        <v>45964</v>
      </c>
      <c r="E225" s="139">
        <f t="shared" si="31"/>
        <v>45963</v>
      </c>
      <c r="F225" s="139">
        <f t="shared" si="33"/>
        <v>45974</v>
      </c>
      <c r="G225" s="139">
        <v>46056</v>
      </c>
      <c r="H225" s="139">
        <v>46036</v>
      </c>
      <c r="I225" s="139" t="s">
        <v>321</v>
      </c>
      <c r="J225" s="140" t="s">
        <v>548</v>
      </c>
      <c r="K225" s="141">
        <f t="shared" si="32"/>
        <v>62</v>
      </c>
      <c r="L225" s="141">
        <v>1163219</v>
      </c>
      <c r="M225" s="140" t="s">
        <v>15</v>
      </c>
      <c r="N225" s="140">
        <v>810552</v>
      </c>
      <c r="O225" s="137" t="s">
        <v>246</v>
      </c>
      <c r="P225" s="143">
        <v>46016</v>
      </c>
      <c r="Q225" s="143">
        <v>46184</v>
      </c>
      <c r="R225" s="185" t="s">
        <v>211</v>
      </c>
      <c r="S225" s="144" t="s">
        <v>549</v>
      </c>
      <c r="T225" s="145">
        <v>1</v>
      </c>
      <c r="U225" s="186" t="s">
        <v>122</v>
      </c>
      <c r="V225" s="146">
        <v>75</v>
      </c>
      <c r="W225" s="146">
        <v>75</v>
      </c>
      <c r="X225" s="147">
        <v>0</v>
      </c>
      <c r="Y225" s="146">
        <v>0</v>
      </c>
      <c r="Z225" s="146">
        <v>0</v>
      </c>
      <c r="AA225" s="146">
        <v>0</v>
      </c>
      <c r="AB225" s="146">
        <v>0</v>
      </c>
      <c r="AC225" s="146"/>
      <c r="AD225" s="146">
        <v>0</v>
      </c>
      <c r="AE225" s="146">
        <v>0</v>
      </c>
      <c r="AF225" s="146">
        <v>0</v>
      </c>
      <c r="AG225" s="146">
        <v>0</v>
      </c>
      <c r="AH225" s="146">
        <v>0</v>
      </c>
      <c r="AI225" s="146"/>
      <c r="AJ225" s="146">
        <v>0</v>
      </c>
      <c r="AK225" s="146">
        <v>0</v>
      </c>
      <c r="AL225" s="146">
        <v>1</v>
      </c>
      <c r="AM225" s="146">
        <v>1</v>
      </c>
      <c r="AN225" s="146">
        <v>1</v>
      </c>
      <c r="AO225" s="146">
        <v>1</v>
      </c>
      <c r="AP225" s="146">
        <v>0</v>
      </c>
      <c r="AQ225" s="146"/>
      <c r="AR225" s="146">
        <v>0</v>
      </c>
      <c r="AS225" s="146">
        <v>0</v>
      </c>
      <c r="AT225" s="146">
        <v>0</v>
      </c>
      <c r="AU225" s="146"/>
      <c r="AV225" s="146">
        <v>0</v>
      </c>
      <c r="AW225" s="146">
        <v>0</v>
      </c>
      <c r="AX225" s="146">
        <f t="shared" si="34"/>
        <v>5150</v>
      </c>
      <c r="AY225" s="146">
        <f t="shared" si="29"/>
        <v>5150</v>
      </c>
      <c r="AZ225" s="140" t="s">
        <v>562</v>
      </c>
      <c r="BA225" s="140" t="s">
        <v>562</v>
      </c>
      <c r="BB225" s="137">
        <v>7</v>
      </c>
      <c r="BC225" s="187">
        <v>221</v>
      </c>
      <c r="BD225" s="149"/>
      <c r="BE225" s="145"/>
      <c r="BF225" s="150"/>
      <c r="BG225" s="188">
        <v>46023</v>
      </c>
      <c r="BH225" s="153" t="s">
        <v>15</v>
      </c>
      <c r="BI225" s="153" t="s">
        <v>562</v>
      </c>
    </row>
    <row r="226" spans="1:705" s="16" customFormat="1" ht="44.1" hidden="1" customHeight="1" x14ac:dyDescent="0.3">
      <c r="A226" s="26">
        <v>222</v>
      </c>
      <c r="B226" s="138">
        <v>241402</v>
      </c>
      <c r="C226" s="138">
        <v>222</v>
      </c>
      <c r="D226" s="139">
        <v>45964</v>
      </c>
      <c r="E226" s="139">
        <f t="shared" si="31"/>
        <v>45963</v>
      </c>
      <c r="F226" s="139">
        <f t="shared" si="33"/>
        <v>45974</v>
      </c>
      <c r="G226" s="139">
        <v>46056</v>
      </c>
      <c r="H226" s="139">
        <v>46040</v>
      </c>
      <c r="I226" s="139" t="s">
        <v>349</v>
      </c>
      <c r="J226" s="140" t="s">
        <v>550</v>
      </c>
      <c r="K226" s="141">
        <f t="shared" si="32"/>
        <v>66</v>
      </c>
      <c r="L226" s="141">
        <v>1163073</v>
      </c>
      <c r="M226" s="140" t="s">
        <v>15</v>
      </c>
      <c r="N226" s="140">
        <v>810567</v>
      </c>
      <c r="O226" s="140" t="s">
        <v>246</v>
      </c>
      <c r="P226" s="143">
        <v>46026</v>
      </c>
      <c r="Q226" s="143">
        <v>46191</v>
      </c>
      <c r="R226" s="185" t="s">
        <v>211</v>
      </c>
      <c r="S226" s="144" t="s">
        <v>551</v>
      </c>
      <c r="T226" s="145">
        <v>1</v>
      </c>
      <c r="U226" s="186" t="s">
        <v>81</v>
      </c>
      <c r="V226" s="146">
        <v>6</v>
      </c>
      <c r="W226" s="146">
        <v>6</v>
      </c>
      <c r="X226" s="147">
        <v>0</v>
      </c>
      <c r="Y226" s="146">
        <v>0</v>
      </c>
      <c r="Z226" s="146">
        <v>0</v>
      </c>
      <c r="AA226" s="146">
        <v>0</v>
      </c>
      <c r="AB226" s="146">
        <v>6</v>
      </c>
      <c r="AC226" s="146">
        <v>6</v>
      </c>
      <c r="AD226" s="146">
        <v>0</v>
      </c>
      <c r="AE226" s="146">
        <v>0</v>
      </c>
      <c r="AF226" s="146">
        <v>0</v>
      </c>
      <c r="AG226" s="146">
        <v>0</v>
      </c>
      <c r="AH226" s="146">
        <v>0</v>
      </c>
      <c r="AI226" s="146">
        <v>0</v>
      </c>
      <c r="AJ226" s="146">
        <v>0</v>
      </c>
      <c r="AK226" s="146">
        <v>0</v>
      </c>
      <c r="AL226" s="146">
        <v>0</v>
      </c>
      <c r="AM226" s="146"/>
      <c r="AN226" s="146">
        <v>1</v>
      </c>
      <c r="AO226" s="146">
        <v>1</v>
      </c>
      <c r="AP226" s="146">
        <v>1</v>
      </c>
      <c r="AQ226" s="146">
        <v>1</v>
      </c>
      <c r="AR226" s="146">
        <v>0</v>
      </c>
      <c r="AS226" s="146">
        <v>0</v>
      </c>
      <c r="AT226" s="146">
        <v>0</v>
      </c>
      <c r="AU226" s="146">
        <v>0</v>
      </c>
      <c r="AV226" s="146">
        <v>0</v>
      </c>
      <c r="AW226" s="146">
        <v>0</v>
      </c>
      <c r="AX226" s="146">
        <f t="shared" si="34"/>
        <v>1392</v>
      </c>
      <c r="AY226" s="146">
        <f t="shared" si="29"/>
        <v>1392</v>
      </c>
      <c r="AZ226" s="140" t="s">
        <v>562</v>
      </c>
      <c r="BA226" s="140" t="s">
        <v>562</v>
      </c>
      <c r="BB226" s="137">
        <v>7</v>
      </c>
      <c r="BC226" s="187">
        <v>222</v>
      </c>
      <c r="BD226" s="149"/>
      <c r="BE226" s="145"/>
      <c r="BF226" s="150"/>
      <c r="BG226" s="188">
        <v>46023</v>
      </c>
      <c r="BH226" s="153" t="s">
        <v>535</v>
      </c>
      <c r="BI226" s="153" t="s">
        <v>562</v>
      </c>
    </row>
    <row r="227" spans="1:705" s="16" customFormat="1" ht="44.1" hidden="1" customHeight="1" x14ac:dyDescent="0.3">
      <c r="A227" s="26">
        <v>223</v>
      </c>
      <c r="B227" s="138">
        <v>241403</v>
      </c>
      <c r="C227" s="138">
        <v>223</v>
      </c>
      <c r="D227" s="139">
        <v>45964</v>
      </c>
      <c r="E227" s="139">
        <f t="shared" si="31"/>
        <v>45963</v>
      </c>
      <c r="F227" s="139">
        <f t="shared" si="33"/>
        <v>45974</v>
      </c>
      <c r="G227" s="139">
        <v>46056</v>
      </c>
      <c r="H227" s="139">
        <v>46040</v>
      </c>
      <c r="I227" s="139" t="s">
        <v>349</v>
      </c>
      <c r="J227" s="140" t="s">
        <v>552</v>
      </c>
      <c r="K227" s="141">
        <f t="shared" si="32"/>
        <v>66</v>
      </c>
      <c r="L227" s="141">
        <v>1163085</v>
      </c>
      <c r="M227" s="140" t="s">
        <v>15</v>
      </c>
      <c r="N227" s="140">
        <v>810567</v>
      </c>
      <c r="O227" s="140" t="s">
        <v>246</v>
      </c>
      <c r="P227" s="143">
        <v>46026</v>
      </c>
      <c r="Q227" s="143">
        <v>46191</v>
      </c>
      <c r="R227" s="185" t="s">
        <v>211</v>
      </c>
      <c r="S227" s="144" t="s">
        <v>553</v>
      </c>
      <c r="T227" s="145">
        <v>1</v>
      </c>
      <c r="U227" s="186" t="s">
        <v>81</v>
      </c>
      <c r="V227" s="146">
        <v>115</v>
      </c>
      <c r="W227" s="146">
        <v>115</v>
      </c>
      <c r="X227" s="147">
        <v>0</v>
      </c>
      <c r="Y227" s="146">
        <v>0</v>
      </c>
      <c r="Z227" s="146">
        <v>0</v>
      </c>
      <c r="AA227" s="146">
        <v>0</v>
      </c>
      <c r="AB227" s="146">
        <v>115</v>
      </c>
      <c r="AC227" s="146">
        <v>115</v>
      </c>
      <c r="AD227" s="146">
        <v>0</v>
      </c>
      <c r="AE227" s="146">
        <v>0</v>
      </c>
      <c r="AF227" s="146">
        <v>0</v>
      </c>
      <c r="AG227" s="146">
        <v>0</v>
      </c>
      <c r="AH227" s="146">
        <v>0</v>
      </c>
      <c r="AI227" s="146"/>
      <c r="AJ227" s="146">
        <v>0</v>
      </c>
      <c r="AK227" s="146">
        <v>0</v>
      </c>
      <c r="AL227" s="146">
        <v>2</v>
      </c>
      <c r="AM227" s="146">
        <v>2</v>
      </c>
      <c r="AN227" s="146">
        <v>1</v>
      </c>
      <c r="AO227" s="146">
        <v>1</v>
      </c>
      <c r="AP227" s="146">
        <v>0</v>
      </c>
      <c r="AQ227" s="146"/>
      <c r="AR227" s="146">
        <v>0</v>
      </c>
      <c r="AS227" s="146">
        <v>0</v>
      </c>
      <c r="AT227" s="146">
        <v>0</v>
      </c>
      <c r="AU227" s="146"/>
      <c r="AV227" s="146">
        <v>0</v>
      </c>
      <c r="AW227" s="146">
        <v>0</v>
      </c>
      <c r="AX227" s="146">
        <f t="shared" si="34"/>
        <v>14695</v>
      </c>
      <c r="AY227" s="146">
        <f t="shared" si="29"/>
        <v>14695</v>
      </c>
      <c r="AZ227" s="140" t="s">
        <v>562</v>
      </c>
      <c r="BA227" s="140" t="s">
        <v>562</v>
      </c>
      <c r="BB227" s="137">
        <v>7</v>
      </c>
      <c r="BC227" s="187">
        <v>223</v>
      </c>
      <c r="BD227" s="149"/>
      <c r="BE227" s="145"/>
      <c r="BF227" s="150"/>
      <c r="BG227" s="188">
        <v>46023</v>
      </c>
      <c r="BH227" s="153" t="s">
        <v>15</v>
      </c>
      <c r="BI227" s="153" t="s">
        <v>562</v>
      </c>
    </row>
    <row r="228" spans="1:705" s="16" customFormat="1" ht="44.1" hidden="1" customHeight="1" x14ac:dyDescent="0.3">
      <c r="A228" s="26">
        <v>224</v>
      </c>
      <c r="B228" s="138">
        <v>241426</v>
      </c>
      <c r="C228" s="138">
        <v>224</v>
      </c>
      <c r="D228" s="139">
        <v>45964</v>
      </c>
      <c r="E228" s="139">
        <f t="shared" si="31"/>
        <v>45963</v>
      </c>
      <c r="F228" s="139">
        <f t="shared" si="33"/>
        <v>45974</v>
      </c>
      <c r="G228" s="139">
        <v>46056</v>
      </c>
      <c r="H228" s="139">
        <v>46065</v>
      </c>
      <c r="I228" s="139" t="s">
        <v>349</v>
      </c>
      <c r="J228" s="140" t="s">
        <v>554</v>
      </c>
      <c r="K228" s="141">
        <f t="shared" si="32"/>
        <v>91</v>
      </c>
      <c r="L228" s="141">
        <v>1163261</v>
      </c>
      <c r="M228" s="140" t="s">
        <v>15</v>
      </c>
      <c r="N228" s="140">
        <v>810552</v>
      </c>
      <c r="O228" s="137" t="s">
        <v>246</v>
      </c>
      <c r="P228" s="143">
        <v>46016</v>
      </c>
      <c r="Q228" s="143">
        <v>46184</v>
      </c>
      <c r="R228" s="185" t="s">
        <v>1259</v>
      </c>
      <c r="S228" s="144" t="s">
        <v>555</v>
      </c>
      <c r="T228" s="145">
        <v>1</v>
      </c>
      <c r="U228" s="186" t="s">
        <v>122</v>
      </c>
      <c r="V228" s="146">
        <v>132</v>
      </c>
      <c r="W228" s="146">
        <v>132</v>
      </c>
      <c r="X228" s="147">
        <v>0</v>
      </c>
      <c r="Y228" s="146"/>
      <c r="Z228" s="146">
        <v>0</v>
      </c>
      <c r="AA228" s="146">
        <v>0</v>
      </c>
      <c r="AB228" s="146">
        <v>15</v>
      </c>
      <c r="AC228" s="146">
        <v>15</v>
      </c>
      <c r="AD228" s="146">
        <v>0</v>
      </c>
      <c r="AE228" s="146">
        <v>0</v>
      </c>
      <c r="AF228" s="146">
        <v>0</v>
      </c>
      <c r="AG228" s="146">
        <v>0</v>
      </c>
      <c r="AH228" s="146">
        <v>0</v>
      </c>
      <c r="AI228" s="146">
        <v>0</v>
      </c>
      <c r="AJ228" s="146">
        <v>0</v>
      </c>
      <c r="AK228" s="146">
        <v>0</v>
      </c>
      <c r="AL228" s="146">
        <v>2</v>
      </c>
      <c r="AM228" s="146">
        <v>2</v>
      </c>
      <c r="AN228" s="146">
        <v>4</v>
      </c>
      <c r="AO228" s="146">
        <v>4</v>
      </c>
      <c r="AP228" s="146">
        <v>2</v>
      </c>
      <c r="AQ228" s="146">
        <v>2</v>
      </c>
      <c r="AR228" s="146">
        <v>0</v>
      </c>
      <c r="AS228" s="146">
        <v>0</v>
      </c>
      <c r="AT228" s="146">
        <v>0</v>
      </c>
      <c r="AU228" s="146"/>
      <c r="AV228" s="146">
        <v>0</v>
      </c>
      <c r="AW228" s="146">
        <v>0</v>
      </c>
      <c r="AX228" s="146">
        <f t="shared" si="34"/>
        <v>11455</v>
      </c>
      <c r="AY228" s="146">
        <f t="shared" si="29"/>
        <v>11455</v>
      </c>
      <c r="AZ228" s="140" t="s">
        <v>562</v>
      </c>
      <c r="BA228" s="140" t="s">
        <v>562</v>
      </c>
      <c r="BB228" s="137">
        <v>8</v>
      </c>
      <c r="BC228" s="187">
        <v>224</v>
      </c>
      <c r="BD228" s="149"/>
      <c r="BE228" s="145"/>
      <c r="BF228" s="150"/>
      <c r="BG228" s="188">
        <v>46054</v>
      </c>
      <c r="BH228" s="153" t="s">
        <v>535</v>
      </c>
      <c r="BI228" s="153" t="s">
        <v>562</v>
      </c>
    </row>
    <row r="229" spans="1:705" s="16" customFormat="1" ht="44.1" customHeight="1" x14ac:dyDescent="0.3">
      <c r="A229" s="26">
        <v>225</v>
      </c>
      <c r="B229" s="62">
        <v>241428</v>
      </c>
      <c r="C229" s="62">
        <v>225</v>
      </c>
      <c r="D229" s="63">
        <v>45965</v>
      </c>
      <c r="E229" s="63">
        <f t="shared" si="31"/>
        <v>45964</v>
      </c>
      <c r="F229" s="63">
        <f t="shared" si="33"/>
        <v>45975</v>
      </c>
      <c r="G229" s="63">
        <v>46057</v>
      </c>
      <c r="H229" s="63">
        <f ca="1">TODAY()</f>
        <v>46277</v>
      </c>
      <c r="I229" s="63" t="s">
        <v>349</v>
      </c>
      <c r="J229" s="64" t="s">
        <v>556</v>
      </c>
      <c r="K229" s="65">
        <f t="shared" ca="1" si="32"/>
        <v>302</v>
      </c>
      <c r="L229" s="65">
        <v>1163350</v>
      </c>
      <c r="M229" s="183" t="s">
        <v>77</v>
      </c>
      <c r="N229" s="64">
        <v>808895</v>
      </c>
      <c r="O229" s="253" t="s">
        <v>1462</v>
      </c>
      <c r="P229" s="103">
        <v>46016</v>
      </c>
      <c r="Q229" s="103">
        <v>46170</v>
      </c>
      <c r="R229" s="73" t="s">
        <v>211</v>
      </c>
      <c r="S229" s="66" t="s">
        <v>557</v>
      </c>
      <c r="T229" s="67">
        <v>1</v>
      </c>
      <c r="U229" s="75" t="s">
        <v>81</v>
      </c>
      <c r="V229" s="68">
        <v>70</v>
      </c>
      <c r="W229" s="68"/>
      <c r="X229" s="69">
        <v>0</v>
      </c>
      <c r="Y229" s="68">
        <v>0</v>
      </c>
      <c r="Z229" s="68">
        <v>0</v>
      </c>
      <c r="AA229" s="68">
        <v>0</v>
      </c>
      <c r="AB229" s="68">
        <v>0</v>
      </c>
      <c r="AC229" s="68"/>
      <c r="AD229" s="68">
        <v>0</v>
      </c>
      <c r="AE229" s="68">
        <v>0</v>
      </c>
      <c r="AF229" s="68">
        <v>0</v>
      </c>
      <c r="AG229" s="68">
        <v>0</v>
      </c>
      <c r="AH229" s="68">
        <v>1</v>
      </c>
      <c r="AI229" s="68"/>
      <c r="AJ229" s="68">
        <v>0</v>
      </c>
      <c r="AK229" s="68">
        <v>0</v>
      </c>
      <c r="AL229" s="68">
        <v>1</v>
      </c>
      <c r="AM229" s="68"/>
      <c r="AN229" s="68">
        <v>3</v>
      </c>
      <c r="AO229" s="68"/>
      <c r="AP229" s="68">
        <v>2</v>
      </c>
      <c r="AQ229" s="68"/>
      <c r="AR229" s="68">
        <v>0</v>
      </c>
      <c r="AS229" s="68">
        <v>0</v>
      </c>
      <c r="AT229" s="68">
        <v>1</v>
      </c>
      <c r="AU229" s="68"/>
      <c r="AV229" s="68">
        <v>0</v>
      </c>
      <c r="AW229" s="68">
        <v>0</v>
      </c>
      <c r="AX229" s="146">
        <f t="shared" si="34"/>
        <v>6750</v>
      </c>
      <c r="AY229" s="146">
        <f t="shared" si="29"/>
        <v>0</v>
      </c>
      <c r="AZ229" s="64" t="s">
        <v>77</v>
      </c>
      <c r="BA229" s="64" t="s">
        <v>77</v>
      </c>
      <c r="BB229" s="15" t="s">
        <v>77</v>
      </c>
      <c r="BC229" s="74">
        <v>225</v>
      </c>
      <c r="BD229" s="70"/>
      <c r="BE229" s="67"/>
      <c r="BF229" s="71"/>
      <c r="BG229" s="15"/>
      <c r="BH229" s="72" t="s">
        <v>77</v>
      </c>
      <c r="BI229" s="72" t="s">
        <v>77</v>
      </c>
    </row>
    <row r="230" spans="1:705" s="16" customFormat="1" ht="44.1" customHeight="1" x14ac:dyDescent="0.3">
      <c r="A230" s="26">
        <v>226</v>
      </c>
      <c r="B230" s="62">
        <v>241433</v>
      </c>
      <c r="C230" s="62">
        <v>226</v>
      </c>
      <c r="D230" s="63">
        <v>45965</v>
      </c>
      <c r="E230" s="63">
        <f t="shared" si="31"/>
        <v>45964</v>
      </c>
      <c r="F230" s="63">
        <f t="shared" si="33"/>
        <v>45975</v>
      </c>
      <c r="G230" s="63">
        <v>46057</v>
      </c>
      <c r="H230" s="63">
        <f ca="1">TODAY()</f>
        <v>46277</v>
      </c>
      <c r="I230" s="63" t="s">
        <v>349</v>
      </c>
      <c r="J230" s="64" t="s">
        <v>558</v>
      </c>
      <c r="K230" s="65">
        <f t="shared" ca="1" si="32"/>
        <v>302</v>
      </c>
      <c r="L230" s="65">
        <v>1163366</v>
      </c>
      <c r="M230" s="64" t="s">
        <v>77</v>
      </c>
      <c r="N230" s="64">
        <v>810568</v>
      </c>
      <c r="O230" s="253" t="s">
        <v>1462</v>
      </c>
      <c r="P230" s="103">
        <v>46033</v>
      </c>
      <c r="Q230" s="103">
        <v>46191</v>
      </c>
      <c r="R230" s="73" t="s">
        <v>211</v>
      </c>
      <c r="S230" s="66" t="s">
        <v>559</v>
      </c>
      <c r="T230" s="67">
        <v>1</v>
      </c>
      <c r="U230" s="75" t="s">
        <v>81</v>
      </c>
      <c r="V230" s="68">
        <v>8</v>
      </c>
      <c r="W230" s="68"/>
      <c r="X230" s="69">
        <v>0</v>
      </c>
      <c r="Y230" s="68">
        <v>0</v>
      </c>
      <c r="Z230" s="68">
        <v>0</v>
      </c>
      <c r="AA230" s="68">
        <v>0</v>
      </c>
      <c r="AB230" s="68">
        <v>0</v>
      </c>
      <c r="AC230" s="68"/>
      <c r="AD230" s="68">
        <v>0</v>
      </c>
      <c r="AE230" s="68">
        <v>0</v>
      </c>
      <c r="AF230" s="68">
        <v>0</v>
      </c>
      <c r="AG230" s="68">
        <v>0</v>
      </c>
      <c r="AH230" s="68">
        <v>1</v>
      </c>
      <c r="AI230" s="68"/>
      <c r="AJ230" s="68">
        <v>0</v>
      </c>
      <c r="AK230" s="68">
        <v>0</v>
      </c>
      <c r="AL230" s="68">
        <v>1</v>
      </c>
      <c r="AM230" s="68"/>
      <c r="AN230" s="68">
        <v>2</v>
      </c>
      <c r="AO230" s="68"/>
      <c r="AP230" s="68">
        <v>2</v>
      </c>
      <c r="AQ230" s="68"/>
      <c r="AR230" s="68">
        <v>0</v>
      </c>
      <c r="AS230" s="68">
        <v>0</v>
      </c>
      <c r="AT230" s="68">
        <v>1</v>
      </c>
      <c r="AU230" s="68"/>
      <c r="AV230" s="68">
        <v>0</v>
      </c>
      <c r="AW230" s="68">
        <v>0</v>
      </c>
      <c r="AX230" s="146">
        <f t="shared" si="34"/>
        <v>2970</v>
      </c>
      <c r="AY230" s="146">
        <f t="shared" si="29"/>
        <v>0</v>
      </c>
      <c r="AZ230" s="64" t="s">
        <v>77</v>
      </c>
      <c r="BA230" s="64" t="s">
        <v>77</v>
      </c>
      <c r="BB230" s="15" t="s">
        <v>77</v>
      </c>
      <c r="BC230" s="74">
        <v>226</v>
      </c>
      <c r="BD230" s="70"/>
      <c r="BE230" s="67"/>
      <c r="BF230" s="71"/>
      <c r="BG230" s="15"/>
      <c r="BH230" s="72" t="s">
        <v>77</v>
      </c>
      <c r="BI230" s="72" t="s">
        <v>77</v>
      </c>
    </row>
    <row r="231" spans="1:705" s="16" customFormat="1" ht="44.1" customHeight="1" x14ac:dyDescent="0.3">
      <c r="A231" s="26">
        <v>227</v>
      </c>
      <c r="B231" s="62">
        <v>241437</v>
      </c>
      <c r="C231" s="62">
        <v>227</v>
      </c>
      <c r="D231" s="63">
        <v>45965</v>
      </c>
      <c r="E231" s="63">
        <f t="shared" si="31"/>
        <v>45964</v>
      </c>
      <c r="F231" s="63">
        <f t="shared" si="33"/>
        <v>45975</v>
      </c>
      <c r="G231" s="63">
        <v>46057</v>
      </c>
      <c r="H231" s="63">
        <f ca="1">TODAY()</f>
        <v>46277</v>
      </c>
      <c r="I231" s="63" t="s">
        <v>349</v>
      </c>
      <c r="J231" s="64" t="s">
        <v>560</v>
      </c>
      <c r="K231" s="65">
        <f t="shared" ca="1" si="32"/>
        <v>302</v>
      </c>
      <c r="L231" s="65">
        <v>1163387</v>
      </c>
      <c r="M231" s="64" t="s">
        <v>77</v>
      </c>
      <c r="N231" s="64">
        <v>810568</v>
      </c>
      <c r="O231" s="253" t="s">
        <v>1462</v>
      </c>
      <c r="P231" s="103">
        <v>46033</v>
      </c>
      <c r="Q231" s="103">
        <v>46191</v>
      </c>
      <c r="R231" s="73" t="s">
        <v>211</v>
      </c>
      <c r="S231" s="66" t="s">
        <v>561</v>
      </c>
      <c r="T231" s="67">
        <v>1</v>
      </c>
      <c r="U231" s="75" t="s">
        <v>81</v>
      </c>
      <c r="V231" s="68">
        <v>63</v>
      </c>
      <c r="W231" s="68"/>
      <c r="X231" s="69">
        <v>0</v>
      </c>
      <c r="Y231" s="68"/>
      <c r="Z231" s="68">
        <v>0</v>
      </c>
      <c r="AA231" s="68">
        <v>0</v>
      </c>
      <c r="AB231" s="68">
        <v>0</v>
      </c>
      <c r="AC231" s="68"/>
      <c r="AD231" s="68">
        <v>0</v>
      </c>
      <c r="AE231" s="68">
        <v>0</v>
      </c>
      <c r="AF231" s="68">
        <v>0</v>
      </c>
      <c r="AG231" s="68">
        <v>0</v>
      </c>
      <c r="AH231" s="68">
        <v>1</v>
      </c>
      <c r="AI231" s="68"/>
      <c r="AJ231" s="68">
        <v>0</v>
      </c>
      <c r="AK231" s="68">
        <v>0</v>
      </c>
      <c r="AL231" s="68">
        <v>0</v>
      </c>
      <c r="AM231" s="68">
        <v>0</v>
      </c>
      <c r="AN231" s="68">
        <v>2</v>
      </c>
      <c r="AO231" s="68"/>
      <c r="AP231" s="68">
        <v>2</v>
      </c>
      <c r="AQ231" s="68"/>
      <c r="AR231" s="68">
        <v>0</v>
      </c>
      <c r="AS231" s="68">
        <v>0</v>
      </c>
      <c r="AT231" s="68">
        <v>1</v>
      </c>
      <c r="AU231" s="68"/>
      <c r="AV231" s="68">
        <v>0</v>
      </c>
      <c r="AW231" s="68">
        <v>0</v>
      </c>
      <c r="AX231" s="146">
        <f t="shared" si="34"/>
        <v>5680</v>
      </c>
      <c r="AY231" s="146">
        <f t="shared" si="29"/>
        <v>0</v>
      </c>
      <c r="AZ231" s="64" t="s">
        <v>77</v>
      </c>
      <c r="BA231" s="64" t="s">
        <v>77</v>
      </c>
      <c r="BB231" s="15" t="s">
        <v>77</v>
      </c>
      <c r="BC231" s="74">
        <v>227</v>
      </c>
      <c r="BD231" s="70"/>
      <c r="BE231" s="67"/>
      <c r="BF231" s="71"/>
      <c r="BG231" s="15"/>
      <c r="BH231" s="72" t="s">
        <v>77</v>
      </c>
      <c r="BI231" s="72" t="s">
        <v>77</v>
      </c>
    </row>
    <row r="232" spans="1:705" s="16" customFormat="1" ht="44.1" hidden="1" customHeight="1" x14ac:dyDescent="0.3">
      <c r="A232" s="26">
        <v>228</v>
      </c>
      <c r="B232" s="90">
        <v>241484</v>
      </c>
      <c r="C232" s="107">
        <v>228</v>
      </c>
      <c r="D232" s="91">
        <v>45965</v>
      </c>
      <c r="E232" s="91">
        <f t="shared" ref="E232:E236" si="35">D232-1</f>
        <v>45964</v>
      </c>
      <c r="F232" s="91">
        <f t="shared" si="33"/>
        <v>45975</v>
      </c>
      <c r="G232" s="91">
        <v>46057</v>
      </c>
      <c r="H232" s="91">
        <f ca="1">TODAY()</f>
        <v>46277</v>
      </c>
      <c r="I232" s="91" t="s">
        <v>349</v>
      </c>
      <c r="J232" s="92" t="s">
        <v>563</v>
      </c>
      <c r="K232" s="93">
        <f t="shared" ca="1" si="32"/>
        <v>302</v>
      </c>
      <c r="L232" s="93">
        <v>1163745</v>
      </c>
      <c r="M232" s="92" t="s">
        <v>212</v>
      </c>
      <c r="N232" s="92">
        <v>810567</v>
      </c>
      <c r="O232" s="92" t="s">
        <v>246</v>
      </c>
      <c r="P232" s="126">
        <v>46026</v>
      </c>
      <c r="Q232" s="126">
        <v>46191</v>
      </c>
      <c r="R232" s="158" t="s">
        <v>1235</v>
      </c>
      <c r="S232" s="94" t="s">
        <v>564</v>
      </c>
      <c r="T232" s="95">
        <v>1</v>
      </c>
      <c r="U232" s="159" t="s">
        <v>81</v>
      </c>
      <c r="V232" s="96">
        <v>10</v>
      </c>
      <c r="W232" s="96"/>
      <c r="X232" s="97">
        <v>0</v>
      </c>
      <c r="Y232" s="96">
        <v>0</v>
      </c>
      <c r="Z232" s="96">
        <v>0</v>
      </c>
      <c r="AA232" s="96">
        <v>0</v>
      </c>
      <c r="AB232" s="96">
        <v>1</v>
      </c>
      <c r="AC232" s="96"/>
      <c r="AD232" s="96">
        <v>0</v>
      </c>
      <c r="AE232" s="96">
        <v>0</v>
      </c>
      <c r="AF232" s="96">
        <v>0</v>
      </c>
      <c r="AG232" s="96">
        <v>0</v>
      </c>
      <c r="AH232" s="96">
        <v>1</v>
      </c>
      <c r="AI232" s="96"/>
      <c r="AJ232" s="96">
        <v>0</v>
      </c>
      <c r="AK232" s="96">
        <v>0</v>
      </c>
      <c r="AL232" s="96">
        <v>2</v>
      </c>
      <c r="AM232" s="96"/>
      <c r="AN232" s="96">
        <v>2</v>
      </c>
      <c r="AO232" s="96"/>
      <c r="AP232" s="96">
        <v>1</v>
      </c>
      <c r="AQ232" s="96"/>
      <c r="AR232" s="96">
        <v>0</v>
      </c>
      <c r="AS232" s="96">
        <v>0</v>
      </c>
      <c r="AT232" s="96">
        <v>1</v>
      </c>
      <c r="AU232" s="96"/>
      <c r="AV232" s="96">
        <v>0</v>
      </c>
      <c r="AW232" s="96">
        <v>0</v>
      </c>
      <c r="AX232" s="146">
        <f t="shared" si="34"/>
        <v>3107</v>
      </c>
      <c r="AY232" s="146">
        <f t="shared" si="29"/>
        <v>0</v>
      </c>
      <c r="AZ232" s="92" t="s">
        <v>212</v>
      </c>
      <c r="BA232" s="92" t="s">
        <v>212</v>
      </c>
      <c r="BB232" s="89" t="s">
        <v>212</v>
      </c>
      <c r="BC232" s="160">
        <v>228</v>
      </c>
      <c r="BD232" s="100"/>
      <c r="BE232" s="95"/>
      <c r="BF232" s="101"/>
      <c r="BG232" s="89"/>
      <c r="BH232" s="102" t="s">
        <v>212</v>
      </c>
      <c r="BI232" s="102" t="s">
        <v>212</v>
      </c>
    </row>
    <row r="233" spans="1:705" s="16" customFormat="1" ht="44.1" hidden="1" customHeight="1" x14ac:dyDescent="0.3">
      <c r="A233" s="26">
        <v>229</v>
      </c>
      <c r="B233" s="138">
        <v>241438</v>
      </c>
      <c r="C233" s="136">
        <v>229</v>
      </c>
      <c r="D233" s="139">
        <v>45965</v>
      </c>
      <c r="E233" s="139">
        <f t="shared" si="35"/>
        <v>45964</v>
      </c>
      <c r="F233" s="139">
        <f t="shared" si="33"/>
        <v>45975</v>
      </c>
      <c r="G233" s="139">
        <v>46057</v>
      </c>
      <c r="H233" s="139">
        <v>46015</v>
      </c>
      <c r="I233" s="139" t="s">
        <v>321</v>
      </c>
      <c r="J233" s="140" t="s">
        <v>565</v>
      </c>
      <c r="K233" s="141">
        <f t="shared" si="32"/>
        <v>40</v>
      </c>
      <c r="L233" s="141">
        <v>1163409</v>
      </c>
      <c r="M233" s="140" t="s">
        <v>15</v>
      </c>
      <c r="N233" s="140" t="s">
        <v>801</v>
      </c>
      <c r="O233" s="140" t="s">
        <v>246</v>
      </c>
      <c r="P233" s="143">
        <v>45993</v>
      </c>
      <c r="Q233" s="143">
        <v>46170</v>
      </c>
      <c r="R233" s="185" t="s">
        <v>211</v>
      </c>
      <c r="S233" s="144" t="s">
        <v>566</v>
      </c>
      <c r="T233" s="145">
        <v>1</v>
      </c>
      <c r="U233" s="186" t="s">
        <v>489</v>
      </c>
      <c r="V233" s="146">
        <v>259</v>
      </c>
      <c r="W233" s="146">
        <v>259</v>
      </c>
      <c r="X233" s="147">
        <v>40</v>
      </c>
      <c r="Y233" s="146">
        <v>40</v>
      </c>
      <c r="Z233" s="146">
        <v>0</v>
      </c>
      <c r="AA233" s="146">
        <v>0</v>
      </c>
      <c r="AB233" s="146">
        <v>0</v>
      </c>
      <c r="AC233" s="146"/>
      <c r="AD233" s="146">
        <v>0</v>
      </c>
      <c r="AE233" s="146">
        <v>0</v>
      </c>
      <c r="AF233" s="146">
        <v>40</v>
      </c>
      <c r="AG233" s="146">
        <v>40</v>
      </c>
      <c r="AH233" s="146">
        <v>0</v>
      </c>
      <c r="AI233" s="146"/>
      <c r="AJ233" s="146">
        <v>1</v>
      </c>
      <c r="AK233" s="146">
        <v>1</v>
      </c>
      <c r="AL233" s="146">
        <v>1</v>
      </c>
      <c r="AM233" s="146">
        <v>1</v>
      </c>
      <c r="AN233" s="146">
        <v>1</v>
      </c>
      <c r="AO233" s="146">
        <v>1</v>
      </c>
      <c r="AP233" s="146">
        <v>0</v>
      </c>
      <c r="AQ233" s="146"/>
      <c r="AR233" s="146">
        <v>0</v>
      </c>
      <c r="AS233" s="146">
        <v>0</v>
      </c>
      <c r="AT233" s="146">
        <v>0</v>
      </c>
      <c r="AU233" s="146"/>
      <c r="AV233" s="146">
        <v>0</v>
      </c>
      <c r="AW233" s="146">
        <v>0</v>
      </c>
      <c r="AX233" s="146">
        <f t="shared" si="34"/>
        <v>25965</v>
      </c>
      <c r="AY233" s="146">
        <f t="shared" si="29"/>
        <v>25965</v>
      </c>
      <c r="AZ233" s="140" t="s">
        <v>562</v>
      </c>
      <c r="BA233" s="140" t="s">
        <v>562</v>
      </c>
      <c r="BB233" s="137">
        <v>6</v>
      </c>
      <c r="BC233" s="187">
        <v>229</v>
      </c>
      <c r="BD233" s="149"/>
      <c r="BE233" s="145"/>
      <c r="BF233" s="150"/>
      <c r="BG233" s="188">
        <v>45992</v>
      </c>
      <c r="BH233" s="153" t="s">
        <v>535</v>
      </c>
      <c r="BI233" s="153" t="s">
        <v>562</v>
      </c>
    </row>
    <row r="234" spans="1:705" s="16" customFormat="1" ht="44.1" hidden="1" customHeight="1" x14ac:dyDescent="0.3">
      <c r="A234" s="26">
        <v>230</v>
      </c>
      <c r="B234" s="138">
        <v>241439</v>
      </c>
      <c r="C234" s="136">
        <v>230</v>
      </c>
      <c r="D234" s="139">
        <v>45965</v>
      </c>
      <c r="E234" s="139">
        <f t="shared" si="35"/>
        <v>45964</v>
      </c>
      <c r="F234" s="139">
        <f t="shared" si="33"/>
        <v>45975</v>
      </c>
      <c r="G234" s="139">
        <v>46057</v>
      </c>
      <c r="H234" s="139">
        <v>46043</v>
      </c>
      <c r="I234" s="139" t="s">
        <v>321</v>
      </c>
      <c r="J234" s="140" t="s">
        <v>567</v>
      </c>
      <c r="K234" s="141">
        <f t="shared" si="32"/>
        <v>68</v>
      </c>
      <c r="L234" s="141">
        <v>1163421</v>
      </c>
      <c r="M234" s="140" t="s">
        <v>15</v>
      </c>
      <c r="N234" s="140">
        <v>810729</v>
      </c>
      <c r="O234" s="140" t="s">
        <v>246</v>
      </c>
      <c r="P234" s="143">
        <v>46005</v>
      </c>
      <c r="Q234" s="143">
        <v>46184</v>
      </c>
      <c r="R234" s="185" t="s">
        <v>211</v>
      </c>
      <c r="S234" s="144" t="s">
        <v>568</v>
      </c>
      <c r="T234" s="145">
        <v>1</v>
      </c>
      <c r="U234" s="186" t="s">
        <v>569</v>
      </c>
      <c r="V234" s="146">
        <v>206</v>
      </c>
      <c r="W234" s="146">
        <v>206</v>
      </c>
      <c r="X234" s="147">
        <v>0</v>
      </c>
      <c r="Y234" s="146">
        <v>0</v>
      </c>
      <c r="Z234" s="146">
        <v>0</v>
      </c>
      <c r="AA234" s="146">
        <v>0</v>
      </c>
      <c r="AB234" s="146">
        <v>115</v>
      </c>
      <c r="AC234" s="146">
        <v>115</v>
      </c>
      <c r="AD234" s="146">
        <v>0</v>
      </c>
      <c r="AE234" s="146">
        <v>0</v>
      </c>
      <c r="AF234" s="146">
        <v>0</v>
      </c>
      <c r="AG234" s="146">
        <v>0</v>
      </c>
      <c r="AH234" s="146">
        <v>0</v>
      </c>
      <c r="AI234" s="146"/>
      <c r="AJ234" s="146">
        <v>0</v>
      </c>
      <c r="AK234" s="146">
        <v>0</v>
      </c>
      <c r="AL234" s="146">
        <v>1</v>
      </c>
      <c r="AM234" s="146">
        <v>1</v>
      </c>
      <c r="AN234" s="146">
        <v>1</v>
      </c>
      <c r="AO234" s="146">
        <v>1</v>
      </c>
      <c r="AP234" s="146">
        <v>0</v>
      </c>
      <c r="AQ234" s="146"/>
      <c r="AR234" s="146">
        <v>0</v>
      </c>
      <c r="AS234" s="146">
        <v>0</v>
      </c>
      <c r="AT234" s="146">
        <v>0</v>
      </c>
      <c r="AU234" s="146">
        <v>0</v>
      </c>
      <c r="AV234" s="146">
        <v>0</v>
      </c>
      <c r="AW234" s="146">
        <v>0</v>
      </c>
      <c r="AX234" s="146">
        <f t="shared" si="34"/>
        <v>19565</v>
      </c>
      <c r="AY234" s="146">
        <f t="shared" si="29"/>
        <v>19565</v>
      </c>
      <c r="AZ234" s="140" t="s">
        <v>562</v>
      </c>
      <c r="BA234" s="140" t="s">
        <v>562</v>
      </c>
      <c r="BB234" s="137">
        <v>7</v>
      </c>
      <c r="BC234" s="187">
        <v>230</v>
      </c>
      <c r="BD234" s="149"/>
      <c r="BE234" s="145"/>
      <c r="BF234" s="150"/>
      <c r="BG234" s="188">
        <v>46023</v>
      </c>
      <c r="BH234" s="153" t="s">
        <v>535</v>
      </c>
      <c r="BI234" s="153" t="s">
        <v>562</v>
      </c>
    </row>
    <row r="235" spans="1:705" s="16" customFormat="1" ht="43.95" hidden="1" customHeight="1" x14ac:dyDescent="0.3">
      <c r="A235" s="26">
        <v>231</v>
      </c>
      <c r="B235" s="138">
        <v>241440</v>
      </c>
      <c r="C235" s="136">
        <v>231</v>
      </c>
      <c r="D235" s="139">
        <v>46091</v>
      </c>
      <c r="E235" s="139">
        <f t="shared" si="35"/>
        <v>46090</v>
      </c>
      <c r="F235" s="139">
        <f t="shared" si="33"/>
        <v>46101</v>
      </c>
      <c r="G235" s="139">
        <v>46152</v>
      </c>
      <c r="H235" s="139">
        <v>46113</v>
      </c>
      <c r="I235" s="139" t="s">
        <v>123</v>
      </c>
      <c r="J235" s="140" t="s">
        <v>1122</v>
      </c>
      <c r="K235" s="141">
        <f t="shared" si="32"/>
        <v>12</v>
      </c>
      <c r="L235" s="141">
        <v>1163491</v>
      </c>
      <c r="M235" s="140" t="s">
        <v>535</v>
      </c>
      <c r="N235" s="140" t="s">
        <v>1132</v>
      </c>
      <c r="O235" s="140" t="s">
        <v>246</v>
      </c>
      <c r="P235" s="143">
        <v>46112</v>
      </c>
      <c r="Q235" s="143">
        <v>46276</v>
      </c>
      <c r="R235" s="185" t="s">
        <v>211</v>
      </c>
      <c r="S235" s="144" t="s">
        <v>570</v>
      </c>
      <c r="T235" s="145">
        <v>1</v>
      </c>
      <c r="U235" s="186" t="s">
        <v>82</v>
      </c>
      <c r="V235" s="146">
        <v>113</v>
      </c>
      <c r="W235" s="146">
        <v>113</v>
      </c>
      <c r="X235" s="147">
        <v>0</v>
      </c>
      <c r="Y235" s="146">
        <v>0</v>
      </c>
      <c r="Z235" s="146">
        <v>0</v>
      </c>
      <c r="AA235" s="146">
        <v>0</v>
      </c>
      <c r="AB235" s="146">
        <v>18</v>
      </c>
      <c r="AC235" s="146">
        <v>18</v>
      </c>
      <c r="AD235" s="146">
        <v>0</v>
      </c>
      <c r="AE235" s="146">
        <v>0</v>
      </c>
      <c r="AF235" s="146">
        <v>0</v>
      </c>
      <c r="AG235" s="146">
        <v>0</v>
      </c>
      <c r="AH235" s="146">
        <v>2</v>
      </c>
      <c r="AI235" s="146">
        <v>2</v>
      </c>
      <c r="AJ235" s="146">
        <v>0</v>
      </c>
      <c r="AK235" s="146">
        <v>0</v>
      </c>
      <c r="AL235" s="146">
        <v>2</v>
      </c>
      <c r="AM235" s="146">
        <v>2</v>
      </c>
      <c r="AN235" s="146">
        <v>4</v>
      </c>
      <c r="AO235" s="146">
        <v>4</v>
      </c>
      <c r="AP235" s="146">
        <v>4</v>
      </c>
      <c r="AQ235" s="146">
        <v>4</v>
      </c>
      <c r="AR235" s="146">
        <v>0</v>
      </c>
      <c r="AS235" s="146">
        <v>0</v>
      </c>
      <c r="AT235" s="146">
        <v>2</v>
      </c>
      <c r="AU235" s="146">
        <v>2</v>
      </c>
      <c r="AV235" s="146">
        <v>0</v>
      </c>
      <c r="AW235" s="146">
        <v>0</v>
      </c>
      <c r="AX235" s="146">
        <f t="shared" si="34"/>
        <v>12786</v>
      </c>
      <c r="AY235" s="146">
        <f t="shared" si="29"/>
        <v>12786</v>
      </c>
      <c r="AZ235" s="140" t="s">
        <v>562</v>
      </c>
      <c r="BA235" s="140" t="s">
        <v>562</v>
      </c>
      <c r="BB235" s="140">
        <v>10</v>
      </c>
      <c r="BC235" s="187">
        <v>231</v>
      </c>
      <c r="BD235" s="149"/>
      <c r="BE235" s="145"/>
      <c r="BF235" s="150"/>
      <c r="BG235" s="188">
        <v>46112</v>
      </c>
      <c r="BH235" s="153" t="s">
        <v>535</v>
      </c>
      <c r="BI235" s="153" t="s">
        <v>562</v>
      </c>
    </row>
    <row r="236" spans="1:705" s="235" customFormat="1" ht="44.1" hidden="1" customHeight="1" x14ac:dyDescent="0.3">
      <c r="A236" s="26">
        <v>232</v>
      </c>
      <c r="B236" s="138">
        <v>241441</v>
      </c>
      <c r="C236" s="136">
        <v>232</v>
      </c>
      <c r="D236" s="139">
        <v>45965</v>
      </c>
      <c r="E236" s="139">
        <f t="shared" si="35"/>
        <v>45964</v>
      </c>
      <c r="F236" s="139">
        <f t="shared" si="33"/>
        <v>45975</v>
      </c>
      <c r="G236" s="139">
        <v>46057</v>
      </c>
      <c r="H236" s="139">
        <v>46071</v>
      </c>
      <c r="I236" s="139" t="s">
        <v>321</v>
      </c>
      <c r="J236" s="140" t="s">
        <v>571</v>
      </c>
      <c r="K236" s="141">
        <f t="shared" si="32"/>
        <v>96</v>
      </c>
      <c r="L236" s="141">
        <v>1163530</v>
      </c>
      <c r="M236" s="140" t="s">
        <v>15</v>
      </c>
      <c r="N236" s="140">
        <v>810948</v>
      </c>
      <c r="O236" s="137" t="s">
        <v>246</v>
      </c>
      <c r="P236" s="143">
        <v>46029</v>
      </c>
      <c r="Q236" s="143">
        <v>46198</v>
      </c>
      <c r="R236" s="185" t="s">
        <v>211</v>
      </c>
      <c r="S236" s="144" t="s">
        <v>572</v>
      </c>
      <c r="T236" s="145">
        <v>1</v>
      </c>
      <c r="U236" s="186" t="s">
        <v>106</v>
      </c>
      <c r="V236" s="146">
        <v>75</v>
      </c>
      <c r="W236" s="146">
        <v>75</v>
      </c>
      <c r="X236" s="147">
        <v>0</v>
      </c>
      <c r="Y236" s="146">
        <v>0</v>
      </c>
      <c r="Z236" s="146">
        <v>0</v>
      </c>
      <c r="AA236" s="146">
        <v>0</v>
      </c>
      <c r="AB236" s="146">
        <v>8</v>
      </c>
      <c r="AC236" s="146">
        <v>8</v>
      </c>
      <c r="AD236" s="146">
        <v>0</v>
      </c>
      <c r="AE236" s="146">
        <v>0</v>
      </c>
      <c r="AF236" s="146">
        <v>0</v>
      </c>
      <c r="AG236" s="146">
        <v>0</v>
      </c>
      <c r="AH236" s="146">
        <v>0</v>
      </c>
      <c r="AI236" s="146"/>
      <c r="AJ236" s="146">
        <v>0</v>
      </c>
      <c r="AK236" s="146">
        <v>0</v>
      </c>
      <c r="AL236" s="146">
        <v>0</v>
      </c>
      <c r="AM236" s="146"/>
      <c r="AN236" s="146">
        <v>1</v>
      </c>
      <c r="AO236" s="146">
        <v>1</v>
      </c>
      <c r="AP236" s="146">
        <v>1</v>
      </c>
      <c r="AQ236" s="146">
        <v>1</v>
      </c>
      <c r="AR236" s="146">
        <v>0</v>
      </c>
      <c r="AS236" s="146">
        <v>0</v>
      </c>
      <c r="AT236" s="146">
        <v>0</v>
      </c>
      <c r="AU236" s="146"/>
      <c r="AV236" s="146">
        <v>0</v>
      </c>
      <c r="AW236" s="146">
        <v>0</v>
      </c>
      <c r="AX236" s="146">
        <f t="shared" si="34"/>
        <v>5646</v>
      </c>
      <c r="AY236" s="146">
        <f t="shared" si="29"/>
        <v>5646</v>
      </c>
      <c r="AZ236" s="140" t="s">
        <v>562</v>
      </c>
      <c r="BA236" s="140" t="s">
        <v>562</v>
      </c>
      <c r="BB236" s="137">
        <v>9</v>
      </c>
      <c r="BC236" s="187">
        <v>232</v>
      </c>
      <c r="BD236" s="149"/>
      <c r="BE236" s="145"/>
      <c r="BF236" s="150"/>
      <c r="BG236" s="188">
        <v>46054</v>
      </c>
      <c r="BH236" s="153" t="s">
        <v>535</v>
      </c>
      <c r="BI236" s="153" t="s">
        <v>562</v>
      </c>
      <c r="BJ236" s="16"/>
      <c r="BK236" s="16"/>
      <c r="BL236" s="16"/>
      <c r="BM236" s="16"/>
      <c r="BN236" s="16"/>
      <c r="BO236" s="16"/>
      <c r="BP236" s="16"/>
      <c r="BQ236" s="16"/>
      <c r="BR236" s="16"/>
      <c r="BS236" s="16"/>
      <c r="BT236" s="16"/>
      <c r="BU236" s="16"/>
      <c r="BV236" s="16"/>
      <c r="BW236" s="16"/>
      <c r="BX236" s="16"/>
      <c r="BY236" s="16"/>
      <c r="BZ236" s="16"/>
      <c r="CA236" s="16"/>
      <c r="CB236" s="16"/>
      <c r="CC236" s="16"/>
      <c r="CD236" s="16"/>
      <c r="CE236" s="16"/>
      <c r="CF236" s="16"/>
      <c r="CG236" s="16"/>
      <c r="CH236" s="16"/>
      <c r="CI236" s="16"/>
      <c r="CJ236" s="16"/>
      <c r="CK236" s="16"/>
      <c r="CL236" s="16"/>
      <c r="CM236" s="16"/>
      <c r="CN236" s="16"/>
      <c r="CO236" s="16"/>
      <c r="CP236" s="16"/>
      <c r="CQ236" s="16"/>
      <c r="CR236" s="16"/>
      <c r="CS236" s="16"/>
      <c r="CT236" s="16"/>
      <c r="CU236" s="16"/>
      <c r="CV236" s="16"/>
      <c r="CW236" s="16"/>
      <c r="CX236" s="16"/>
      <c r="CY236" s="16"/>
      <c r="CZ236" s="16"/>
      <c r="DA236" s="16"/>
      <c r="DB236" s="16"/>
      <c r="DC236" s="16"/>
      <c r="DD236" s="16"/>
      <c r="DE236" s="16"/>
      <c r="DF236" s="16"/>
      <c r="DG236" s="16"/>
      <c r="DH236" s="16"/>
      <c r="DI236" s="16"/>
      <c r="DJ236" s="16"/>
      <c r="DK236" s="16"/>
      <c r="DL236" s="16"/>
      <c r="DM236" s="16"/>
      <c r="DN236" s="16"/>
      <c r="DO236" s="16"/>
      <c r="DP236" s="16"/>
      <c r="DQ236" s="16"/>
      <c r="DR236" s="16"/>
      <c r="DS236" s="16"/>
      <c r="DT236" s="16"/>
      <c r="DU236" s="16"/>
      <c r="DV236" s="16"/>
      <c r="DW236" s="16"/>
      <c r="DX236" s="16"/>
      <c r="DY236" s="16"/>
      <c r="DZ236" s="16"/>
      <c r="EA236" s="16"/>
      <c r="EB236" s="16"/>
      <c r="EC236" s="16"/>
      <c r="ED236" s="16"/>
      <c r="EE236" s="16"/>
      <c r="EF236" s="16"/>
      <c r="EG236" s="16"/>
      <c r="EH236" s="16"/>
      <c r="EI236" s="16"/>
      <c r="EJ236" s="16"/>
      <c r="EK236" s="16"/>
      <c r="EL236" s="16"/>
      <c r="EM236" s="16"/>
      <c r="EN236" s="16"/>
      <c r="EO236" s="16"/>
      <c r="EP236" s="16"/>
      <c r="EQ236" s="16"/>
      <c r="ER236" s="16"/>
      <c r="ES236" s="16"/>
      <c r="ET236" s="16"/>
      <c r="EU236" s="16"/>
      <c r="EV236" s="16"/>
      <c r="EW236" s="16"/>
      <c r="EX236" s="16"/>
      <c r="EY236" s="16"/>
      <c r="EZ236" s="16"/>
      <c r="FA236" s="16"/>
      <c r="FB236" s="16"/>
      <c r="FC236" s="16"/>
      <c r="FD236" s="16"/>
      <c r="FE236" s="16"/>
      <c r="FF236" s="16"/>
      <c r="FG236" s="16"/>
      <c r="FH236" s="16"/>
      <c r="FI236" s="16"/>
      <c r="FJ236" s="16"/>
      <c r="FK236" s="16"/>
      <c r="FL236" s="16"/>
      <c r="FM236" s="16"/>
      <c r="FN236" s="16"/>
      <c r="FO236" s="16"/>
      <c r="FP236" s="16"/>
      <c r="FQ236" s="16"/>
      <c r="FR236" s="16"/>
      <c r="FS236" s="16"/>
      <c r="FT236" s="16"/>
      <c r="FU236" s="16"/>
      <c r="FV236" s="16"/>
      <c r="FW236" s="16"/>
      <c r="FX236" s="16"/>
      <c r="FY236" s="16"/>
      <c r="FZ236" s="16"/>
      <c r="GA236" s="16"/>
      <c r="GB236" s="16"/>
      <c r="GC236" s="16"/>
      <c r="GD236" s="16"/>
      <c r="GE236" s="16"/>
      <c r="GF236" s="16"/>
      <c r="GG236" s="16"/>
      <c r="GH236" s="16"/>
      <c r="GI236" s="16"/>
      <c r="GJ236" s="16"/>
      <c r="GK236" s="16"/>
      <c r="GL236" s="16"/>
      <c r="GM236" s="16"/>
      <c r="GN236" s="16"/>
      <c r="GO236" s="16"/>
      <c r="GP236" s="16"/>
      <c r="GQ236" s="16"/>
      <c r="GR236" s="16"/>
      <c r="GS236" s="16"/>
      <c r="GT236" s="16"/>
      <c r="GU236" s="16"/>
      <c r="GV236" s="16"/>
      <c r="GW236" s="16"/>
      <c r="GX236" s="16"/>
      <c r="GY236" s="16"/>
      <c r="GZ236" s="16"/>
      <c r="HA236" s="16"/>
      <c r="HB236" s="16"/>
      <c r="HC236" s="16"/>
      <c r="HD236" s="16"/>
      <c r="HE236" s="16"/>
      <c r="HF236" s="16"/>
      <c r="HG236" s="16"/>
      <c r="HH236" s="16"/>
      <c r="HI236" s="16"/>
      <c r="HJ236" s="16"/>
      <c r="HK236" s="16"/>
      <c r="HL236" s="16"/>
      <c r="HM236" s="16"/>
      <c r="HN236" s="16"/>
      <c r="HO236" s="16"/>
      <c r="HP236" s="16"/>
      <c r="HQ236" s="16"/>
      <c r="HR236" s="16"/>
      <c r="HS236" s="16"/>
      <c r="HT236" s="16"/>
      <c r="HU236" s="16"/>
      <c r="HV236" s="16"/>
      <c r="HW236" s="16"/>
      <c r="HX236" s="16"/>
      <c r="HY236" s="16"/>
      <c r="HZ236" s="16"/>
      <c r="IA236" s="16"/>
      <c r="IB236" s="16"/>
      <c r="IC236" s="16"/>
      <c r="ID236" s="16"/>
      <c r="IE236" s="16"/>
      <c r="IF236" s="16"/>
      <c r="IG236" s="16"/>
      <c r="IH236" s="16"/>
      <c r="II236" s="16"/>
      <c r="IJ236" s="16"/>
      <c r="IK236" s="16"/>
      <c r="IL236" s="16"/>
      <c r="IM236" s="16"/>
      <c r="IN236" s="16"/>
      <c r="IO236" s="16"/>
      <c r="IP236" s="16"/>
      <c r="IQ236" s="16"/>
      <c r="IR236" s="16"/>
      <c r="IS236" s="16"/>
      <c r="IT236" s="16"/>
      <c r="IU236" s="16"/>
      <c r="IV236" s="16"/>
      <c r="IW236" s="16"/>
      <c r="IX236" s="16"/>
      <c r="IY236" s="16"/>
      <c r="IZ236" s="16"/>
      <c r="JA236" s="16"/>
      <c r="JB236" s="16"/>
      <c r="JC236" s="16"/>
      <c r="JD236" s="16"/>
      <c r="JE236" s="16"/>
      <c r="JF236" s="16"/>
      <c r="JG236" s="16"/>
      <c r="JH236" s="16"/>
      <c r="JI236" s="16"/>
      <c r="JJ236" s="16"/>
      <c r="JK236" s="16"/>
      <c r="JL236" s="16"/>
      <c r="JM236" s="16"/>
      <c r="JN236" s="16"/>
      <c r="JO236" s="16"/>
      <c r="JP236" s="16"/>
      <c r="JQ236" s="16"/>
      <c r="JR236" s="16"/>
      <c r="JS236" s="16"/>
      <c r="JT236" s="16"/>
      <c r="JU236" s="16"/>
      <c r="JV236" s="16"/>
      <c r="JW236" s="16"/>
      <c r="JX236" s="16"/>
      <c r="JY236" s="16"/>
      <c r="JZ236" s="16"/>
      <c r="KA236" s="16"/>
      <c r="KB236" s="16"/>
      <c r="KC236" s="16"/>
      <c r="KD236" s="16"/>
      <c r="KE236" s="16"/>
      <c r="KF236" s="16"/>
      <c r="KG236" s="16"/>
      <c r="KH236" s="16"/>
      <c r="KI236" s="16"/>
      <c r="KJ236" s="16"/>
      <c r="KK236" s="16"/>
      <c r="KL236" s="16"/>
      <c r="KM236" s="16"/>
      <c r="KN236" s="16"/>
      <c r="KO236" s="16"/>
      <c r="KP236" s="16"/>
      <c r="KQ236" s="16"/>
      <c r="KR236" s="16"/>
      <c r="KS236" s="16"/>
      <c r="KT236" s="16"/>
      <c r="KU236" s="16"/>
      <c r="KV236" s="16"/>
      <c r="KW236" s="16"/>
      <c r="KX236" s="16"/>
      <c r="KY236" s="16"/>
      <c r="KZ236" s="16"/>
      <c r="LA236" s="16"/>
      <c r="LB236" s="16"/>
      <c r="LC236" s="16"/>
      <c r="LD236" s="16"/>
      <c r="LE236" s="16"/>
      <c r="LF236" s="16"/>
      <c r="LG236" s="16"/>
      <c r="LH236" s="16"/>
      <c r="LI236" s="16"/>
      <c r="LJ236" s="16"/>
      <c r="LK236" s="16"/>
      <c r="LL236" s="16"/>
      <c r="LM236" s="16"/>
      <c r="LN236" s="16"/>
      <c r="LO236" s="16"/>
      <c r="LP236" s="16"/>
      <c r="LQ236" s="16"/>
      <c r="LR236" s="16"/>
      <c r="LS236" s="16"/>
      <c r="LT236" s="16"/>
      <c r="LU236" s="16"/>
      <c r="LV236" s="16"/>
      <c r="LW236" s="16"/>
      <c r="LX236" s="16"/>
      <c r="LY236" s="16"/>
      <c r="LZ236" s="16"/>
      <c r="MA236" s="16"/>
      <c r="MB236" s="16"/>
      <c r="MC236" s="16"/>
      <c r="MD236" s="16"/>
      <c r="ME236" s="16"/>
      <c r="MF236" s="16"/>
      <c r="MG236" s="16"/>
      <c r="MH236" s="16"/>
      <c r="MI236" s="16"/>
      <c r="MJ236" s="16"/>
      <c r="MK236" s="16"/>
      <c r="ML236" s="16"/>
      <c r="MM236" s="16"/>
      <c r="MN236" s="16"/>
      <c r="MO236" s="16"/>
      <c r="MP236" s="16"/>
      <c r="MQ236" s="16"/>
      <c r="MR236" s="16"/>
      <c r="MS236" s="16"/>
      <c r="MT236" s="16"/>
      <c r="MU236" s="16"/>
      <c r="MV236" s="16"/>
      <c r="MW236" s="16"/>
      <c r="MX236" s="16"/>
      <c r="MY236" s="16"/>
      <c r="MZ236" s="16"/>
      <c r="NA236" s="16"/>
      <c r="NB236" s="16"/>
      <c r="NC236" s="16"/>
      <c r="ND236" s="16"/>
      <c r="NE236" s="16"/>
      <c r="NF236" s="16"/>
      <c r="NG236" s="16"/>
      <c r="NH236" s="16"/>
      <c r="NI236" s="16"/>
      <c r="NJ236" s="16"/>
      <c r="NK236" s="16"/>
      <c r="NL236" s="16"/>
      <c r="NM236" s="16"/>
      <c r="NN236" s="16"/>
      <c r="NO236" s="16"/>
      <c r="NP236" s="16"/>
      <c r="NQ236" s="16"/>
      <c r="NR236" s="16"/>
      <c r="NS236" s="16"/>
      <c r="NT236" s="16"/>
      <c r="NU236" s="16"/>
      <c r="NV236" s="16"/>
      <c r="NW236" s="16"/>
      <c r="NX236" s="16"/>
      <c r="NY236" s="16"/>
      <c r="NZ236" s="16"/>
      <c r="OA236" s="16"/>
      <c r="OB236" s="16"/>
      <c r="OC236" s="16"/>
      <c r="OD236" s="16"/>
      <c r="OE236" s="16"/>
      <c r="OF236" s="16"/>
      <c r="OG236" s="16"/>
      <c r="OH236" s="16"/>
      <c r="OI236" s="16"/>
      <c r="OJ236" s="16"/>
      <c r="OK236" s="16"/>
      <c r="OL236" s="16"/>
      <c r="OM236" s="16"/>
      <c r="ON236" s="16"/>
      <c r="OO236" s="16"/>
      <c r="OP236" s="16"/>
      <c r="OQ236" s="16"/>
      <c r="OR236" s="16"/>
      <c r="OS236" s="16"/>
      <c r="OT236" s="16"/>
      <c r="OU236" s="16"/>
      <c r="OV236" s="16"/>
      <c r="OW236" s="16"/>
      <c r="OX236" s="16"/>
      <c r="OY236" s="16"/>
      <c r="OZ236" s="16"/>
      <c r="PA236" s="16"/>
      <c r="PB236" s="16"/>
      <c r="PC236" s="16"/>
      <c r="PD236" s="16"/>
      <c r="PE236" s="16"/>
      <c r="PF236" s="16"/>
      <c r="PG236" s="16"/>
      <c r="PH236" s="16"/>
      <c r="PI236" s="16"/>
      <c r="PJ236" s="16"/>
      <c r="PK236" s="16"/>
      <c r="PL236" s="16"/>
      <c r="PM236" s="16"/>
      <c r="PN236" s="16"/>
      <c r="PO236" s="16"/>
      <c r="PP236" s="16"/>
      <c r="PQ236" s="16"/>
      <c r="PR236" s="16"/>
      <c r="PS236" s="16"/>
      <c r="PT236" s="16"/>
      <c r="PU236" s="16"/>
      <c r="PV236" s="16"/>
      <c r="PW236" s="16"/>
      <c r="PX236" s="16"/>
      <c r="PY236" s="16"/>
      <c r="PZ236" s="16"/>
      <c r="QA236" s="16"/>
      <c r="QB236" s="16"/>
      <c r="QC236" s="16"/>
      <c r="QD236" s="16"/>
      <c r="QE236" s="16"/>
      <c r="QF236" s="16"/>
      <c r="QG236" s="16"/>
      <c r="QH236" s="16"/>
      <c r="QI236" s="16"/>
      <c r="QJ236" s="16"/>
      <c r="QK236" s="16"/>
      <c r="QL236" s="16"/>
      <c r="QM236" s="16"/>
      <c r="QN236" s="16"/>
      <c r="QO236" s="16"/>
      <c r="QP236" s="16"/>
      <c r="QQ236" s="16"/>
      <c r="QR236" s="16"/>
      <c r="QS236" s="16"/>
      <c r="QT236" s="16"/>
      <c r="QU236" s="16"/>
      <c r="QV236" s="16"/>
      <c r="QW236" s="16"/>
      <c r="QX236" s="16"/>
      <c r="QY236" s="16"/>
      <c r="QZ236" s="16"/>
      <c r="RA236" s="16"/>
      <c r="RB236" s="16"/>
      <c r="RC236" s="16"/>
      <c r="RD236" s="16"/>
      <c r="RE236" s="16"/>
      <c r="RF236" s="16"/>
      <c r="RG236" s="16"/>
      <c r="RH236" s="16"/>
      <c r="RI236" s="16"/>
      <c r="RJ236" s="16"/>
      <c r="RK236" s="16"/>
      <c r="RL236" s="16"/>
      <c r="RM236" s="16"/>
      <c r="RN236" s="16"/>
      <c r="RO236" s="16"/>
      <c r="RP236" s="16"/>
      <c r="RQ236" s="16"/>
      <c r="RR236" s="16"/>
      <c r="RS236" s="16"/>
      <c r="RT236" s="16"/>
      <c r="RU236" s="16"/>
      <c r="RV236" s="16"/>
      <c r="RW236" s="16"/>
      <c r="RX236" s="16"/>
      <c r="RY236" s="16"/>
      <c r="RZ236" s="16"/>
      <c r="SA236" s="16"/>
      <c r="SB236" s="16"/>
      <c r="SC236" s="16"/>
      <c r="SD236" s="16"/>
      <c r="SE236" s="16"/>
      <c r="SF236" s="16"/>
      <c r="SG236" s="16"/>
      <c r="SH236" s="16"/>
      <c r="SI236" s="16"/>
      <c r="SJ236" s="16"/>
      <c r="SK236" s="16"/>
      <c r="SL236" s="16"/>
      <c r="SM236" s="16"/>
      <c r="SN236" s="16"/>
      <c r="SO236" s="16"/>
      <c r="SP236" s="16"/>
      <c r="SQ236" s="16"/>
      <c r="SR236" s="16"/>
      <c r="SS236" s="16"/>
      <c r="ST236" s="16"/>
      <c r="SU236" s="16"/>
      <c r="SV236" s="16"/>
      <c r="SW236" s="16"/>
      <c r="SX236" s="16"/>
      <c r="SY236" s="16"/>
      <c r="SZ236" s="16"/>
      <c r="TA236" s="16"/>
      <c r="TB236" s="16"/>
      <c r="TC236" s="16"/>
      <c r="TD236" s="16"/>
      <c r="TE236" s="16"/>
      <c r="TF236" s="16"/>
      <c r="TG236" s="16"/>
      <c r="TH236" s="16"/>
      <c r="TI236" s="16"/>
      <c r="TJ236" s="16"/>
      <c r="TK236" s="16"/>
      <c r="TL236" s="16"/>
      <c r="TM236" s="16"/>
      <c r="TN236" s="16"/>
      <c r="TO236" s="16"/>
      <c r="TP236" s="16"/>
      <c r="TQ236" s="16"/>
      <c r="TR236" s="16"/>
      <c r="TS236" s="16"/>
      <c r="TT236" s="16"/>
      <c r="TU236" s="16"/>
      <c r="TV236" s="16"/>
      <c r="TW236" s="16"/>
      <c r="TX236" s="16"/>
      <c r="TY236" s="16"/>
      <c r="TZ236" s="16"/>
      <c r="UA236" s="16"/>
      <c r="UB236" s="16"/>
      <c r="UC236" s="16"/>
      <c r="UD236" s="16"/>
      <c r="UE236" s="16"/>
      <c r="UF236" s="16"/>
      <c r="UG236" s="16"/>
      <c r="UH236" s="16"/>
      <c r="UI236" s="16"/>
      <c r="UJ236" s="16"/>
      <c r="UK236" s="16"/>
      <c r="UL236" s="16"/>
      <c r="UM236" s="16"/>
      <c r="UN236" s="16"/>
      <c r="UO236" s="16"/>
      <c r="UP236" s="16"/>
      <c r="UQ236" s="16"/>
      <c r="UR236" s="16"/>
      <c r="US236" s="16"/>
      <c r="UT236" s="16"/>
      <c r="UU236" s="16"/>
      <c r="UV236" s="16"/>
      <c r="UW236" s="16"/>
      <c r="UX236" s="16"/>
      <c r="UY236" s="16"/>
      <c r="UZ236" s="16"/>
      <c r="VA236" s="16"/>
      <c r="VB236" s="16"/>
      <c r="VC236" s="16"/>
      <c r="VD236" s="16"/>
      <c r="VE236" s="16"/>
      <c r="VF236" s="16"/>
      <c r="VG236" s="16"/>
      <c r="VH236" s="16"/>
      <c r="VI236" s="16"/>
      <c r="VJ236" s="16"/>
      <c r="VK236" s="16"/>
      <c r="VL236" s="16"/>
      <c r="VM236" s="16"/>
      <c r="VN236" s="16"/>
      <c r="VO236" s="16"/>
      <c r="VP236" s="16"/>
      <c r="VQ236" s="16"/>
      <c r="VR236" s="16"/>
      <c r="VS236" s="16"/>
      <c r="VT236" s="16"/>
      <c r="VU236" s="16"/>
      <c r="VV236" s="16"/>
      <c r="VW236" s="16"/>
      <c r="VX236" s="16"/>
      <c r="VY236" s="16"/>
      <c r="VZ236" s="16"/>
      <c r="WA236" s="16"/>
      <c r="WB236" s="16"/>
      <c r="WC236" s="16"/>
      <c r="WD236" s="16"/>
      <c r="WE236" s="16"/>
      <c r="WF236" s="16"/>
      <c r="WG236" s="16"/>
      <c r="WH236" s="16"/>
      <c r="WI236" s="16"/>
      <c r="WJ236" s="16"/>
      <c r="WK236" s="16"/>
      <c r="WL236" s="16"/>
      <c r="WM236" s="16"/>
      <c r="WN236" s="16"/>
      <c r="WO236" s="16"/>
      <c r="WP236" s="16"/>
      <c r="WQ236" s="16"/>
      <c r="WR236" s="16"/>
      <c r="WS236" s="16"/>
      <c r="WT236" s="16"/>
      <c r="WU236" s="16"/>
      <c r="WV236" s="16"/>
      <c r="WW236" s="16"/>
      <c r="WX236" s="16"/>
      <c r="WY236" s="16"/>
      <c r="WZ236" s="16"/>
      <c r="XA236" s="16"/>
      <c r="XB236" s="16"/>
      <c r="XC236" s="16"/>
      <c r="XD236" s="16"/>
      <c r="XE236" s="16"/>
      <c r="XF236" s="16"/>
      <c r="XG236" s="16"/>
      <c r="XH236" s="16"/>
      <c r="XI236" s="16"/>
      <c r="XJ236" s="16"/>
      <c r="XK236" s="16"/>
      <c r="XL236" s="16"/>
      <c r="XM236" s="16"/>
      <c r="XN236" s="16"/>
      <c r="XO236" s="16"/>
      <c r="XP236" s="16"/>
      <c r="XQ236" s="16"/>
      <c r="XR236" s="16"/>
      <c r="XS236" s="16"/>
      <c r="XT236" s="16"/>
      <c r="XU236" s="16"/>
      <c r="XV236" s="16"/>
      <c r="XW236" s="16"/>
      <c r="XX236" s="16"/>
      <c r="XY236" s="16"/>
      <c r="XZ236" s="16"/>
      <c r="YA236" s="16"/>
      <c r="YB236" s="16"/>
      <c r="YC236" s="16"/>
      <c r="YD236" s="16"/>
      <c r="YE236" s="16"/>
      <c r="YF236" s="16"/>
      <c r="YG236" s="16"/>
      <c r="YH236" s="16"/>
      <c r="YI236" s="16"/>
      <c r="YJ236" s="16"/>
      <c r="YK236" s="16"/>
      <c r="YL236" s="16"/>
      <c r="YM236" s="16"/>
      <c r="YN236" s="16"/>
      <c r="YO236" s="16"/>
      <c r="YP236" s="16"/>
      <c r="YQ236" s="16"/>
      <c r="YR236" s="16"/>
      <c r="YS236" s="16"/>
      <c r="YT236" s="16"/>
      <c r="YU236" s="16"/>
      <c r="YV236" s="16"/>
      <c r="YW236" s="16"/>
      <c r="YX236" s="16"/>
      <c r="YY236" s="16"/>
      <c r="YZ236" s="16"/>
      <c r="ZA236" s="16"/>
      <c r="ZB236" s="16"/>
      <c r="ZC236" s="16"/>
      <c r="ZD236" s="16"/>
      <c r="ZE236" s="16"/>
      <c r="ZF236" s="16"/>
      <c r="ZG236" s="16"/>
      <c r="ZH236" s="16"/>
      <c r="ZI236" s="16"/>
      <c r="ZJ236" s="16"/>
      <c r="ZK236" s="16"/>
      <c r="ZL236" s="16"/>
      <c r="ZM236" s="16"/>
      <c r="ZN236" s="16"/>
      <c r="ZO236" s="16"/>
      <c r="ZP236" s="16"/>
      <c r="ZQ236" s="16"/>
      <c r="ZR236" s="16"/>
      <c r="ZS236" s="16"/>
      <c r="ZT236" s="16"/>
      <c r="ZU236" s="16"/>
      <c r="ZV236" s="16"/>
      <c r="ZW236" s="16"/>
      <c r="ZX236" s="16"/>
      <c r="ZY236" s="16"/>
      <c r="ZZ236" s="16"/>
      <c r="AAA236" s="16"/>
      <c r="AAB236" s="16"/>
      <c r="AAC236" s="16"/>
    </row>
    <row r="237" spans="1:705" s="16" customFormat="1" ht="44.1" hidden="1" customHeight="1" x14ac:dyDescent="0.3">
      <c r="A237" s="26">
        <v>233</v>
      </c>
      <c r="B237" s="138">
        <v>241442</v>
      </c>
      <c r="C237" s="136">
        <v>233</v>
      </c>
      <c r="D237" s="139">
        <v>46019</v>
      </c>
      <c r="E237" s="139">
        <v>46018</v>
      </c>
      <c r="F237" s="139">
        <f t="shared" si="33"/>
        <v>46029</v>
      </c>
      <c r="G237" s="139">
        <v>46057</v>
      </c>
      <c r="H237" s="139">
        <v>46020</v>
      </c>
      <c r="I237" s="139" t="s">
        <v>123</v>
      </c>
      <c r="J237" s="140" t="s">
        <v>872</v>
      </c>
      <c r="K237" s="141">
        <v>45</v>
      </c>
      <c r="L237" s="141">
        <v>1163566</v>
      </c>
      <c r="M237" s="140" t="s">
        <v>15</v>
      </c>
      <c r="N237" s="140">
        <v>810024</v>
      </c>
      <c r="O237" s="140" t="s">
        <v>246</v>
      </c>
      <c r="P237" s="143">
        <v>46008</v>
      </c>
      <c r="Q237" s="143">
        <v>46177</v>
      </c>
      <c r="R237" s="185" t="s">
        <v>211</v>
      </c>
      <c r="S237" s="144" t="s">
        <v>573</v>
      </c>
      <c r="T237" s="145">
        <v>1</v>
      </c>
      <c r="U237" s="186" t="s">
        <v>166</v>
      </c>
      <c r="V237" s="146">
        <v>99</v>
      </c>
      <c r="W237" s="146">
        <v>99</v>
      </c>
      <c r="X237" s="147">
        <v>0</v>
      </c>
      <c r="Y237" s="146">
        <v>0</v>
      </c>
      <c r="Z237" s="146">
        <v>0</v>
      </c>
      <c r="AA237" s="146">
        <v>0</v>
      </c>
      <c r="AB237" s="146">
        <v>99</v>
      </c>
      <c r="AC237" s="146">
        <v>99</v>
      </c>
      <c r="AD237" s="146">
        <v>0</v>
      </c>
      <c r="AE237" s="146">
        <v>0</v>
      </c>
      <c r="AF237" s="146">
        <v>0</v>
      </c>
      <c r="AG237" s="146">
        <v>0</v>
      </c>
      <c r="AH237" s="146">
        <v>1</v>
      </c>
      <c r="AI237" s="146">
        <v>1</v>
      </c>
      <c r="AJ237" s="146">
        <v>0</v>
      </c>
      <c r="AK237" s="146">
        <v>0</v>
      </c>
      <c r="AL237" s="146">
        <v>0</v>
      </c>
      <c r="AM237" s="146">
        <v>0</v>
      </c>
      <c r="AN237" s="146">
        <v>1</v>
      </c>
      <c r="AO237" s="146">
        <v>1</v>
      </c>
      <c r="AP237" s="146">
        <v>2</v>
      </c>
      <c r="AQ237" s="146">
        <v>2</v>
      </c>
      <c r="AR237" s="146">
        <v>0</v>
      </c>
      <c r="AS237" s="146">
        <v>0</v>
      </c>
      <c r="AT237" s="146">
        <v>0</v>
      </c>
      <c r="AU237" s="146">
        <v>0</v>
      </c>
      <c r="AV237" s="146">
        <v>1</v>
      </c>
      <c r="AW237" s="146">
        <v>1</v>
      </c>
      <c r="AX237" s="146">
        <f t="shared" si="34"/>
        <v>14023</v>
      </c>
      <c r="AY237" s="146">
        <f t="shared" si="29"/>
        <v>14023</v>
      </c>
      <c r="AZ237" s="140" t="s">
        <v>562</v>
      </c>
      <c r="BA237" s="140" t="s">
        <v>562</v>
      </c>
      <c r="BB237" s="137">
        <v>8</v>
      </c>
      <c r="BC237" s="187">
        <v>233</v>
      </c>
      <c r="BD237" s="149"/>
      <c r="BE237" s="145"/>
      <c r="BF237" s="150"/>
      <c r="BG237" s="188">
        <v>46023</v>
      </c>
      <c r="BH237" s="153" t="s">
        <v>535</v>
      </c>
      <c r="BI237" s="153" t="s">
        <v>562</v>
      </c>
    </row>
    <row r="238" spans="1:705" s="16" customFormat="1" ht="44.1" hidden="1" customHeight="1" x14ac:dyDescent="0.3">
      <c r="A238" s="26">
        <v>234</v>
      </c>
      <c r="B238" s="90">
        <v>241453</v>
      </c>
      <c r="C238" s="90">
        <v>234</v>
      </c>
      <c r="D238" s="91">
        <v>45965</v>
      </c>
      <c r="E238" s="91">
        <f t="shared" ref="E238:E301" si="36">D238-1</f>
        <v>45964</v>
      </c>
      <c r="F238" s="91">
        <f t="shared" si="33"/>
        <v>45975</v>
      </c>
      <c r="G238" s="91">
        <v>46057</v>
      </c>
      <c r="H238" s="91">
        <f ca="1">TODAY()</f>
        <v>46277</v>
      </c>
      <c r="I238" s="91" t="s">
        <v>321</v>
      </c>
      <c r="J238" s="92" t="s">
        <v>574</v>
      </c>
      <c r="K238" s="93">
        <f t="shared" ref="K238:K280" ca="1" si="37">H238-F238</f>
        <v>302</v>
      </c>
      <c r="L238" s="93">
        <v>1163679</v>
      </c>
      <c r="M238" s="88" t="s">
        <v>212</v>
      </c>
      <c r="N238" s="92" t="s">
        <v>212</v>
      </c>
      <c r="O238" s="92" t="s">
        <v>212</v>
      </c>
      <c r="P238" s="92" t="s">
        <v>212</v>
      </c>
      <c r="Q238" s="92" t="s">
        <v>212</v>
      </c>
      <c r="R238" s="158" t="s">
        <v>1235</v>
      </c>
      <c r="S238" s="94" t="s">
        <v>575</v>
      </c>
      <c r="T238" s="95">
        <v>1</v>
      </c>
      <c r="U238" s="159" t="s">
        <v>106</v>
      </c>
      <c r="V238" s="96">
        <v>65</v>
      </c>
      <c r="W238" s="96"/>
      <c r="X238" s="97">
        <v>0</v>
      </c>
      <c r="Y238" s="96">
        <v>0</v>
      </c>
      <c r="Z238" s="96">
        <v>0</v>
      </c>
      <c r="AA238" s="96">
        <v>0</v>
      </c>
      <c r="AB238" s="96">
        <v>1</v>
      </c>
      <c r="AC238" s="96"/>
      <c r="AD238" s="96">
        <v>0</v>
      </c>
      <c r="AE238" s="96">
        <v>0</v>
      </c>
      <c r="AF238" s="96">
        <v>0</v>
      </c>
      <c r="AG238" s="96">
        <v>0</v>
      </c>
      <c r="AH238" s="96">
        <v>1</v>
      </c>
      <c r="AI238" s="96"/>
      <c r="AJ238" s="96">
        <v>0</v>
      </c>
      <c r="AK238" s="96">
        <v>0</v>
      </c>
      <c r="AL238" s="96">
        <v>1</v>
      </c>
      <c r="AM238" s="96"/>
      <c r="AN238" s="96">
        <v>1</v>
      </c>
      <c r="AO238" s="96"/>
      <c r="AP238" s="96">
        <v>1</v>
      </c>
      <c r="AQ238" s="96"/>
      <c r="AR238" s="96">
        <v>0</v>
      </c>
      <c r="AS238" s="96">
        <v>0</v>
      </c>
      <c r="AT238" s="96">
        <v>1</v>
      </c>
      <c r="AU238" s="96"/>
      <c r="AV238" s="96">
        <v>0</v>
      </c>
      <c r="AW238" s="96">
        <v>0</v>
      </c>
      <c r="AX238" s="96">
        <f t="shared" si="34"/>
        <v>5757</v>
      </c>
      <c r="AY238" s="96">
        <f t="shared" si="29"/>
        <v>0</v>
      </c>
      <c r="AZ238" s="92" t="s">
        <v>212</v>
      </c>
      <c r="BA238" s="92" t="s">
        <v>212</v>
      </c>
      <c r="BB238" s="89" t="s">
        <v>212</v>
      </c>
      <c r="BC238" s="160">
        <v>234</v>
      </c>
      <c r="BD238" s="100"/>
      <c r="BE238" s="95"/>
      <c r="BF238" s="101"/>
      <c r="BG238" s="89"/>
      <c r="BH238" s="102" t="s">
        <v>212</v>
      </c>
      <c r="BI238" s="102" t="s">
        <v>212</v>
      </c>
    </row>
    <row r="239" spans="1:705" s="16" customFormat="1" ht="44.1" hidden="1" customHeight="1" x14ac:dyDescent="0.3">
      <c r="A239" s="26">
        <v>235</v>
      </c>
      <c r="B239" s="138">
        <v>241462</v>
      </c>
      <c r="C239" s="136">
        <v>235</v>
      </c>
      <c r="D239" s="139">
        <v>45965</v>
      </c>
      <c r="E239" s="139">
        <f t="shared" si="36"/>
        <v>45964</v>
      </c>
      <c r="F239" s="139">
        <f t="shared" si="33"/>
        <v>45975</v>
      </c>
      <c r="G239" s="139">
        <v>46057</v>
      </c>
      <c r="H239" s="139">
        <v>46022</v>
      </c>
      <c r="I239" s="139" t="s">
        <v>321</v>
      </c>
      <c r="J239" s="140" t="s">
        <v>576</v>
      </c>
      <c r="K239" s="141">
        <f t="shared" si="37"/>
        <v>47</v>
      </c>
      <c r="L239" s="141">
        <v>1163706</v>
      </c>
      <c r="M239" s="140" t="s">
        <v>15</v>
      </c>
      <c r="N239" s="140">
        <v>810952</v>
      </c>
      <c r="O239" s="140" t="s">
        <v>246</v>
      </c>
      <c r="P239" s="143">
        <v>46033</v>
      </c>
      <c r="Q239" s="143">
        <v>46198</v>
      </c>
      <c r="R239" s="185" t="s">
        <v>211</v>
      </c>
      <c r="S239" s="144" t="s">
        <v>577</v>
      </c>
      <c r="T239" s="145">
        <v>1</v>
      </c>
      <c r="U239" s="186" t="s">
        <v>82</v>
      </c>
      <c r="V239" s="146">
        <v>45</v>
      </c>
      <c r="W239" s="146">
        <v>45</v>
      </c>
      <c r="X239" s="147">
        <v>0</v>
      </c>
      <c r="Y239" s="146">
        <v>0</v>
      </c>
      <c r="Z239" s="146">
        <v>0</v>
      </c>
      <c r="AA239" s="146">
        <v>0</v>
      </c>
      <c r="AB239" s="146">
        <v>0</v>
      </c>
      <c r="AC239" s="146"/>
      <c r="AD239" s="146">
        <v>0</v>
      </c>
      <c r="AE239" s="146">
        <v>0</v>
      </c>
      <c r="AF239" s="146">
        <v>0</v>
      </c>
      <c r="AG239" s="146">
        <v>0</v>
      </c>
      <c r="AH239" s="146">
        <v>0</v>
      </c>
      <c r="AI239" s="146"/>
      <c r="AJ239" s="146">
        <v>0</v>
      </c>
      <c r="AK239" s="146">
        <v>0</v>
      </c>
      <c r="AL239" s="146">
        <v>1</v>
      </c>
      <c r="AM239" s="146">
        <v>1</v>
      </c>
      <c r="AN239" s="146">
        <v>1</v>
      </c>
      <c r="AO239" s="146">
        <v>1</v>
      </c>
      <c r="AP239" s="146">
        <v>0</v>
      </c>
      <c r="AQ239" s="146"/>
      <c r="AR239" s="146">
        <v>0</v>
      </c>
      <c r="AS239" s="146">
        <v>0</v>
      </c>
      <c r="AT239" s="146">
        <v>0</v>
      </c>
      <c r="AU239" s="146"/>
      <c r="AV239" s="146">
        <v>0</v>
      </c>
      <c r="AW239" s="146">
        <v>0</v>
      </c>
      <c r="AX239" s="146">
        <f t="shared" si="34"/>
        <v>3350</v>
      </c>
      <c r="AY239" s="146">
        <f t="shared" si="29"/>
        <v>3350</v>
      </c>
      <c r="AZ239" s="140" t="s">
        <v>562</v>
      </c>
      <c r="BA239" s="140" t="s">
        <v>562</v>
      </c>
      <c r="BB239" s="137">
        <v>6</v>
      </c>
      <c r="BC239" s="187">
        <v>235</v>
      </c>
      <c r="BD239" s="149"/>
      <c r="BE239" s="145"/>
      <c r="BF239" s="150"/>
      <c r="BG239" s="188">
        <v>45992</v>
      </c>
      <c r="BH239" s="153" t="s">
        <v>535</v>
      </c>
      <c r="BI239" s="153" t="s">
        <v>562</v>
      </c>
    </row>
    <row r="240" spans="1:705" s="16" customFormat="1" ht="44.1" customHeight="1" x14ac:dyDescent="0.3">
      <c r="A240" s="26">
        <v>236</v>
      </c>
      <c r="B240" s="163">
        <v>241465</v>
      </c>
      <c r="C240" s="161">
        <v>236</v>
      </c>
      <c r="D240" s="164">
        <v>45965</v>
      </c>
      <c r="E240" s="164">
        <f t="shared" si="36"/>
        <v>45964</v>
      </c>
      <c r="F240" s="164">
        <f t="shared" si="33"/>
        <v>45975</v>
      </c>
      <c r="G240" s="164">
        <v>46057</v>
      </c>
      <c r="H240" s="164">
        <v>46022</v>
      </c>
      <c r="I240" s="164" t="s">
        <v>321</v>
      </c>
      <c r="J240" s="165" t="s">
        <v>578</v>
      </c>
      <c r="K240" s="166">
        <f t="shared" si="37"/>
        <v>47</v>
      </c>
      <c r="L240" s="166">
        <v>1163713</v>
      </c>
      <c r="M240" s="165" t="s">
        <v>15</v>
      </c>
      <c r="N240" s="165">
        <v>810952</v>
      </c>
      <c r="O240" s="165" t="s">
        <v>246</v>
      </c>
      <c r="P240" s="167">
        <v>46033</v>
      </c>
      <c r="Q240" s="167">
        <v>46198</v>
      </c>
      <c r="R240" s="179" t="s">
        <v>211</v>
      </c>
      <c r="S240" s="168" t="s">
        <v>577</v>
      </c>
      <c r="T240" s="169">
        <v>1</v>
      </c>
      <c r="U240" s="180" t="s">
        <v>82</v>
      </c>
      <c r="V240" s="170">
        <v>115</v>
      </c>
      <c r="W240" s="170">
        <v>115</v>
      </c>
      <c r="X240" s="171">
        <v>0</v>
      </c>
      <c r="Y240" s="170">
        <v>0</v>
      </c>
      <c r="Z240" s="170">
        <v>0</v>
      </c>
      <c r="AA240" s="170">
        <v>0</v>
      </c>
      <c r="AB240" s="170">
        <v>34</v>
      </c>
      <c r="AC240" s="170">
        <v>34</v>
      </c>
      <c r="AD240" s="170">
        <v>0</v>
      </c>
      <c r="AE240" s="170">
        <v>0</v>
      </c>
      <c r="AF240" s="170">
        <v>0</v>
      </c>
      <c r="AG240" s="170">
        <v>0</v>
      </c>
      <c r="AH240" s="170">
        <v>0</v>
      </c>
      <c r="AI240" s="170"/>
      <c r="AJ240" s="170">
        <v>0</v>
      </c>
      <c r="AK240" s="170">
        <v>0</v>
      </c>
      <c r="AL240" s="170">
        <v>1</v>
      </c>
      <c r="AM240" s="170">
        <v>1</v>
      </c>
      <c r="AN240" s="170">
        <v>1</v>
      </c>
      <c r="AO240" s="170">
        <v>1</v>
      </c>
      <c r="AP240" s="170">
        <v>0</v>
      </c>
      <c r="AQ240" s="170"/>
      <c r="AR240" s="170">
        <v>0</v>
      </c>
      <c r="AS240" s="170">
        <v>0</v>
      </c>
      <c r="AT240" s="170">
        <v>0</v>
      </c>
      <c r="AU240" s="170"/>
      <c r="AV240" s="170">
        <v>0</v>
      </c>
      <c r="AW240" s="170">
        <v>0</v>
      </c>
      <c r="AX240" s="170">
        <f t="shared" si="34"/>
        <v>9488</v>
      </c>
      <c r="AY240" s="170">
        <f t="shared" si="29"/>
        <v>9488</v>
      </c>
      <c r="AZ240" s="165" t="s">
        <v>15</v>
      </c>
      <c r="BA240" s="165" t="s">
        <v>77</v>
      </c>
      <c r="BB240" s="162" t="s">
        <v>77</v>
      </c>
      <c r="BC240" s="181">
        <v>236</v>
      </c>
      <c r="BD240" s="173"/>
      <c r="BE240" s="169"/>
      <c r="BF240" s="174"/>
      <c r="BG240" s="178">
        <v>45992</v>
      </c>
      <c r="BH240" s="175" t="s">
        <v>535</v>
      </c>
      <c r="BI240" s="175" t="s">
        <v>1520</v>
      </c>
      <c r="BK240" s="238"/>
    </row>
    <row r="241" spans="1:63" s="16" customFormat="1" ht="44.1" hidden="1" customHeight="1" x14ac:dyDescent="0.3">
      <c r="A241" s="26">
        <v>237</v>
      </c>
      <c r="B241" s="138">
        <v>241468</v>
      </c>
      <c r="C241" s="136">
        <v>237</v>
      </c>
      <c r="D241" s="139">
        <v>45965</v>
      </c>
      <c r="E241" s="139">
        <f t="shared" si="36"/>
        <v>45964</v>
      </c>
      <c r="F241" s="139">
        <f t="shared" si="33"/>
        <v>45975</v>
      </c>
      <c r="G241" s="139">
        <v>46057</v>
      </c>
      <c r="H241" s="139">
        <v>46133</v>
      </c>
      <c r="I241" s="139" t="s">
        <v>321</v>
      </c>
      <c r="J241" s="140" t="s">
        <v>579</v>
      </c>
      <c r="K241" s="141">
        <f t="shared" si="37"/>
        <v>158</v>
      </c>
      <c r="L241" s="141">
        <v>1163721</v>
      </c>
      <c r="M241" s="140" t="s">
        <v>15</v>
      </c>
      <c r="N241" s="140">
        <v>809921</v>
      </c>
      <c r="O241" s="137" t="s">
        <v>246</v>
      </c>
      <c r="P241" s="143">
        <v>45999</v>
      </c>
      <c r="Q241" s="143">
        <v>46177</v>
      </c>
      <c r="R241" s="185" t="s">
        <v>211</v>
      </c>
      <c r="S241" s="144" t="s">
        <v>580</v>
      </c>
      <c r="T241" s="145">
        <v>1</v>
      </c>
      <c r="U241" s="186" t="s">
        <v>106</v>
      </c>
      <c r="V241" s="146">
        <v>290</v>
      </c>
      <c r="W241" s="146">
        <v>290</v>
      </c>
      <c r="X241" s="147">
        <v>0</v>
      </c>
      <c r="Y241" s="146">
        <v>0</v>
      </c>
      <c r="Z241" s="146">
        <v>0</v>
      </c>
      <c r="AA241" s="146">
        <v>0</v>
      </c>
      <c r="AB241" s="146">
        <v>20</v>
      </c>
      <c r="AC241" s="146">
        <v>20</v>
      </c>
      <c r="AD241" s="146">
        <v>0</v>
      </c>
      <c r="AE241" s="146">
        <v>0</v>
      </c>
      <c r="AF241" s="146">
        <v>0</v>
      </c>
      <c r="AG241" s="146">
        <v>0</v>
      </c>
      <c r="AH241" s="146">
        <v>0</v>
      </c>
      <c r="AI241" s="146">
        <v>0</v>
      </c>
      <c r="AJ241" s="146">
        <v>0</v>
      </c>
      <c r="AK241" s="146">
        <v>0</v>
      </c>
      <c r="AL241" s="146">
        <v>1</v>
      </c>
      <c r="AM241" s="146">
        <v>1</v>
      </c>
      <c r="AN241" s="146">
        <v>1</v>
      </c>
      <c r="AO241" s="146">
        <v>1</v>
      </c>
      <c r="AP241" s="146">
        <v>1</v>
      </c>
      <c r="AQ241" s="146">
        <v>1</v>
      </c>
      <c r="AR241" s="146">
        <v>0</v>
      </c>
      <c r="AS241" s="146">
        <v>0</v>
      </c>
      <c r="AT241" s="146">
        <v>0</v>
      </c>
      <c r="AU241" s="146">
        <v>0</v>
      </c>
      <c r="AV241" s="146">
        <v>0</v>
      </c>
      <c r="AW241" s="146">
        <v>0</v>
      </c>
      <c r="AX241" s="146">
        <f t="shared" si="34"/>
        <v>19820</v>
      </c>
      <c r="AY241" s="146">
        <f t="shared" si="29"/>
        <v>19820</v>
      </c>
      <c r="AZ241" s="140" t="s">
        <v>562</v>
      </c>
      <c r="BA241" s="140" t="s">
        <v>562</v>
      </c>
      <c r="BB241" s="137">
        <v>10</v>
      </c>
      <c r="BC241" s="187">
        <v>237</v>
      </c>
      <c r="BD241" s="149"/>
      <c r="BE241" s="145"/>
      <c r="BF241" s="150"/>
      <c r="BG241" s="188">
        <v>46127</v>
      </c>
      <c r="BH241" s="153" t="s">
        <v>15</v>
      </c>
      <c r="BI241" s="153" t="s">
        <v>562</v>
      </c>
    </row>
    <row r="242" spans="1:63" s="16" customFormat="1" ht="44.1" hidden="1" customHeight="1" x14ac:dyDescent="0.3">
      <c r="A242" s="26">
        <v>238</v>
      </c>
      <c r="B242" s="138">
        <v>241470</v>
      </c>
      <c r="C242" s="136">
        <v>238</v>
      </c>
      <c r="D242" s="139">
        <v>45965</v>
      </c>
      <c r="E242" s="139">
        <f t="shared" si="36"/>
        <v>45964</v>
      </c>
      <c r="F242" s="139">
        <f t="shared" si="33"/>
        <v>45975</v>
      </c>
      <c r="G242" s="139">
        <v>46057</v>
      </c>
      <c r="H242" s="139">
        <v>46195</v>
      </c>
      <c r="I242" s="139" t="s">
        <v>321</v>
      </c>
      <c r="J242" s="140" t="s">
        <v>581</v>
      </c>
      <c r="K242" s="141">
        <f t="shared" si="37"/>
        <v>220</v>
      </c>
      <c r="L242" s="141">
        <v>1163723</v>
      </c>
      <c r="M242" s="140" t="s">
        <v>15</v>
      </c>
      <c r="N242" s="140">
        <v>810949</v>
      </c>
      <c r="O242" s="137" t="s">
        <v>246</v>
      </c>
      <c r="P242" s="143">
        <v>46029</v>
      </c>
      <c r="Q242" s="143">
        <v>46198</v>
      </c>
      <c r="R242" s="185" t="s">
        <v>211</v>
      </c>
      <c r="S242" s="144" t="s">
        <v>582</v>
      </c>
      <c r="T242" s="145">
        <v>1</v>
      </c>
      <c r="U242" s="186" t="s">
        <v>106</v>
      </c>
      <c r="V242" s="146">
        <v>73</v>
      </c>
      <c r="W242" s="146">
        <v>73</v>
      </c>
      <c r="X242" s="147">
        <v>0</v>
      </c>
      <c r="Y242" s="146">
        <v>0</v>
      </c>
      <c r="Z242" s="146">
        <v>0</v>
      </c>
      <c r="AA242" s="146">
        <v>0</v>
      </c>
      <c r="AB242" s="146">
        <v>73</v>
      </c>
      <c r="AC242" s="146">
        <v>73</v>
      </c>
      <c r="AD242" s="146">
        <v>0</v>
      </c>
      <c r="AE242" s="146">
        <v>0</v>
      </c>
      <c r="AF242" s="146">
        <v>0</v>
      </c>
      <c r="AG242" s="146">
        <v>0</v>
      </c>
      <c r="AH242" s="146">
        <v>0</v>
      </c>
      <c r="AI242" s="146">
        <v>0</v>
      </c>
      <c r="AJ242" s="146">
        <v>0</v>
      </c>
      <c r="AK242" s="146">
        <v>0</v>
      </c>
      <c r="AL242" s="146">
        <v>0</v>
      </c>
      <c r="AM242" s="146">
        <v>0</v>
      </c>
      <c r="AN242" s="146">
        <v>1</v>
      </c>
      <c r="AO242" s="146">
        <v>1</v>
      </c>
      <c r="AP242" s="146">
        <v>1</v>
      </c>
      <c r="AQ242" s="146">
        <v>1</v>
      </c>
      <c r="AR242" s="146">
        <v>0</v>
      </c>
      <c r="AS242" s="146">
        <v>0</v>
      </c>
      <c r="AT242" s="146">
        <v>0</v>
      </c>
      <c r="AU242" s="146">
        <v>0</v>
      </c>
      <c r="AV242" s="146">
        <v>0</v>
      </c>
      <c r="AW242" s="146">
        <v>0</v>
      </c>
      <c r="AX242" s="146">
        <f t="shared" si="34"/>
        <v>9231</v>
      </c>
      <c r="AY242" s="146">
        <f t="shared" si="29"/>
        <v>9231</v>
      </c>
      <c r="AZ242" s="140" t="s">
        <v>562</v>
      </c>
      <c r="BA242" s="140" t="s">
        <v>562</v>
      </c>
      <c r="BB242" s="137">
        <v>13</v>
      </c>
      <c r="BC242" s="187">
        <v>238</v>
      </c>
      <c r="BD242" s="149"/>
      <c r="BE242" s="145"/>
      <c r="BF242" s="150"/>
      <c r="BG242" s="188">
        <v>46194</v>
      </c>
      <c r="BH242" s="153" t="s">
        <v>15</v>
      </c>
      <c r="BI242" s="153" t="s">
        <v>562</v>
      </c>
    </row>
    <row r="243" spans="1:63" s="16" customFormat="1" ht="44.1" hidden="1" customHeight="1" x14ac:dyDescent="0.3">
      <c r="A243" s="26">
        <v>239</v>
      </c>
      <c r="B243" s="138">
        <v>241473</v>
      </c>
      <c r="C243" s="136">
        <v>239</v>
      </c>
      <c r="D243" s="139">
        <v>45965</v>
      </c>
      <c r="E243" s="139">
        <f t="shared" si="36"/>
        <v>45964</v>
      </c>
      <c r="F243" s="139">
        <f t="shared" si="33"/>
        <v>45975</v>
      </c>
      <c r="G243" s="139">
        <v>46057</v>
      </c>
      <c r="H243" s="139">
        <v>46189</v>
      </c>
      <c r="I243" s="139" t="s">
        <v>321</v>
      </c>
      <c r="J243" s="140" t="s">
        <v>583</v>
      </c>
      <c r="K243" s="141">
        <f t="shared" si="37"/>
        <v>214</v>
      </c>
      <c r="L243" s="141">
        <v>1163727</v>
      </c>
      <c r="M243" s="140" t="s">
        <v>15</v>
      </c>
      <c r="N243" s="140">
        <v>810948</v>
      </c>
      <c r="O243" s="137" t="s">
        <v>246</v>
      </c>
      <c r="P243" s="143">
        <v>46029</v>
      </c>
      <c r="Q243" s="143">
        <v>46198</v>
      </c>
      <c r="R243" s="185" t="s">
        <v>1235</v>
      </c>
      <c r="S243" s="144" t="s">
        <v>584</v>
      </c>
      <c r="T243" s="145">
        <v>1</v>
      </c>
      <c r="U243" s="186" t="s">
        <v>106</v>
      </c>
      <c r="V243" s="146">
        <v>188</v>
      </c>
      <c r="W243" s="146">
        <v>188</v>
      </c>
      <c r="X243" s="147">
        <v>0</v>
      </c>
      <c r="Y243" s="146">
        <v>0</v>
      </c>
      <c r="Z243" s="146">
        <v>32</v>
      </c>
      <c r="AA243" s="146">
        <v>32</v>
      </c>
      <c r="AB243" s="146">
        <v>85</v>
      </c>
      <c r="AC243" s="146">
        <v>85</v>
      </c>
      <c r="AD243" s="146">
        <v>0</v>
      </c>
      <c r="AE243" s="146">
        <v>0</v>
      </c>
      <c r="AF243" s="146">
        <v>0</v>
      </c>
      <c r="AG243" s="146">
        <v>0</v>
      </c>
      <c r="AH243" s="146">
        <v>0</v>
      </c>
      <c r="AI243" s="146">
        <v>0</v>
      </c>
      <c r="AJ243" s="146">
        <v>0</v>
      </c>
      <c r="AK243" s="146">
        <v>0</v>
      </c>
      <c r="AL243" s="146">
        <v>0</v>
      </c>
      <c r="AM243" s="146">
        <v>0</v>
      </c>
      <c r="AN243" s="146">
        <v>3</v>
      </c>
      <c r="AO243" s="146">
        <v>3</v>
      </c>
      <c r="AP243" s="146">
        <v>3</v>
      </c>
      <c r="AQ243" s="146">
        <v>3</v>
      </c>
      <c r="AR243" s="146">
        <v>0</v>
      </c>
      <c r="AS243" s="146">
        <v>0</v>
      </c>
      <c r="AT243" s="146">
        <v>0</v>
      </c>
      <c r="AU243" s="146">
        <v>0</v>
      </c>
      <c r="AV243" s="146">
        <v>0</v>
      </c>
      <c r="AW243" s="146">
        <v>0</v>
      </c>
      <c r="AX243" s="146">
        <f t="shared" si="34"/>
        <v>19411</v>
      </c>
      <c r="AY243" s="146">
        <f t="shared" si="29"/>
        <v>19411</v>
      </c>
      <c r="AZ243" s="140" t="s">
        <v>562</v>
      </c>
      <c r="BA243" s="140" t="s">
        <v>562</v>
      </c>
      <c r="BB243" s="137">
        <v>13</v>
      </c>
      <c r="BC243" s="187">
        <v>239</v>
      </c>
      <c r="BD243" s="149"/>
      <c r="BE243" s="145"/>
      <c r="BF243" s="150"/>
      <c r="BG243" s="188">
        <v>46184</v>
      </c>
      <c r="BH243" s="153" t="s">
        <v>15</v>
      </c>
      <c r="BI243" s="153" t="s">
        <v>562</v>
      </c>
    </row>
    <row r="244" spans="1:63" s="16" customFormat="1" ht="44.1" customHeight="1" x14ac:dyDescent="0.3">
      <c r="A244" s="200">
        <v>240</v>
      </c>
      <c r="B244" s="62">
        <v>241475</v>
      </c>
      <c r="C244" s="62">
        <v>240</v>
      </c>
      <c r="D244" s="63">
        <v>45965</v>
      </c>
      <c r="E244" s="63">
        <f t="shared" si="36"/>
        <v>45964</v>
      </c>
      <c r="F244" s="63">
        <f t="shared" si="33"/>
        <v>45975</v>
      </c>
      <c r="G244" s="63">
        <v>46057</v>
      </c>
      <c r="H244" s="63">
        <f ca="1">TODAY()</f>
        <v>46277</v>
      </c>
      <c r="I244" s="63" t="s">
        <v>321</v>
      </c>
      <c r="J244" s="64" t="s">
        <v>585</v>
      </c>
      <c r="K244" s="65">
        <f t="shared" ca="1" si="37"/>
        <v>302</v>
      </c>
      <c r="L244" s="65">
        <v>1163731</v>
      </c>
      <c r="M244" s="64" t="s">
        <v>77</v>
      </c>
      <c r="N244" s="64">
        <v>810952</v>
      </c>
      <c r="O244" s="253" t="s">
        <v>1462</v>
      </c>
      <c r="P244" s="103">
        <v>46033</v>
      </c>
      <c r="Q244" s="103">
        <v>46198</v>
      </c>
      <c r="R244" s="73" t="s">
        <v>211</v>
      </c>
      <c r="S244" s="66" t="s">
        <v>586</v>
      </c>
      <c r="T244" s="67">
        <v>1</v>
      </c>
      <c r="U244" s="75" t="s">
        <v>82</v>
      </c>
      <c r="V244" s="68">
        <v>70</v>
      </c>
      <c r="W244" s="68">
        <v>0</v>
      </c>
      <c r="X244" s="69">
        <v>0</v>
      </c>
      <c r="Y244" s="68">
        <v>0</v>
      </c>
      <c r="Z244" s="68">
        <v>0</v>
      </c>
      <c r="AA244" s="68">
        <v>0</v>
      </c>
      <c r="AB244" s="68">
        <v>0</v>
      </c>
      <c r="AC244" s="68">
        <v>0</v>
      </c>
      <c r="AD244" s="68">
        <v>0</v>
      </c>
      <c r="AE244" s="68">
        <v>0</v>
      </c>
      <c r="AF244" s="68">
        <v>0</v>
      </c>
      <c r="AG244" s="68">
        <v>0</v>
      </c>
      <c r="AH244" s="68">
        <v>0</v>
      </c>
      <c r="AI244" s="68">
        <v>0</v>
      </c>
      <c r="AJ244" s="68">
        <v>0</v>
      </c>
      <c r="AK244" s="68">
        <v>0</v>
      </c>
      <c r="AL244" s="68">
        <v>0</v>
      </c>
      <c r="AM244" s="68">
        <v>0</v>
      </c>
      <c r="AN244" s="68">
        <v>1</v>
      </c>
      <c r="AO244" s="68"/>
      <c r="AP244" s="68">
        <v>1</v>
      </c>
      <c r="AQ244" s="68"/>
      <c r="AR244" s="68">
        <v>0</v>
      </c>
      <c r="AS244" s="68">
        <v>0</v>
      </c>
      <c r="AT244" s="68">
        <v>0</v>
      </c>
      <c r="AU244" s="68"/>
      <c r="AV244" s="68">
        <v>0</v>
      </c>
      <c r="AW244" s="68">
        <v>0</v>
      </c>
      <c r="AX244" s="146">
        <f t="shared" si="34"/>
        <v>4890</v>
      </c>
      <c r="AY244" s="146">
        <f t="shared" si="29"/>
        <v>0</v>
      </c>
      <c r="AZ244" s="64" t="s">
        <v>77</v>
      </c>
      <c r="BA244" s="64" t="s">
        <v>77</v>
      </c>
      <c r="BB244" s="15" t="s">
        <v>77</v>
      </c>
      <c r="BC244" s="74">
        <v>240</v>
      </c>
      <c r="BD244" s="70"/>
      <c r="BE244" s="67"/>
      <c r="BF244" s="71"/>
      <c r="BG244" s="15"/>
      <c r="BH244" s="72" t="s">
        <v>77</v>
      </c>
      <c r="BI244" s="72" t="s">
        <v>77</v>
      </c>
    </row>
    <row r="245" spans="1:63" s="16" customFormat="1" ht="44.1" customHeight="1" x14ac:dyDescent="0.3">
      <c r="A245" s="26">
        <v>241</v>
      </c>
      <c r="B245" s="26">
        <v>241493</v>
      </c>
      <c r="C245" s="26">
        <v>241</v>
      </c>
      <c r="D245" s="63">
        <v>45966</v>
      </c>
      <c r="E245" s="63">
        <f t="shared" si="36"/>
        <v>45965</v>
      </c>
      <c r="F245" s="63">
        <f t="shared" si="33"/>
        <v>45976</v>
      </c>
      <c r="G245" s="63">
        <v>45693</v>
      </c>
      <c r="H245" s="63">
        <f ca="1">TODAY()</f>
        <v>46277</v>
      </c>
      <c r="I245" s="63" t="s">
        <v>321</v>
      </c>
      <c r="J245" s="64" t="s">
        <v>588</v>
      </c>
      <c r="K245" s="65">
        <f t="shared" ca="1" si="37"/>
        <v>301</v>
      </c>
      <c r="L245" s="65">
        <v>1164032</v>
      </c>
      <c r="M245" s="183" t="s">
        <v>77</v>
      </c>
      <c r="N245" s="64">
        <v>810025</v>
      </c>
      <c r="O245" s="253" t="s">
        <v>1462</v>
      </c>
      <c r="P245" s="103">
        <v>46007</v>
      </c>
      <c r="Q245" s="103">
        <v>46177</v>
      </c>
      <c r="R245" s="73" t="s">
        <v>211</v>
      </c>
      <c r="S245" s="66" t="s">
        <v>589</v>
      </c>
      <c r="T245" s="67">
        <v>1</v>
      </c>
      <c r="U245" s="75" t="s">
        <v>198</v>
      </c>
      <c r="V245" s="68">
        <v>170</v>
      </c>
      <c r="W245" s="68"/>
      <c r="X245" s="69">
        <v>0</v>
      </c>
      <c r="Y245" s="68">
        <v>0</v>
      </c>
      <c r="Z245" s="68">
        <v>0</v>
      </c>
      <c r="AA245" s="68">
        <v>0</v>
      </c>
      <c r="AB245" s="68">
        <v>0</v>
      </c>
      <c r="AC245" s="68"/>
      <c r="AD245" s="68">
        <v>0</v>
      </c>
      <c r="AE245" s="68">
        <v>0</v>
      </c>
      <c r="AF245" s="68">
        <v>0</v>
      </c>
      <c r="AG245" s="68">
        <v>0</v>
      </c>
      <c r="AH245" s="68">
        <v>0</v>
      </c>
      <c r="AI245" s="68"/>
      <c r="AJ245" s="68">
        <v>0</v>
      </c>
      <c r="AK245" s="68">
        <v>0</v>
      </c>
      <c r="AL245" s="68">
        <v>1</v>
      </c>
      <c r="AM245" s="68"/>
      <c r="AN245" s="68">
        <v>1</v>
      </c>
      <c r="AO245" s="68"/>
      <c r="AP245" s="68">
        <v>1</v>
      </c>
      <c r="AQ245" s="68"/>
      <c r="AR245" s="68">
        <v>0</v>
      </c>
      <c r="AS245" s="68">
        <v>0</v>
      </c>
      <c r="AT245" s="68">
        <v>0</v>
      </c>
      <c r="AU245" s="68"/>
      <c r="AV245" s="68">
        <v>0</v>
      </c>
      <c r="AW245" s="68">
        <v>0</v>
      </c>
      <c r="AX245" s="146">
        <f t="shared" si="34"/>
        <v>11480</v>
      </c>
      <c r="AY245" s="146">
        <f t="shared" ref="AY245:AY308" si="38">(W245*60)+(Y245*80)+(AA245*38)+(AC245*57)+(AE245*75)+(AG245*155)+(AI245*170)+(AK245*375)+(AM245*590)+(AO245*60)+(AQ245*630)+(AS245*400)+(AU245*350)+(AW245*950)</f>
        <v>0</v>
      </c>
      <c r="AZ245" s="64" t="s">
        <v>77</v>
      </c>
      <c r="BA245" s="64" t="s">
        <v>77</v>
      </c>
      <c r="BB245" s="15" t="s">
        <v>77</v>
      </c>
      <c r="BC245" s="74">
        <v>241</v>
      </c>
      <c r="BD245" s="70"/>
      <c r="BE245" s="67"/>
      <c r="BF245" s="71"/>
      <c r="BG245" s="15"/>
      <c r="BH245" s="72" t="s">
        <v>77</v>
      </c>
      <c r="BI245" s="72" t="s">
        <v>77</v>
      </c>
    </row>
    <row r="246" spans="1:63" s="16" customFormat="1" ht="44.1" customHeight="1" x14ac:dyDescent="0.3">
      <c r="A246" s="26">
        <v>242</v>
      </c>
      <c r="B246" s="110">
        <v>241494</v>
      </c>
      <c r="C246" s="110">
        <v>242</v>
      </c>
      <c r="D246" s="111">
        <v>45966</v>
      </c>
      <c r="E246" s="111">
        <f t="shared" si="36"/>
        <v>45965</v>
      </c>
      <c r="F246" s="111">
        <f t="shared" si="33"/>
        <v>45976</v>
      </c>
      <c r="G246" s="111">
        <v>45693</v>
      </c>
      <c r="H246" s="111">
        <f ca="1">TODAY()</f>
        <v>46277</v>
      </c>
      <c r="I246" s="111" t="s">
        <v>321</v>
      </c>
      <c r="J246" s="112" t="s">
        <v>590</v>
      </c>
      <c r="K246" s="113">
        <f t="shared" ca="1" si="37"/>
        <v>301</v>
      </c>
      <c r="L246" s="113">
        <v>1164040</v>
      </c>
      <c r="M246" s="114" t="s">
        <v>587</v>
      </c>
      <c r="N246" s="112" t="s">
        <v>365</v>
      </c>
      <c r="O246" s="109" t="s">
        <v>365</v>
      </c>
      <c r="P246" s="115" t="s">
        <v>77</v>
      </c>
      <c r="Q246" s="115" t="s">
        <v>77</v>
      </c>
      <c r="R246" s="131" t="s">
        <v>211</v>
      </c>
      <c r="S246" s="117" t="s">
        <v>591</v>
      </c>
      <c r="T246" s="118">
        <v>2</v>
      </c>
      <c r="U246" s="132" t="s">
        <v>98</v>
      </c>
      <c r="V246" s="119">
        <v>82</v>
      </c>
      <c r="W246" s="119"/>
      <c r="X246" s="120">
        <v>0</v>
      </c>
      <c r="Y246" s="119">
        <v>0</v>
      </c>
      <c r="Z246" s="119">
        <v>0</v>
      </c>
      <c r="AA246" s="119">
        <v>0</v>
      </c>
      <c r="AB246" s="119">
        <v>2</v>
      </c>
      <c r="AC246" s="119"/>
      <c r="AD246" s="119">
        <v>0</v>
      </c>
      <c r="AE246" s="119">
        <v>0</v>
      </c>
      <c r="AF246" s="119">
        <v>0</v>
      </c>
      <c r="AG246" s="119">
        <v>0</v>
      </c>
      <c r="AH246" s="119">
        <v>2</v>
      </c>
      <c r="AI246" s="119"/>
      <c r="AJ246" s="119">
        <v>0</v>
      </c>
      <c r="AK246" s="119">
        <v>0</v>
      </c>
      <c r="AL246" s="119">
        <v>2</v>
      </c>
      <c r="AM246" s="119"/>
      <c r="AN246" s="119">
        <v>2</v>
      </c>
      <c r="AO246" s="119"/>
      <c r="AP246" s="119">
        <v>2</v>
      </c>
      <c r="AQ246" s="119"/>
      <c r="AR246" s="119">
        <v>0</v>
      </c>
      <c r="AS246" s="119">
        <v>0</v>
      </c>
      <c r="AT246" s="119">
        <v>2</v>
      </c>
      <c r="AU246" s="119"/>
      <c r="AV246" s="119">
        <v>0</v>
      </c>
      <c r="AW246" s="119">
        <v>0</v>
      </c>
      <c r="AX246" s="146">
        <f t="shared" ref="AX246:AX258" si="39">(V246*60)+(X246*80)+(Z246*38)+(AB246*57)+(AD246*75)+(AF246*155)+(AH246*170)+(AJ246*375)+(AL246*590)+(AN246*60)+(AP246*630)+(AR246*400)+(AT246*350)+(AV246*950)</f>
        <v>8634</v>
      </c>
      <c r="AY246" s="146">
        <f t="shared" si="38"/>
        <v>0</v>
      </c>
      <c r="AZ246" s="109" t="s">
        <v>365</v>
      </c>
      <c r="BA246" s="112" t="s">
        <v>77</v>
      </c>
      <c r="BB246" s="109" t="s">
        <v>77</v>
      </c>
      <c r="BC246" s="133">
        <v>242</v>
      </c>
      <c r="BD246" s="122"/>
      <c r="BE246" s="118"/>
      <c r="BF246" s="123"/>
      <c r="BG246" s="109"/>
      <c r="BH246" s="125" t="s">
        <v>77</v>
      </c>
      <c r="BI246" s="125" t="s">
        <v>77</v>
      </c>
    </row>
    <row r="247" spans="1:63" s="16" customFormat="1" ht="44.1" hidden="1" customHeight="1" x14ac:dyDescent="0.3">
      <c r="A247" s="26">
        <v>243</v>
      </c>
      <c r="B247" s="107">
        <v>241495</v>
      </c>
      <c r="C247" s="107">
        <v>243</v>
      </c>
      <c r="D247" s="91">
        <v>45966</v>
      </c>
      <c r="E247" s="91">
        <f t="shared" si="36"/>
        <v>45965</v>
      </c>
      <c r="F247" s="91">
        <f t="shared" si="33"/>
        <v>45976</v>
      </c>
      <c r="G247" s="91">
        <v>45693</v>
      </c>
      <c r="H247" s="91">
        <f ca="1">TODAY()</f>
        <v>46277</v>
      </c>
      <c r="I247" s="91" t="s">
        <v>321</v>
      </c>
      <c r="J247" s="92" t="s">
        <v>592</v>
      </c>
      <c r="K247" s="93">
        <f t="shared" ca="1" si="37"/>
        <v>301</v>
      </c>
      <c r="L247" s="93">
        <v>1164043</v>
      </c>
      <c r="M247" s="92" t="s">
        <v>212</v>
      </c>
      <c r="N247" s="92">
        <v>810026</v>
      </c>
      <c r="O247" s="92" t="s">
        <v>802</v>
      </c>
      <c r="P247" s="126" t="s">
        <v>212</v>
      </c>
      <c r="Q247" s="126" t="s">
        <v>212</v>
      </c>
      <c r="R247" s="158" t="s">
        <v>1235</v>
      </c>
      <c r="S247" s="94" t="s">
        <v>593</v>
      </c>
      <c r="T247" s="95">
        <v>1</v>
      </c>
      <c r="U247" s="159" t="s">
        <v>594</v>
      </c>
      <c r="V247" s="96">
        <v>237</v>
      </c>
      <c r="W247" s="96"/>
      <c r="X247" s="97">
        <v>0</v>
      </c>
      <c r="Y247" s="96">
        <v>0</v>
      </c>
      <c r="Z247" s="96">
        <v>0</v>
      </c>
      <c r="AA247" s="96">
        <v>0</v>
      </c>
      <c r="AB247" s="96">
        <v>1</v>
      </c>
      <c r="AC247" s="96"/>
      <c r="AD247" s="96">
        <v>0</v>
      </c>
      <c r="AE247" s="96">
        <v>0</v>
      </c>
      <c r="AF247" s="96">
        <v>0</v>
      </c>
      <c r="AG247" s="96">
        <v>0</v>
      </c>
      <c r="AH247" s="96">
        <v>1</v>
      </c>
      <c r="AI247" s="96"/>
      <c r="AJ247" s="96">
        <v>0</v>
      </c>
      <c r="AK247" s="96">
        <v>0</v>
      </c>
      <c r="AL247" s="96">
        <v>1</v>
      </c>
      <c r="AM247" s="96"/>
      <c r="AN247" s="96">
        <v>1</v>
      </c>
      <c r="AO247" s="96"/>
      <c r="AP247" s="96">
        <v>1</v>
      </c>
      <c r="AQ247" s="96"/>
      <c r="AR247" s="96">
        <v>0</v>
      </c>
      <c r="AS247" s="96">
        <v>0</v>
      </c>
      <c r="AT247" s="96">
        <v>1</v>
      </c>
      <c r="AU247" s="96"/>
      <c r="AV247" s="96">
        <v>0</v>
      </c>
      <c r="AW247" s="96">
        <v>0</v>
      </c>
      <c r="AX247" s="146">
        <f t="shared" si="39"/>
        <v>16077</v>
      </c>
      <c r="AY247" s="146">
        <f t="shared" si="38"/>
        <v>0</v>
      </c>
      <c r="AZ247" s="92" t="s">
        <v>212</v>
      </c>
      <c r="BA247" s="92" t="s">
        <v>77</v>
      </c>
      <c r="BB247" s="89" t="s">
        <v>77</v>
      </c>
      <c r="BC247" s="160">
        <v>243</v>
      </c>
      <c r="BD247" s="100"/>
      <c r="BE247" s="95"/>
      <c r="BF247" s="101"/>
      <c r="BG247" s="89"/>
      <c r="BH247" s="102" t="s">
        <v>212</v>
      </c>
      <c r="BI247" s="102" t="s">
        <v>212</v>
      </c>
    </row>
    <row r="248" spans="1:63" s="16" customFormat="1" ht="44.1" customHeight="1" x14ac:dyDescent="0.3">
      <c r="A248" s="26">
        <v>244</v>
      </c>
      <c r="B248" s="26">
        <v>241496</v>
      </c>
      <c r="C248" s="26">
        <v>244</v>
      </c>
      <c r="D248" s="63">
        <v>46261</v>
      </c>
      <c r="E248" s="63">
        <f t="shared" si="36"/>
        <v>46260</v>
      </c>
      <c r="F248" s="63">
        <f t="shared" si="33"/>
        <v>46271</v>
      </c>
      <c r="G248" s="63">
        <v>46322</v>
      </c>
      <c r="H248" s="63">
        <f ca="1">TODAY()</f>
        <v>46277</v>
      </c>
      <c r="I248" s="63" t="s">
        <v>123</v>
      </c>
      <c r="J248" s="64" t="s">
        <v>1549</v>
      </c>
      <c r="K248" s="65">
        <f t="shared" ca="1" si="37"/>
        <v>6</v>
      </c>
      <c r="L248" s="65">
        <v>1164048</v>
      </c>
      <c r="M248" s="64" t="s">
        <v>77</v>
      </c>
      <c r="N248" s="64" t="s">
        <v>1556</v>
      </c>
      <c r="O248" s="79" t="s">
        <v>246</v>
      </c>
      <c r="P248" s="103">
        <v>46001</v>
      </c>
      <c r="Q248" s="103">
        <v>46450</v>
      </c>
      <c r="R248" s="73" t="s">
        <v>211</v>
      </c>
      <c r="S248" s="66" t="s">
        <v>595</v>
      </c>
      <c r="T248" s="67">
        <v>1</v>
      </c>
      <c r="U248" s="75" t="s">
        <v>98</v>
      </c>
      <c r="V248" s="68">
        <v>192</v>
      </c>
      <c r="W248" s="68"/>
      <c r="X248" s="69">
        <v>0</v>
      </c>
      <c r="Y248" s="68">
        <v>0</v>
      </c>
      <c r="Z248" s="68">
        <v>0</v>
      </c>
      <c r="AA248" s="68">
        <v>0</v>
      </c>
      <c r="AB248" s="68">
        <v>0</v>
      </c>
      <c r="AC248" s="68"/>
      <c r="AD248" s="68">
        <v>0</v>
      </c>
      <c r="AE248" s="68">
        <v>0</v>
      </c>
      <c r="AF248" s="68">
        <v>0</v>
      </c>
      <c r="AG248" s="68">
        <v>0</v>
      </c>
      <c r="AH248" s="68">
        <v>0</v>
      </c>
      <c r="AI248" s="68"/>
      <c r="AJ248" s="68">
        <v>0</v>
      </c>
      <c r="AK248" s="68">
        <v>0</v>
      </c>
      <c r="AL248" s="68">
        <v>1</v>
      </c>
      <c r="AM248" s="68"/>
      <c r="AN248" s="68">
        <v>1</v>
      </c>
      <c r="AO248" s="68"/>
      <c r="AP248" s="68">
        <v>1</v>
      </c>
      <c r="AQ248" s="68"/>
      <c r="AR248" s="68">
        <v>0</v>
      </c>
      <c r="AS248" s="68">
        <v>0</v>
      </c>
      <c r="AT248" s="68">
        <v>0</v>
      </c>
      <c r="AU248" s="68"/>
      <c r="AV248" s="68">
        <v>0</v>
      </c>
      <c r="AW248" s="68">
        <v>0</v>
      </c>
      <c r="AX248" s="146">
        <f t="shared" si="39"/>
        <v>12800</v>
      </c>
      <c r="AY248" s="146">
        <f t="shared" si="38"/>
        <v>0</v>
      </c>
      <c r="AZ248" s="64" t="s">
        <v>77</v>
      </c>
      <c r="BA248" s="64" t="s">
        <v>77</v>
      </c>
      <c r="BB248" s="15" t="s">
        <v>77</v>
      </c>
      <c r="BC248" s="74">
        <v>244</v>
      </c>
      <c r="BD248" s="70"/>
      <c r="BE248" s="67"/>
      <c r="BF248" s="71"/>
      <c r="BG248" s="15"/>
      <c r="BH248" s="72" t="s">
        <v>77</v>
      </c>
      <c r="BI248" s="72" t="s">
        <v>77</v>
      </c>
    </row>
    <row r="249" spans="1:63" s="16" customFormat="1" ht="44.1" hidden="1" customHeight="1" x14ac:dyDescent="0.3">
      <c r="A249" s="26">
        <v>245</v>
      </c>
      <c r="B249" s="136">
        <v>241497</v>
      </c>
      <c r="C249" s="136">
        <v>245</v>
      </c>
      <c r="D249" s="139">
        <v>45966</v>
      </c>
      <c r="E249" s="139">
        <f t="shared" si="36"/>
        <v>45965</v>
      </c>
      <c r="F249" s="139">
        <f t="shared" si="33"/>
        <v>45976</v>
      </c>
      <c r="G249" s="139">
        <v>45693</v>
      </c>
      <c r="H249" s="139">
        <v>46011</v>
      </c>
      <c r="I249" s="139" t="s">
        <v>321</v>
      </c>
      <c r="J249" s="140" t="s">
        <v>596</v>
      </c>
      <c r="K249" s="141">
        <f t="shared" si="37"/>
        <v>35</v>
      </c>
      <c r="L249" s="141">
        <v>1164057</v>
      </c>
      <c r="M249" s="140" t="s">
        <v>15</v>
      </c>
      <c r="N249" s="140">
        <v>810027</v>
      </c>
      <c r="O249" s="140" t="s">
        <v>246</v>
      </c>
      <c r="P249" s="143">
        <v>45999</v>
      </c>
      <c r="Q249" s="143">
        <v>46177</v>
      </c>
      <c r="R249" s="185" t="s">
        <v>211</v>
      </c>
      <c r="S249" s="144" t="s">
        <v>597</v>
      </c>
      <c r="T249" s="145">
        <v>1</v>
      </c>
      <c r="U249" s="186" t="s">
        <v>598</v>
      </c>
      <c r="V249" s="146">
        <v>168</v>
      </c>
      <c r="W249" s="146">
        <v>168</v>
      </c>
      <c r="X249" s="147">
        <v>0</v>
      </c>
      <c r="Y249" s="146">
        <v>0</v>
      </c>
      <c r="Z249" s="146">
        <v>0</v>
      </c>
      <c r="AA249" s="146">
        <v>0</v>
      </c>
      <c r="AB249" s="146">
        <v>168</v>
      </c>
      <c r="AC249" s="146">
        <v>168</v>
      </c>
      <c r="AD249" s="146">
        <v>0</v>
      </c>
      <c r="AE249" s="146">
        <v>0</v>
      </c>
      <c r="AF249" s="146">
        <v>0</v>
      </c>
      <c r="AG249" s="146">
        <v>0</v>
      </c>
      <c r="AH249" s="146">
        <v>0</v>
      </c>
      <c r="AI249" s="146"/>
      <c r="AJ249" s="146">
        <v>0</v>
      </c>
      <c r="AK249" s="146">
        <v>0</v>
      </c>
      <c r="AL249" s="146">
        <v>1</v>
      </c>
      <c r="AM249" s="146">
        <v>1</v>
      </c>
      <c r="AN249" s="146">
        <v>1</v>
      </c>
      <c r="AO249" s="146">
        <v>1</v>
      </c>
      <c r="AP249" s="146">
        <v>0</v>
      </c>
      <c r="AQ249" s="146"/>
      <c r="AR249" s="146">
        <v>0</v>
      </c>
      <c r="AS249" s="146">
        <v>0</v>
      </c>
      <c r="AT249" s="146">
        <v>0</v>
      </c>
      <c r="AU249" s="146"/>
      <c r="AV249" s="146">
        <v>0</v>
      </c>
      <c r="AW249" s="146">
        <v>0</v>
      </c>
      <c r="AX249" s="146">
        <f t="shared" si="39"/>
        <v>20306</v>
      </c>
      <c r="AY249" s="146">
        <f t="shared" si="38"/>
        <v>20306</v>
      </c>
      <c r="AZ249" s="140" t="s">
        <v>562</v>
      </c>
      <c r="BA249" s="140" t="s">
        <v>562</v>
      </c>
      <c r="BB249" s="137">
        <v>6</v>
      </c>
      <c r="BC249" s="187">
        <v>245</v>
      </c>
      <c r="BD249" s="149"/>
      <c r="BE249" s="145"/>
      <c r="BF249" s="150"/>
      <c r="BG249" s="188">
        <v>45992</v>
      </c>
      <c r="BH249" s="153" t="s">
        <v>15</v>
      </c>
      <c r="BI249" s="153" t="s">
        <v>562</v>
      </c>
    </row>
    <row r="250" spans="1:63" s="16" customFormat="1" ht="44.1" hidden="1" customHeight="1" x14ac:dyDescent="0.3">
      <c r="A250" s="26">
        <v>246</v>
      </c>
      <c r="B250" s="107">
        <v>241498</v>
      </c>
      <c r="C250" s="107">
        <v>246</v>
      </c>
      <c r="D250" s="91">
        <v>45966</v>
      </c>
      <c r="E250" s="91">
        <f t="shared" si="36"/>
        <v>45965</v>
      </c>
      <c r="F250" s="91">
        <f t="shared" si="33"/>
        <v>45976</v>
      </c>
      <c r="G250" s="91">
        <v>45693</v>
      </c>
      <c r="H250" s="91">
        <f ca="1">TODAY()</f>
        <v>46277</v>
      </c>
      <c r="I250" s="91" t="s">
        <v>321</v>
      </c>
      <c r="J250" s="92" t="s">
        <v>599</v>
      </c>
      <c r="K250" s="93">
        <f t="shared" ca="1" si="37"/>
        <v>301</v>
      </c>
      <c r="L250" s="93">
        <v>1164069</v>
      </c>
      <c r="M250" s="92" t="s">
        <v>212</v>
      </c>
      <c r="N250" s="92">
        <v>808150</v>
      </c>
      <c r="O250" s="92" t="s">
        <v>802</v>
      </c>
      <c r="P250" s="126" t="s">
        <v>212</v>
      </c>
      <c r="Q250" s="126" t="s">
        <v>212</v>
      </c>
      <c r="R250" s="158" t="s">
        <v>1235</v>
      </c>
      <c r="S250" s="94" t="s">
        <v>600</v>
      </c>
      <c r="T250" s="95">
        <v>2</v>
      </c>
      <c r="U250" s="159" t="s">
        <v>82</v>
      </c>
      <c r="V250" s="96">
        <v>174</v>
      </c>
      <c r="W250" s="96">
        <v>0</v>
      </c>
      <c r="X250" s="97">
        <v>0</v>
      </c>
      <c r="Y250" s="96">
        <v>0</v>
      </c>
      <c r="Z250" s="96">
        <v>0</v>
      </c>
      <c r="AA250" s="96">
        <v>0</v>
      </c>
      <c r="AB250" s="96">
        <v>1</v>
      </c>
      <c r="AC250" s="96">
        <v>0</v>
      </c>
      <c r="AD250" s="96">
        <v>0</v>
      </c>
      <c r="AE250" s="96">
        <v>0</v>
      </c>
      <c r="AF250" s="96">
        <v>0</v>
      </c>
      <c r="AG250" s="96">
        <v>0</v>
      </c>
      <c r="AH250" s="96">
        <v>2</v>
      </c>
      <c r="AI250" s="96">
        <v>0</v>
      </c>
      <c r="AJ250" s="96">
        <v>0</v>
      </c>
      <c r="AK250" s="96">
        <v>0</v>
      </c>
      <c r="AL250" s="96">
        <v>1</v>
      </c>
      <c r="AM250" s="96">
        <v>0</v>
      </c>
      <c r="AN250" s="96">
        <v>1</v>
      </c>
      <c r="AO250" s="96">
        <v>0</v>
      </c>
      <c r="AP250" s="96">
        <v>1</v>
      </c>
      <c r="AQ250" s="96">
        <v>0</v>
      </c>
      <c r="AR250" s="96">
        <v>0</v>
      </c>
      <c r="AS250" s="96">
        <v>0</v>
      </c>
      <c r="AT250" s="96">
        <v>1</v>
      </c>
      <c r="AU250" s="96">
        <v>0</v>
      </c>
      <c r="AV250" s="96">
        <v>0</v>
      </c>
      <c r="AW250" s="96">
        <v>0</v>
      </c>
      <c r="AX250" s="146">
        <f t="shared" si="39"/>
        <v>12467</v>
      </c>
      <c r="AY250" s="146">
        <f t="shared" si="38"/>
        <v>0</v>
      </c>
      <c r="AZ250" s="92" t="s">
        <v>212</v>
      </c>
      <c r="BA250" s="92" t="s">
        <v>212</v>
      </c>
      <c r="BB250" s="89" t="s">
        <v>212</v>
      </c>
      <c r="BC250" s="160">
        <v>246</v>
      </c>
      <c r="BD250" s="100"/>
      <c r="BE250" s="95"/>
      <c r="BF250" s="101"/>
      <c r="BG250" s="89"/>
      <c r="BH250" s="102" t="s">
        <v>212</v>
      </c>
      <c r="BI250" s="102" t="s">
        <v>212</v>
      </c>
    </row>
    <row r="251" spans="1:63" s="3" customFormat="1" ht="44.1" hidden="1" customHeight="1" x14ac:dyDescent="0.3">
      <c r="A251" s="26">
        <v>247</v>
      </c>
      <c r="B251" s="107">
        <v>241499</v>
      </c>
      <c r="C251" s="107">
        <v>247</v>
      </c>
      <c r="D251" s="91">
        <v>45966</v>
      </c>
      <c r="E251" s="91">
        <f t="shared" si="36"/>
        <v>45965</v>
      </c>
      <c r="F251" s="91">
        <f t="shared" si="33"/>
        <v>45976</v>
      </c>
      <c r="G251" s="91">
        <v>45693</v>
      </c>
      <c r="H251" s="91">
        <f ca="1">TODAY()</f>
        <v>46277</v>
      </c>
      <c r="I251" s="91" t="s">
        <v>321</v>
      </c>
      <c r="J251" s="92" t="s">
        <v>601</v>
      </c>
      <c r="K251" s="93">
        <f t="shared" ca="1" si="37"/>
        <v>301</v>
      </c>
      <c r="L251" s="93">
        <v>1164075</v>
      </c>
      <c r="M251" s="92" t="s">
        <v>212</v>
      </c>
      <c r="N251" s="92" t="s">
        <v>213</v>
      </c>
      <c r="O251" s="92" t="s">
        <v>213</v>
      </c>
      <c r="P251" s="126" t="s">
        <v>212</v>
      </c>
      <c r="Q251" s="126" t="s">
        <v>212</v>
      </c>
      <c r="R251" s="158" t="s">
        <v>1235</v>
      </c>
      <c r="S251" s="94" t="s">
        <v>602</v>
      </c>
      <c r="T251" s="95">
        <v>1</v>
      </c>
      <c r="U251" s="159" t="s">
        <v>603</v>
      </c>
      <c r="V251" s="96">
        <v>55</v>
      </c>
      <c r="W251" s="96"/>
      <c r="X251" s="97">
        <v>0</v>
      </c>
      <c r="Y251" s="96">
        <v>0</v>
      </c>
      <c r="Z251" s="96">
        <v>0</v>
      </c>
      <c r="AA251" s="96">
        <v>0</v>
      </c>
      <c r="AB251" s="96">
        <v>1</v>
      </c>
      <c r="AC251" s="96"/>
      <c r="AD251" s="96">
        <v>0</v>
      </c>
      <c r="AE251" s="96">
        <v>0</v>
      </c>
      <c r="AF251" s="96">
        <v>0</v>
      </c>
      <c r="AG251" s="96">
        <v>0</v>
      </c>
      <c r="AH251" s="96">
        <v>1</v>
      </c>
      <c r="AI251" s="96"/>
      <c r="AJ251" s="96">
        <v>0</v>
      </c>
      <c r="AK251" s="96">
        <v>0</v>
      </c>
      <c r="AL251" s="96">
        <v>1</v>
      </c>
      <c r="AM251" s="96"/>
      <c r="AN251" s="96">
        <v>1</v>
      </c>
      <c r="AO251" s="96"/>
      <c r="AP251" s="96">
        <v>1</v>
      </c>
      <c r="AQ251" s="96"/>
      <c r="AR251" s="96">
        <v>0</v>
      </c>
      <c r="AS251" s="96">
        <v>0</v>
      </c>
      <c r="AT251" s="96">
        <v>1</v>
      </c>
      <c r="AU251" s="96"/>
      <c r="AV251" s="96">
        <v>0</v>
      </c>
      <c r="AW251" s="96">
        <v>0</v>
      </c>
      <c r="AX251" s="146">
        <f t="shared" si="39"/>
        <v>5157</v>
      </c>
      <c r="AY251" s="146">
        <f t="shared" si="38"/>
        <v>0</v>
      </c>
      <c r="AZ251" s="92" t="s">
        <v>212</v>
      </c>
      <c r="BA251" s="92" t="s">
        <v>212</v>
      </c>
      <c r="BB251" s="89" t="s">
        <v>212</v>
      </c>
      <c r="BC251" s="160">
        <v>247</v>
      </c>
      <c r="BD251" s="100"/>
      <c r="BE251" s="95"/>
      <c r="BF251" s="101"/>
      <c r="BG251" s="89"/>
      <c r="BH251" s="102" t="s">
        <v>212</v>
      </c>
      <c r="BI251" s="102" t="s">
        <v>212</v>
      </c>
    </row>
    <row r="252" spans="1:63" s="16" customFormat="1" ht="44.1" customHeight="1" x14ac:dyDescent="0.3">
      <c r="A252" s="26">
        <v>248</v>
      </c>
      <c r="B252" s="26">
        <v>241500</v>
      </c>
      <c r="C252" s="26">
        <v>248</v>
      </c>
      <c r="D252" s="63">
        <v>45966</v>
      </c>
      <c r="E252" s="63">
        <f t="shared" si="36"/>
        <v>45965</v>
      </c>
      <c r="F252" s="63">
        <f t="shared" si="33"/>
        <v>45976</v>
      </c>
      <c r="G252" s="63">
        <v>45693</v>
      </c>
      <c r="H252" s="63">
        <f ca="1">TODAY()</f>
        <v>46277</v>
      </c>
      <c r="I252" s="63" t="s">
        <v>321</v>
      </c>
      <c r="J252" s="64" t="s">
        <v>604</v>
      </c>
      <c r="K252" s="65">
        <f t="shared" ca="1" si="37"/>
        <v>301</v>
      </c>
      <c r="L252" s="65">
        <v>1164077</v>
      </c>
      <c r="M252" s="183" t="s">
        <v>77</v>
      </c>
      <c r="N252" s="64">
        <v>810028</v>
      </c>
      <c r="O252" s="253" t="s">
        <v>1462</v>
      </c>
      <c r="P252" s="103">
        <v>46061</v>
      </c>
      <c r="Q252" s="103">
        <v>46226</v>
      </c>
      <c r="R252" s="73" t="s">
        <v>1235</v>
      </c>
      <c r="S252" s="66" t="s">
        <v>605</v>
      </c>
      <c r="T252" s="67">
        <v>1</v>
      </c>
      <c r="U252" s="75" t="s">
        <v>603</v>
      </c>
      <c r="V252" s="68">
        <v>155</v>
      </c>
      <c r="W252" s="68"/>
      <c r="X252" s="69">
        <v>0</v>
      </c>
      <c r="Y252" s="68">
        <v>0</v>
      </c>
      <c r="Z252" s="68">
        <v>0</v>
      </c>
      <c r="AA252" s="68">
        <v>0</v>
      </c>
      <c r="AB252" s="68">
        <v>0</v>
      </c>
      <c r="AC252" s="68"/>
      <c r="AD252" s="68">
        <v>0</v>
      </c>
      <c r="AE252" s="68">
        <v>0</v>
      </c>
      <c r="AF252" s="68">
        <v>0</v>
      </c>
      <c r="AG252" s="68">
        <v>0</v>
      </c>
      <c r="AH252" s="68">
        <v>0</v>
      </c>
      <c r="AI252" s="68"/>
      <c r="AJ252" s="68">
        <v>0</v>
      </c>
      <c r="AK252" s="68">
        <v>0</v>
      </c>
      <c r="AL252" s="68">
        <v>1</v>
      </c>
      <c r="AM252" s="68"/>
      <c r="AN252" s="68">
        <v>1</v>
      </c>
      <c r="AO252" s="68"/>
      <c r="AP252" s="68">
        <v>1</v>
      </c>
      <c r="AQ252" s="68"/>
      <c r="AR252" s="68">
        <v>0</v>
      </c>
      <c r="AS252" s="68">
        <v>0</v>
      </c>
      <c r="AT252" s="68">
        <v>0</v>
      </c>
      <c r="AU252" s="68"/>
      <c r="AV252" s="68">
        <v>0</v>
      </c>
      <c r="AW252" s="68">
        <v>0</v>
      </c>
      <c r="AX252" s="146">
        <f t="shared" si="39"/>
        <v>10580</v>
      </c>
      <c r="AY252" s="146">
        <f t="shared" si="38"/>
        <v>0</v>
      </c>
      <c r="AZ252" s="64" t="s">
        <v>77</v>
      </c>
      <c r="BA252" s="64" t="s">
        <v>77</v>
      </c>
      <c r="BB252" s="15" t="s">
        <v>77</v>
      </c>
      <c r="BC252" s="74">
        <v>248</v>
      </c>
      <c r="BD252" s="70"/>
      <c r="BE252" s="67"/>
      <c r="BF252" s="71"/>
      <c r="BG252" s="15"/>
      <c r="BH252" s="72" t="s">
        <v>77</v>
      </c>
      <c r="BI252" s="72" t="s">
        <v>77</v>
      </c>
    </row>
    <row r="253" spans="1:63" s="16" customFormat="1" ht="44.1" customHeight="1" x14ac:dyDescent="0.3">
      <c r="A253" s="26">
        <v>249</v>
      </c>
      <c r="B253" s="26">
        <v>241503</v>
      </c>
      <c r="C253" s="26">
        <v>249</v>
      </c>
      <c r="D253" s="63">
        <v>45966</v>
      </c>
      <c r="E253" s="63">
        <f t="shared" si="36"/>
        <v>45965</v>
      </c>
      <c r="F253" s="63">
        <f t="shared" si="33"/>
        <v>45976</v>
      </c>
      <c r="G253" s="63">
        <v>45693</v>
      </c>
      <c r="H253" s="63">
        <f ca="1">TODAY()</f>
        <v>46277</v>
      </c>
      <c r="I253" s="63" t="s">
        <v>321</v>
      </c>
      <c r="J253" s="64" t="s">
        <v>606</v>
      </c>
      <c r="K253" s="65">
        <f t="shared" ca="1" si="37"/>
        <v>301</v>
      </c>
      <c r="L253" s="65">
        <v>1164085</v>
      </c>
      <c r="M253" s="64" t="s">
        <v>77</v>
      </c>
      <c r="N253" s="64">
        <v>810731</v>
      </c>
      <c r="O253" s="253" t="s">
        <v>1462</v>
      </c>
      <c r="P253" s="103">
        <v>46034</v>
      </c>
      <c r="Q253" s="103">
        <v>46184</v>
      </c>
      <c r="R253" s="73" t="s">
        <v>211</v>
      </c>
      <c r="S253" s="66" t="s">
        <v>607</v>
      </c>
      <c r="T253" s="67">
        <v>1</v>
      </c>
      <c r="U253" s="75" t="s">
        <v>450</v>
      </c>
      <c r="V253" s="68">
        <v>205</v>
      </c>
      <c r="W253" s="68"/>
      <c r="X253" s="69">
        <v>0</v>
      </c>
      <c r="Y253" s="68">
        <v>0</v>
      </c>
      <c r="Z253" s="68">
        <v>0</v>
      </c>
      <c r="AA253" s="68">
        <v>0</v>
      </c>
      <c r="AB253" s="68">
        <v>0</v>
      </c>
      <c r="AC253" s="68"/>
      <c r="AD253" s="68">
        <v>0</v>
      </c>
      <c r="AE253" s="68">
        <v>0</v>
      </c>
      <c r="AF253" s="68">
        <v>0</v>
      </c>
      <c r="AG253" s="68">
        <v>0</v>
      </c>
      <c r="AH253" s="68">
        <v>0</v>
      </c>
      <c r="AI253" s="68"/>
      <c r="AJ253" s="68">
        <v>0</v>
      </c>
      <c r="AK253" s="68">
        <v>0</v>
      </c>
      <c r="AL253" s="68">
        <v>1</v>
      </c>
      <c r="AM253" s="68"/>
      <c r="AN253" s="68">
        <v>1</v>
      </c>
      <c r="AO253" s="68"/>
      <c r="AP253" s="68">
        <v>1</v>
      </c>
      <c r="AQ253" s="68"/>
      <c r="AR253" s="68">
        <v>0</v>
      </c>
      <c r="AS253" s="68">
        <v>0</v>
      </c>
      <c r="AT253" s="68">
        <v>0</v>
      </c>
      <c r="AU253" s="68"/>
      <c r="AV253" s="68">
        <v>0</v>
      </c>
      <c r="AW253" s="68">
        <v>0</v>
      </c>
      <c r="AX253" s="146">
        <f t="shared" si="39"/>
        <v>13580</v>
      </c>
      <c r="AY253" s="146">
        <f t="shared" si="38"/>
        <v>0</v>
      </c>
      <c r="AZ253" s="64" t="s">
        <v>77</v>
      </c>
      <c r="BA253" s="64" t="s">
        <v>77</v>
      </c>
      <c r="BB253" s="15" t="s">
        <v>77</v>
      </c>
      <c r="BC253" s="74">
        <v>249</v>
      </c>
      <c r="BD253" s="70"/>
      <c r="BE253" s="67"/>
      <c r="BF253" s="71"/>
      <c r="BG253" s="15"/>
      <c r="BH253" s="72" t="s">
        <v>77</v>
      </c>
      <c r="BI253" s="72" t="s">
        <v>77</v>
      </c>
    </row>
    <row r="254" spans="1:63" s="16" customFormat="1" ht="44.1" hidden="1" customHeight="1" x14ac:dyDescent="0.3">
      <c r="A254" s="26">
        <v>250</v>
      </c>
      <c r="B254" s="107">
        <v>241505</v>
      </c>
      <c r="C254" s="107">
        <v>250</v>
      </c>
      <c r="D254" s="91">
        <v>45966</v>
      </c>
      <c r="E254" s="91">
        <f t="shared" si="36"/>
        <v>45965</v>
      </c>
      <c r="F254" s="91">
        <f t="shared" si="33"/>
        <v>45976</v>
      </c>
      <c r="G254" s="91">
        <v>45693</v>
      </c>
      <c r="H254" s="91">
        <f ca="1">TODAY()</f>
        <v>46277</v>
      </c>
      <c r="I254" s="91" t="s">
        <v>321</v>
      </c>
      <c r="J254" s="92" t="s">
        <v>608</v>
      </c>
      <c r="K254" s="93">
        <f t="shared" ca="1" si="37"/>
        <v>301</v>
      </c>
      <c r="L254" s="93">
        <v>1164090</v>
      </c>
      <c r="M254" s="92" t="s">
        <v>212</v>
      </c>
      <c r="N254" s="92" t="s">
        <v>213</v>
      </c>
      <c r="O254" s="92" t="s">
        <v>213</v>
      </c>
      <c r="P254" s="126" t="s">
        <v>212</v>
      </c>
      <c r="Q254" s="126" t="s">
        <v>212</v>
      </c>
      <c r="R254" s="158" t="s">
        <v>1235</v>
      </c>
      <c r="S254" s="94" t="s">
        <v>609</v>
      </c>
      <c r="T254" s="95">
        <v>1</v>
      </c>
      <c r="U254" s="159" t="s">
        <v>610</v>
      </c>
      <c r="V254" s="96">
        <v>16</v>
      </c>
      <c r="W254" s="96"/>
      <c r="X254" s="97">
        <v>0</v>
      </c>
      <c r="Y254" s="96">
        <v>0</v>
      </c>
      <c r="Z254" s="96">
        <v>0</v>
      </c>
      <c r="AA254" s="96">
        <v>0</v>
      </c>
      <c r="AB254" s="96">
        <v>1</v>
      </c>
      <c r="AC254" s="96"/>
      <c r="AD254" s="96">
        <v>0</v>
      </c>
      <c r="AE254" s="96">
        <v>0</v>
      </c>
      <c r="AF254" s="96">
        <v>0</v>
      </c>
      <c r="AG254" s="96">
        <v>0</v>
      </c>
      <c r="AH254" s="96">
        <v>1</v>
      </c>
      <c r="AI254" s="96"/>
      <c r="AJ254" s="96">
        <v>0</v>
      </c>
      <c r="AK254" s="96">
        <v>0</v>
      </c>
      <c r="AL254" s="96">
        <v>1</v>
      </c>
      <c r="AM254" s="96"/>
      <c r="AN254" s="96">
        <v>1</v>
      </c>
      <c r="AO254" s="96"/>
      <c r="AP254" s="96">
        <v>1</v>
      </c>
      <c r="AQ254" s="96"/>
      <c r="AR254" s="96">
        <v>0</v>
      </c>
      <c r="AS254" s="96">
        <v>0</v>
      </c>
      <c r="AT254" s="96">
        <v>1</v>
      </c>
      <c r="AU254" s="96"/>
      <c r="AV254" s="96">
        <v>0</v>
      </c>
      <c r="AW254" s="96">
        <v>0</v>
      </c>
      <c r="AX254" s="146">
        <f t="shared" si="39"/>
        <v>2817</v>
      </c>
      <c r="AY254" s="146">
        <f t="shared" si="38"/>
        <v>0</v>
      </c>
      <c r="AZ254" s="92" t="s">
        <v>212</v>
      </c>
      <c r="BA254" s="92" t="s">
        <v>212</v>
      </c>
      <c r="BB254" s="89" t="s">
        <v>212</v>
      </c>
      <c r="BC254" s="160">
        <v>250</v>
      </c>
      <c r="BD254" s="100"/>
      <c r="BE254" s="95"/>
      <c r="BF254" s="101"/>
      <c r="BG254" s="89"/>
      <c r="BH254" s="102" t="s">
        <v>212</v>
      </c>
      <c r="BI254" s="102" t="s">
        <v>212</v>
      </c>
    </row>
    <row r="255" spans="1:63" s="16" customFormat="1" ht="44.1" hidden="1" customHeight="1" x14ac:dyDescent="0.3">
      <c r="A255" s="26">
        <v>251</v>
      </c>
      <c r="B255" s="138">
        <v>241536</v>
      </c>
      <c r="C255" s="138">
        <v>251</v>
      </c>
      <c r="D255" s="139">
        <v>45967</v>
      </c>
      <c r="E255" s="139">
        <f t="shared" si="36"/>
        <v>45966</v>
      </c>
      <c r="F255" s="139">
        <f t="shared" si="33"/>
        <v>45977</v>
      </c>
      <c r="G255" s="139">
        <v>45694</v>
      </c>
      <c r="H255" s="139">
        <v>46132</v>
      </c>
      <c r="I255" s="139" t="s">
        <v>321</v>
      </c>
      <c r="J255" s="140" t="s">
        <v>611</v>
      </c>
      <c r="K255" s="141">
        <f t="shared" si="37"/>
        <v>155</v>
      </c>
      <c r="L255" s="141">
        <v>1164377</v>
      </c>
      <c r="M255" s="140" t="s">
        <v>15</v>
      </c>
      <c r="N255" s="140">
        <v>810567</v>
      </c>
      <c r="O255" s="140" t="s">
        <v>246</v>
      </c>
      <c r="P255" s="143">
        <v>46026</v>
      </c>
      <c r="Q255" s="143">
        <v>46191</v>
      </c>
      <c r="R255" s="185" t="s">
        <v>211</v>
      </c>
      <c r="S255" s="144" t="s">
        <v>612</v>
      </c>
      <c r="T255" s="145">
        <v>1</v>
      </c>
      <c r="U255" s="186" t="s">
        <v>81</v>
      </c>
      <c r="V255" s="146">
        <v>89</v>
      </c>
      <c r="W255" s="146">
        <v>89</v>
      </c>
      <c r="X255" s="147">
        <v>0</v>
      </c>
      <c r="Y255" s="146">
        <v>0</v>
      </c>
      <c r="Z255" s="146">
        <v>0</v>
      </c>
      <c r="AA255" s="146">
        <v>0</v>
      </c>
      <c r="AB255" s="146">
        <v>89</v>
      </c>
      <c r="AC255" s="146">
        <v>89</v>
      </c>
      <c r="AD255" s="146">
        <v>0</v>
      </c>
      <c r="AE255" s="146">
        <v>0</v>
      </c>
      <c r="AF255" s="146">
        <v>0</v>
      </c>
      <c r="AG255" s="146">
        <v>0</v>
      </c>
      <c r="AH255" s="146">
        <v>0</v>
      </c>
      <c r="AI255" s="146">
        <v>0</v>
      </c>
      <c r="AJ255" s="146">
        <v>0</v>
      </c>
      <c r="AK255" s="146">
        <v>0</v>
      </c>
      <c r="AL255" s="146">
        <v>0</v>
      </c>
      <c r="AM255" s="146">
        <v>0</v>
      </c>
      <c r="AN255" s="146">
        <v>1</v>
      </c>
      <c r="AO255" s="146">
        <v>1</v>
      </c>
      <c r="AP255" s="146">
        <v>1</v>
      </c>
      <c r="AQ255" s="146">
        <v>1</v>
      </c>
      <c r="AR255" s="146">
        <v>0</v>
      </c>
      <c r="AS255" s="146">
        <v>0</v>
      </c>
      <c r="AT255" s="146">
        <v>0</v>
      </c>
      <c r="AU255" s="146">
        <v>0</v>
      </c>
      <c r="AV255" s="146">
        <v>0</v>
      </c>
      <c r="AW255" s="146">
        <v>0</v>
      </c>
      <c r="AX255" s="146">
        <f t="shared" si="39"/>
        <v>11103</v>
      </c>
      <c r="AY255" s="146">
        <f t="shared" si="38"/>
        <v>11103</v>
      </c>
      <c r="AZ255" s="137" t="s">
        <v>562</v>
      </c>
      <c r="BA255" s="137" t="s">
        <v>562</v>
      </c>
      <c r="BB255" s="137">
        <v>11</v>
      </c>
      <c r="BC255" s="187">
        <v>251</v>
      </c>
      <c r="BD255" s="149"/>
      <c r="BE255" s="145"/>
      <c r="BF255" s="150"/>
      <c r="BG255" s="188">
        <v>46124</v>
      </c>
      <c r="BH255" s="153" t="s">
        <v>535</v>
      </c>
      <c r="BI255" s="153" t="s">
        <v>562</v>
      </c>
      <c r="BK255" s="238"/>
    </row>
    <row r="256" spans="1:63" s="16" customFormat="1" ht="44.1" hidden="1" customHeight="1" x14ac:dyDescent="0.3">
      <c r="A256" s="26">
        <v>252</v>
      </c>
      <c r="B256" s="138">
        <v>241539</v>
      </c>
      <c r="C256" s="138">
        <v>252</v>
      </c>
      <c r="D256" s="139">
        <v>46070</v>
      </c>
      <c r="E256" s="139">
        <f t="shared" si="36"/>
        <v>46069</v>
      </c>
      <c r="F256" s="139">
        <f t="shared" si="33"/>
        <v>46080</v>
      </c>
      <c r="G256" s="139">
        <v>46129</v>
      </c>
      <c r="H256" s="139">
        <v>46117</v>
      </c>
      <c r="I256" s="139" t="s">
        <v>123</v>
      </c>
      <c r="J256" s="140" t="s">
        <v>1087</v>
      </c>
      <c r="K256" s="141">
        <f t="shared" si="37"/>
        <v>37</v>
      </c>
      <c r="L256" s="141">
        <v>1164462</v>
      </c>
      <c r="M256" s="140" t="s">
        <v>15</v>
      </c>
      <c r="N256" s="140">
        <v>810028</v>
      </c>
      <c r="O256" s="140" t="s">
        <v>246</v>
      </c>
      <c r="P256" s="143">
        <v>46061</v>
      </c>
      <c r="Q256" s="143">
        <v>46226</v>
      </c>
      <c r="R256" s="185" t="s">
        <v>211</v>
      </c>
      <c r="S256" s="144" t="s">
        <v>613</v>
      </c>
      <c r="T256" s="145">
        <v>1</v>
      </c>
      <c r="U256" s="186" t="s">
        <v>603</v>
      </c>
      <c r="V256" s="146">
        <v>175</v>
      </c>
      <c r="W256" s="146">
        <v>175</v>
      </c>
      <c r="X256" s="147">
        <v>0</v>
      </c>
      <c r="Y256" s="146">
        <v>0</v>
      </c>
      <c r="Z256" s="146">
        <v>0</v>
      </c>
      <c r="AA256" s="146">
        <v>0</v>
      </c>
      <c r="AB256" s="146">
        <v>125</v>
      </c>
      <c r="AC256" s="146">
        <v>125</v>
      </c>
      <c r="AD256" s="146">
        <v>0</v>
      </c>
      <c r="AE256" s="146">
        <v>0</v>
      </c>
      <c r="AF256" s="146">
        <v>129</v>
      </c>
      <c r="AG256" s="146">
        <v>129</v>
      </c>
      <c r="AH256" s="146">
        <v>1</v>
      </c>
      <c r="AI256" s="146">
        <v>1</v>
      </c>
      <c r="AJ256" s="146">
        <v>1</v>
      </c>
      <c r="AK256" s="146">
        <v>1</v>
      </c>
      <c r="AL256" s="146">
        <v>1</v>
      </c>
      <c r="AM256" s="146">
        <v>1</v>
      </c>
      <c r="AN256" s="146">
        <v>2</v>
      </c>
      <c r="AO256" s="146">
        <v>2</v>
      </c>
      <c r="AP256" s="146">
        <v>2</v>
      </c>
      <c r="AQ256" s="146">
        <v>2</v>
      </c>
      <c r="AR256" s="146">
        <v>0</v>
      </c>
      <c r="AS256" s="146">
        <v>0</v>
      </c>
      <c r="AT256" s="146">
        <v>0</v>
      </c>
      <c r="AU256" s="146">
        <v>0</v>
      </c>
      <c r="AV256" s="146">
        <v>1</v>
      </c>
      <c r="AW256" s="146">
        <v>1</v>
      </c>
      <c r="AX256" s="146">
        <f t="shared" si="39"/>
        <v>41085</v>
      </c>
      <c r="AY256" s="146">
        <f t="shared" si="38"/>
        <v>41085</v>
      </c>
      <c r="AZ256" s="140" t="s">
        <v>562</v>
      </c>
      <c r="BA256" s="140" t="s">
        <v>562</v>
      </c>
      <c r="BB256" s="137">
        <v>13</v>
      </c>
      <c r="BC256" s="187">
        <v>252</v>
      </c>
      <c r="BD256" s="149"/>
      <c r="BE256" s="145"/>
      <c r="BF256" s="150"/>
      <c r="BG256" s="188">
        <v>46110</v>
      </c>
      <c r="BH256" s="153" t="s">
        <v>535</v>
      </c>
      <c r="BI256" s="153" t="s">
        <v>562</v>
      </c>
      <c r="BK256" s="238"/>
    </row>
    <row r="257" spans="1:705" s="235" customFormat="1" ht="44.1" hidden="1" customHeight="1" x14ac:dyDescent="0.3">
      <c r="A257" s="26">
        <v>253</v>
      </c>
      <c r="B257" s="138">
        <v>241541</v>
      </c>
      <c r="C257" s="138">
        <v>253</v>
      </c>
      <c r="D257" s="139">
        <v>46030</v>
      </c>
      <c r="E257" s="139">
        <f t="shared" si="36"/>
        <v>46029</v>
      </c>
      <c r="F257" s="139">
        <f t="shared" si="33"/>
        <v>46040</v>
      </c>
      <c r="G257" s="139">
        <v>46091</v>
      </c>
      <c r="H257" s="139">
        <v>46111</v>
      </c>
      <c r="I257" s="139" t="s">
        <v>123</v>
      </c>
      <c r="J257" s="140" t="s">
        <v>891</v>
      </c>
      <c r="K257" s="141">
        <f t="shared" si="37"/>
        <v>71</v>
      </c>
      <c r="L257" s="141">
        <v>1164470</v>
      </c>
      <c r="M257" s="140" t="s">
        <v>15</v>
      </c>
      <c r="N257" s="140" t="s">
        <v>1101</v>
      </c>
      <c r="O257" s="140" t="s">
        <v>246</v>
      </c>
      <c r="P257" s="143">
        <v>46056</v>
      </c>
      <c r="Q257" s="143">
        <v>46142</v>
      </c>
      <c r="R257" s="185" t="s">
        <v>211</v>
      </c>
      <c r="S257" s="144" t="s">
        <v>614</v>
      </c>
      <c r="T257" s="145">
        <v>1</v>
      </c>
      <c r="U257" s="186" t="s">
        <v>186</v>
      </c>
      <c r="V257" s="146">
        <v>235</v>
      </c>
      <c r="W257" s="146">
        <v>235</v>
      </c>
      <c r="X257" s="147">
        <v>76</v>
      </c>
      <c r="Y257" s="146">
        <v>76</v>
      </c>
      <c r="Z257" s="146">
        <v>0</v>
      </c>
      <c r="AA257" s="146">
        <v>0</v>
      </c>
      <c r="AB257" s="146">
        <v>141</v>
      </c>
      <c r="AC257" s="146">
        <v>141</v>
      </c>
      <c r="AD257" s="146">
        <v>0</v>
      </c>
      <c r="AE257" s="146">
        <v>0</v>
      </c>
      <c r="AF257" s="146">
        <v>190</v>
      </c>
      <c r="AG257" s="146">
        <v>190</v>
      </c>
      <c r="AH257" s="146">
        <v>1</v>
      </c>
      <c r="AI257" s="146">
        <v>1</v>
      </c>
      <c r="AJ257" s="146">
        <v>0</v>
      </c>
      <c r="AK257" s="146">
        <v>0</v>
      </c>
      <c r="AL257" s="146">
        <v>3</v>
      </c>
      <c r="AM257" s="146">
        <v>3</v>
      </c>
      <c r="AN257" s="146">
        <v>0</v>
      </c>
      <c r="AO257" s="146">
        <v>0</v>
      </c>
      <c r="AP257" s="146">
        <v>1</v>
      </c>
      <c r="AQ257" s="146">
        <v>1</v>
      </c>
      <c r="AR257" s="146">
        <v>0</v>
      </c>
      <c r="AS257" s="146">
        <v>0</v>
      </c>
      <c r="AT257" s="146">
        <v>0</v>
      </c>
      <c r="AU257" s="146">
        <v>0</v>
      </c>
      <c r="AV257" s="146">
        <v>1</v>
      </c>
      <c r="AW257" s="146">
        <v>1</v>
      </c>
      <c r="AX257" s="146">
        <f t="shared" si="39"/>
        <v>61187</v>
      </c>
      <c r="AY257" s="146">
        <f t="shared" si="38"/>
        <v>61187</v>
      </c>
      <c r="AZ257" s="140" t="s">
        <v>562</v>
      </c>
      <c r="BA257" s="140" t="s">
        <v>562</v>
      </c>
      <c r="BB257" s="137">
        <v>9</v>
      </c>
      <c r="BC257" s="187">
        <v>253</v>
      </c>
      <c r="BD257" s="149"/>
      <c r="BE257" s="145"/>
      <c r="BF257" s="150"/>
      <c r="BG257" s="188">
        <v>46054</v>
      </c>
      <c r="BH257" s="153" t="s">
        <v>535</v>
      </c>
      <c r="BI257" s="153" t="s">
        <v>562</v>
      </c>
      <c r="BJ257" s="16"/>
      <c r="BK257" s="16"/>
      <c r="BL257" s="16"/>
      <c r="BM257" s="16"/>
      <c r="BN257" s="16"/>
      <c r="BO257" s="16"/>
      <c r="BP257" s="16"/>
      <c r="BQ257" s="16"/>
      <c r="BR257" s="16"/>
      <c r="BS257" s="16"/>
      <c r="BT257" s="16"/>
      <c r="BU257" s="16"/>
      <c r="BV257" s="16"/>
      <c r="BW257" s="16"/>
      <c r="BX257" s="16"/>
      <c r="BY257" s="16"/>
      <c r="BZ257" s="16"/>
      <c r="CA257" s="16"/>
      <c r="CB257" s="16"/>
      <c r="CC257" s="16"/>
      <c r="CD257" s="16"/>
      <c r="CE257" s="16"/>
      <c r="CF257" s="16"/>
      <c r="CG257" s="16"/>
      <c r="CH257" s="16"/>
      <c r="CI257" s="16"/>
      <c r="CJ257" s="16"/>
      <c r="CK257" s="16"/>
      <c r="CL257" s="16"/>
      <c r="CM257" s="16"/>
      <c r="CN257" s="16"/>
      <c r="CO257" s="16"/>
      <c r="CP257" s="16"/>
      <c r="CQ257" s="16"/>
      <c r="CR257" s="16"/>
      <c r="CS257" s="16"/>
      <c r="CT257" s="16"/>
      <c r="CU257" s="16"/>
      <c r="CV257" s="16"/>
      <c r="CW257" s="16"/>
      <c r="CX257" s="16"/>
      <c r="CY257" s="16"/>
      <c r="CZ257" s="16"/>
      <c r="DA257" s="16"/>
      <c r="DB257" s="16"/>
      <c r="DC257" s="16"/>
      <c r="DD257" s="16"/>
      <c r="DE257" s="16"/>
      <c r="DF257" s="16"/>
      <c r="DG257" s="16"/>
      <c r="DH257" s="16"/>
      <c r="DI257" s="16"/>
      <c r="DJ257" s="16"/>
      <c r="DK257" s="16"/>
      <c r="DL257" s="16"/>
      <c r="DM257" s="16"/>
      <c r="DN257" s="16"/>
      <c r="DO257" s="16"/>
      <c r="DP257" s="16"/>
      <c r="DQ257" s="16"/>
      <c r="DR257" s="16"/>
      <c r="DS257" s="16"/>
      <c r="DT257" s="16"/>
      <c r="DU257" s="16"/>
      <c r="DV257" s="16"/>
      <c r="DW257" s="16"/>
      <c r="DX257" s="16"/>
      <c r="DY257" s="16"/>
      <c r="DZ257" s="16"/>
      <c r="EA257" s="16"/>
      <c r="EB257" s="16"/>
      <c r="EC257" s="16"/>
      <c r="ED257" s="16"/>
      <c r="EE257" s="16"/>
      <c r="EF257" s="16"/>
      <c r="EG257" s="16"/>
      <c r="EH257" s="16"/>
      <c r="EI257" s="16"/>
      <c r="EJ257" s="16"/>
      <c r="EK257" s="16"/>
      <c r="EL257" s="16"/>
      <c r="EM257" s="16"/>
      <c r="EN257" s="16"/>
      <c r="EO257" s="16"/>
      <c r="EP257" s="16"/>
      <c r="EQ257" s="16"/>
      <c r="ER257" s="16"/>
      <c r="ES257" s="16"/>
      <c r="ET257" s="16"/>
      <c r="EU257" s="16"/>
      <c r="EV257" s="16"/>
      <c r="EW257" s="16"/>
      <c r="EX257" s="16"/>
      <c r="EY257" s="16"/>
      <c r="EZ257" s="16"/>
      <c r="FA257" s="16"/>
      <c r="FB257" s="16"/>
      <c r="FC257" s="16"/>
      <c r="FD257" s="16"/>
      <c r="FE257" s="16"/>
      <c r="FF257" s="16"/>
      <c r="FG257" s="16"/>
      <c r="FH257" s="16"/>
      <c r="FI257" s="16"/>
      <c r="FJ257" s="16"/>
      <c r="FK257" s="16"/>
      <c r="FL257" s="16"/>
      <c r="FM257" s="16"/>
      <c r="FN257" s="16"/>
      <c r="FO257" s="16"/>
      <c r="FP257" s="16"/>
      <c r="FQ257" s="16"/>
      <c r="FR257" s="16"/>
      <c r="FS257" s="16"/>
      <c r="FT257" s="16"/>
      <c r="FU257" s="16"/>
      <c r="FV257" s="16"/>
      <c r="FW257" s="16"/>
      <c r="FX257" s="16"/>
      <c r="FY257" s="16"/>
      <c r="FZ257" s="16"/>
      <c r="GA257" s="16"/>
      <c r="GB257" s="16"/>
      <c r="GC257" s="16"/>
      <c r="GD257" s="16"/>
      <c r="GE257" s="16"/>
      <c r="GF257" s="16"/>
      <c r="GG257" s="16"/>
      <c r="GH257" s="16"/>
      <c r="GI257" s="16"/>
      <c r="GJ257" s="16"/>
      <c r="GK257" s="16"/>
      <c r="GL257" s="16"/>
      <c r="GM257" s="16"/>
      <c r="GN257" s="16"/>
      <c r="GO257" s="16"/>
      <c r="GP257" s="16"/>
      <c r="GQ257" s="16"/>
      <c r="GR257" s="16"/>
      <c r="GS257" s="16"/>
      <c r="GT257" s="16"/>
      <c r="GU257" s="16"/>
      <c r="GV257" s="16"/>
      <c r="GW257" s="16"/>
      <c r="GX257" s="16"/>
      <c r="GY257" s="16"/>
      <c r="GZ257" s="16"/>
      <c r="HA257" s="16"/>
      <c r="HB257" s="16"/>
      <c r="HC257" s="16"/>
      <c r="HD257" s="16"/>
      <c r="HE257" s="16"/>
      <c r="HF257" s="16"/>
      <c r="HG257" s="16"/>
      <c r="HH257" s="16"/>
      <c r="HI257" s="16"/>
      <c r="HJ257" s="16"/>
      <c r="HK257" s="16"/>
      <c r="HL257" s="16"/>
      <c r="HM257" s="16"/>
      <c r="HN257" s="16"/>
      <c r="HO257" s="16"/>
      <c r="HP257" s="16"/>
      <c r="HQ257" s="16"/>
      <c r="HR257" s="16"/>
      <c r="HS257" s="16"/>
      <c r="HT257" s="16"/>
      <c r="HU257" s="16"/>
      <c r="HV257" s="16"/>
      <c r="HW257" s="16"/>
      <c r="HX257" s="16"/>
      <c r="HY257" s="16"/>
      <c r="HZ257" s="16"/>
      <c r="IA257" s="16"/>
      <c r="IB257" s="16"/>
      <c r="IC257" s="16"/>
      <c r="ID257" s="16"/>
      <c r="IE257" s="16"/>
      <c r="IF257" s="16"/>
      <c r="IG257" s="16"/>
      <c r="IH257" s="16"/>
      <c r="II257" s="16"/>
      <c r="IJ257" s="16"/>
      <c r="IK257" s="16"/>
      <c r="IL257" s="16"/>
      <c r="IM257" s="16"/>
      <c r="IN257" s="16"/>
      <c r="IO257" s="16"/>
      <c r="IP257" s="16"/>
      <c r="IQ257" s="16"/>
      <c r="IR257" s="16"/>
      <c r="IS257" s="16"/>
      <c r="IT257" s="16"/>
      <c r="IU257" s="16"/>
      <c r="IV257" s="16"/>
      <c r="IW257" s="16"/>
      <c r="IX257" s="16"/>
      <c r="IY257" s="16"/>
      <c r="IZ257" s="16"/>
      <c r="JA257" s="16"/>
      <c r="JB257" s="16"/>
      <c r="JC257" s="16"/>
      <c r="JD257" s="16"/>
      <c r="JE257" s="16"/>
      <c r="JF257" s="16"/>
      <c r="JG257" s="16"/>
      <c r="JH257" s="16"/>
      <c r="JI257" s="16"/>
      <c r="JJ257" s="16"/>
      <c r="JK257" s="16"/>
      <c r="JL257" s="16"/>
      <c r="JM257" s="16"/>
      <c r="JN257" s="16"/>
      <c r="JO257" s="16"/>
      <c r="JP257" s="16"/>
      <c r="JQ257" s="16"/>
      <c r="JR257" s="16"/>
      <c r="JS257" s="16"/>
      <c r="JT257" s="16"/>
      <c r="JU257" s="16"/>
      <c r="JV257" s="16"/>
      <c r="JW257" s="16"/>
      <c r="JX257" s="16"/>
      <c r="JY257" s="16"/>
      <c r="JZ257" s="16"/>
      <c r="KA257" s="16"/>
      <c r="KB257" s="16"/>
      <c r="KC257" s="16"/>
      <c r="KD257" s="16"/>
      <c r="KE257" s="16"/>
      <c r="KF257" s="16"/>
      <c r="KG257" s="16"/>
      <c r="KH257" s="16"/>
      <c r="KI257" s="16"/>
      <c r="KJ257" s="16"/>
      <c r="KK257" s="16"/>
      <c r="KL257" s="16"/>
      <c r="KM257" s="16"/>
      <c r="KN257" s="16"/>
      <c r="KO257" s="16"/>
      <c r="KP257" s="16"/>
      <c r="KQ257" s="16"/>
      <c r="KR257" s="16"/>
      <c r="KS257" s="16"/>
      <c r="KT257" s="16"/>
      <c r="KU257" s="16"/>
      <c r="KV257" s="16"/>
      <c r="KW257" s="16"/>
      <c r="KX257" s="16"/>
      <c r="KY257" s="16"/>
      <c r="KZ257" s="16"/>
      <c r="LA257" s="16"/>
      <c r="LB257" s="16"/>
      <c r="LC257" s="16"/>
      <c r="LD257" s="16"/>
      <c r="LE257" s="16"/>
      <c r="LF257" s="16"/>
      <c r="LG257" s="16"/>
      <c r="LH257" s="16"/>
      <c r="LI257" s="16"/>
      <c r="LJ257" s="16"/>
      <c r="LK257" s="16"/>
      <c r="LL257" s="16"/>
      <c r="LM257" s="16"/>
      <c r="LN257" s="16"/>
      <c r="LO257" s="16"/>
      <c r="LP257" s="16"/>
      <c r="LQ257" s="16"/>
      <c r="LR257" s="16"/>
      <c r="LS257" s="16"/>
      <c r="LT257" s="16"/>
      <c r="LU257" s="16"/>
      <c r="LV257" s="16"/>
      <c r="LW257" s="16"/>
      <c r="LX257" s="16"/>
      <c r="LY257" s="16"/>
      <c r="LZ257" s="16"/>
      <c r="MA257" s="16"/>
      <c r="MB257" s="16"/>
      <c r="MC257" s="16"/>
      <c r="MD257" s="16"/>
      <c r="ME257" s="16"/>
      <c r="MF257" s="16"/>
      <c r="MG257" s="16"/>
      <c r="MH257" s="16"/>
      <c r="MI257" s="16"/>
      <c r="MJ257" s="16"/>
      <c r="MK257" s="16"/>
      <c r="ML257" s="16"/>
      <c r="MM257" s="16"/>
      <c r="MN257" s="16"/>
      <c r="MO257" s="16"/>
      <c r="MP257" s="16"/>
      <c r="MQ257" s="16"/>
      <c r="MR257" s="16"/>
      <c r="MS257" s="16"/>
      <c r="MT257" s="16"/>
      <c r="MU257" s="16"/>
      <c r="MV257" s="16"/>
      <c r="MW257" s="16"/>
      <c r="MX257" s="16"/>
      <c r="MY257" s="16"/>
      <c r="MZ257" s="16"/>
      <c r="NA257" s="16"/>
      <c r="NB257" s="16"/>
      <c r="NC257" s="16"/>
      <c r="ND257" s="16"/>
      <c r="NE257" s="16"/>
      <c r="NF257" s="16"/>
      <c r="NG257" s="16"/>
      <c r="NH257" s="16"/>
      <c r="NI257" s="16"/>
      <c r="NJ257" s="16"/>
      <c r="NK257" s="16"/>
      <c r="NL257" s="16"/>
      <c r="NM257" s="16"/>
      <c r="NN257" s="16"/>
      <c r="NO257" s="16"/>
      <c r="NP257" s="16"/>
      <c r="NQ257" s="16"/>
      <c r="NR257" s="16"/>
      <c r="NS257" s="16"/>
      <c r="NT257" s="16"/>
      <c r="NU257" s="16"/>
      <c r="NV257" s="16"/>
      <c r="NW257" s="16"/>
      <c r="NX257" s="16"/>
      <c r="NY257" s="16"/>
      <c r="NZ257" s="16"/>
      <c r="OA257" s="16"/>
      <c r="OB257" s="16"/>
      <c r="OC257" s="16"/>
      <c r="OD257" s="16"/>
      <c r="OE257" s="16"/>
      <c r="OF257" s="16"/>
      <c r="OG257" s="16"/>
      <c r="OH257" s="16"/>
      <c r="OI257" s="16"/>
      <c r="OJ257" s="16"/>
      <c r="OK257" s="16"/>
      <c r="OL257" s="16"/>
      <c r="OM257" s="16"/>
      <c r="ON257" s="16"/>
      <c r="OO257" s="16"/>
      <c r="OP257" s="16"/>
      <c r="OQ257" s="16"/>
      <c r="OR257" s="16"/>
      <c r="OS257" s="16"/>
      <c r="OT257" s="16"/>
      <c r="OU257" s="16"/>
      <c r="OV257" s="16"/>
      <c r="OW257" s="16"/>
      <c r="OX257" s="16"/>
      <c r="OY257" s="16"/>
      <c r="OZ257" s="16"/>
      <c r="PA257" s="16"/>
      <c r="PB257" s="16"/>
      <c r="PC257" s="16"/>
      <c r="PD257" s="16"/>
      <c r="PE257" s="16"/>
      <c r="PF257" s="16"/>
      <c r="PG257" s="16"/>
      <c r="PH257" s="16"/>
      <c r="PI257" s="16"/>
      <c r="PJ257" s="16"/>
      <c r="PK257" s="16"/>
      <c r="PL257" s="16"/>
      <c r="PM257" s="16"/>
      <c r="PN257" s="16"/>
      <c r="PO257" s="16"/>
      <c r="PP257" s="16"/>
      <c r="PQ257" s="16"/>
      <c r="PR257" s="16"/>
      <c r="PS257" s="16"/>
      <c r="PT257" s="16"/>
      <c r="PU257" s="16"/>
      <c r="PV257" s="16"/>
      <c r="PW257" s="16"/>
      <c r="PX257" s="16"/>
      <c r="PY257" s="16"/>
      <c r="PZ257" s="16"/>
      <c r="QA257" s="16"/>
      <c r="QB257" s="16"/>
      <c r="QC257" s="16"/>
      <c r="QD257" s="16"/>
      <c r="QE257" s="16"/>
      <c r="QF257" s="16"/>
      <c r="QG257" s="16"/>
      <c r="QH257" s="16"/>
      <c r="QI257" s="16"/>
      <c r="QJ257" s="16"/>
      <c r="QK257" s="16"/>
      <c r="QL257" s="16"/>
      <c r="QM257" s="16"/>
      <c r="QN257" s="16"/>
      <c r="QO257" s="16"/>
      <c r="QP257" s="16"/>
      <c r="QQ257" s="16"/>
      <c r="QR257" s="16"/>
      <c r="QS257" s="16"/>
      <c r="QT257" s="16"/>
      <c r="QU257" s="16"/>
      <c r="QV257" s="16"/>
      <c r="QW257" s="16"/>
      <c r="QX257" s="16"/>
      <c r="QY257" s="16"/>
      <c r="QZ257" s="16"/>
      <c r="RA257" s="16"/>
      <c r="RB257" s="16"/>
      <c r="RC257" s="16"/>
      <c r="RD257" s="16"/>
      <c r="RE257" s="16"/>
      <c r="RF257" s="16"/>
      <c r="RG257" s="16"/>
      <c r="RH257" s="16"/>
      <c r="RI257" s="16"/>
      <c r="RJ257" s="16"/>
      <c r="RK257" s="16"/>
      <c r="RL257" s="16"/>
      <c r="RM257" s="16"/>
      <c r="RN257" s="16"/>
      <c r="RO257" s="16"/>
      <c r="RP257" s="16"/>
      <c r="RQ257" s="16"/>
      <c r="RR257" s="16"/>
      <c r="RS257" s="16"/>
      <c r="RT257" s="16"/>
      <c r="RU257" s="16"/>
      <c r="RV257" s="16"/>
      <c r="RW257" s="16"/>
      <c r="RX257" s="16"/>
      <c r="RY257" s="16"/>
      <c r="RZ257" s="16"/>
      <c r="SA257" s="16"/>
      <c r="SB257" s="16"/>
      <c r="SC257" s="16"/>
      <c r="SD257" s="16"/>
      <c r="SE257" s="16"/>
      <c r="SF257" s="16"/>
      <c r="SG257" s="16"/>
      <c r="SH257" s="16"/>
      <c r="SI257" s="16"/>
      <c r="SJ257" s="16"/>
      <c r="SK257" s="16"/>
      <c r="SL257" s="16"/>
      <c r="SM257" s="16"/>
      <c r="SN257" s="16"/>
      <c r="SO257" s="16"/>
      <c r="SP257" s="16"/>
      <c r="SQ257" s="16"/>
      <c r="SR257" s="16"/>
      <c r="SS257" s="16"/>
      <c r="ST257" s="16"/>
      <c r="SU257" s="16"/>
      <c r="SV257" s="16"/>
      <c r="SW257" s="16"/>
      <c r="SX257" s="16"/>
      <c r="SY257" s="16"/>
      <c r="SZ257" s="16"/>
      <c r="TA257" s="16"/>
      <c r="TB257" s="16"/>
      <c r="TC257" s="16"/>
      <c r="TD257" s="16"/>
      <c r="TE257" s="16"/>
      <c r="TF257" s="16"/>
      <c r="TG257" s="16"/>
      <c r="TH257" s="16"/>
      <c r="TI257" s="16"/>
      <c r="TJ257" s="16"/>
      <c r="TK257" s="16"/>
      <c r="TL257" s="16"/>
      <c r="TM257" s="16"/>
      <c r="TN257" s="16"/>
      <c r="TO257" s="16"/>
      <c r="TP257" s="16"/>
      <c r="TQ257" s="16"/>
      <c r="TR257" s="16"/>
      <c r="TS257" s="16"/>
      <c r="TT257" s="16"/>
      <c r="TU257" s="16"/>
      <c r="TV257" s="16"/>
      <c r="TW257" s="16"/>
      <c r="TX257" s="16"/>
      <c r="TY257" s="16"/>
      <c r="TZ257" s="16"/>
      <c r="UA257" s="16"/>
      <c r="UB257" s="16"/>
      <c r="UC257" s="16"/>
      <c r="UD257" s="16"/>
      <c r="UE257" s="16"/>
      <c r="UF257" s="16"/>
      <c r="UG257" s="16"/>
      <c r="UH257" s="16"/>
      <c r="UI257" s="16"/>
      <c r="UJ257" s="16"/>
      <c r="UK257" s="16"/>
      <c r="UL257" s="16"/>
      <c r="UM257" s="16"/>
      <c r="UN257" s="16"/>
      <c r="UO257" s="16"/>
      <c r="UP257" s="16"/>
      <c r="UQ257" s="16"/>
      <c r="UR257" s="16"/>
      <c r="US257" s="16"/>
      <c r="UT257" s="16"/>
      <c r="UU257" s="16"/>
      <c r="UV257" s="16"/>
      <c r="UW257" s="16"/>
      <c r="UX257" s="16"/>
      <c r="UY257" s="16"/>
      <c r="UZ257" s="16"/>
      <c r="VA257" s="16"/>
      <c r="VB257" s="16"/>
      <c r="VC257" s="16"/>
      <c r="VD257" s="16"/>
      <c r="VE257" s="16"/>
      <c r="VF257" s="16"/>
      <c r="VG257" s="16"/>
      <c r="VH257" s="16"/>
      <c r="VI257" s="16"/>
      <c r="VJ257" s="16"/>
      <c r="VK257" s="16"/>
      <c r="VL257" s="16"/>
      <c r="VM257" s="16"/>
      <c r="VN257" s="16"/>
      <c r="VO257" s="16"/>
      <c r="VP257" s="16"/>
      <c r="VQ257" s="16"/>
      <c r="VR257" s="16"/>
      <c r="VS257" s="16"/>
      <c r="VT257" s="16"/>
      <c r="VU257" s="16"/>
      <c r="VV257" s="16"/>
      <c r="VW257" s="16"/>
      <c r="VX257" s="16"/>
      <c r="VY257" s="16"/>
      <c r="VZ257" s="16"/>
      <c r="WA257" s="16"/>
      <c r="WB257" s="16"/>
      <c r="WC257" s="16"/>
      <c r="WD257" s="16"/>
      <c r="WE257" s="16"/>
      <c r="WF257" s="16"/>
      <c r="WG257" s="16"/>
      <c r="WH257" s="16"/>
      <c r="WI257" s="16"/>
      <c r="WJ257" s="16"/>
      <c r="WK257" s="16"/>
      <c r="WL257" s="16"/>
      <c r="WM257" s="16"/>
      <c r="WN257" s="16"/>
      <c r="WO257" s="16"/>
      <c r="WP257" s="16"/>
      <c r="WQ257" s="16"/>
      <c r="WR257" s="16"/>
      <c r="WS257" s="16"/>
      <c r="WT257" s="16"/>
      <c r="WU257" s="16"/>
      <c r="WV257" s="16"/>
      <c r="WW257" s="16"/>
      <c r="WX257" s="16"/>
      <c r="WY257" s="16"/>
      <c r="WZ257" s="16"/>
      <c r="XA257" s="16"/>
      <c r="XB257" s="16"/>
      <c r="XC257" s="16"/>
      <c r="XD257" s="16"/>
      <c r="XE257" s="16"/>
      <c r="XF257" s="16"/>
      <c r="XG257" s="16"/>
      <c r="XH257" s="16"/>
      <c r="XI257" s="16"/>
      <c r="XJ257" s="16"/>
      <c r="XK257" s="16"/>
      <c r="XL257" s="16"/>
      <c r="XM257" s="16"/>
      <c r="XN257" s="16"/>
      <c r="XO257" s="16"/>
      <c r="XP257" s="16"/>
      <c r="XQ257" s="16"/>
      <c r="XR257" s="16"/>
      <c r="XS257" s="16"/>
      <c r="XT257" s="16"/>
      <c r="XU257" s="16"/>
      <c r="XV257" s="16"/>
      <c r="XW257" s="16"/>
      <c r="XX257" s="16"/>
      <c r="XY257" s="16"/>
      <c r="XZ257" s="16"/>
      <c r="YA257" s="16"/>
      <c r="YB257" s="16"/>
      <c r="YC257" s="16"/>
      <c r="YD257" s="16"/>
      <c r="YE257" s="16"/>
      <c r="YF257" s="16"/>
      <c r="YG257" s="16"/>
      <c r="YH257" s="16"/>
      <c r="YI257" s="16"/>
      <c r="YJ257" s="16"/>
      <c r="YK257" s="16"/>
      <c r="YL257" s="16"/>
      <c r="YM257" s="16"/>
      <c r="YN257" s="16"/>
      <c r="YO257" s="16"/>
      <c r="YP257" s="16"/>
      <c r="YQ257" s="16"/>
      <c r="YR257" s="16"/>
      <c r="YS257" s="16"/>
      <c r="YT257" s="16"/>
      <c r="YU257" s="16"/>
      <c r="YV257" s="16"/>
      <c r="YW257" s="16"/>
      <c r="YX257" s="16"/>
      <c r="YY257" s="16"/>
      <c r="YZ257" s="16"/>
      <c r="ZA257" s="16"/>
      <c r="ZB257" s="16"/>
      <c r="ZC257" s="16"/>
      <c r="ZD257" s="16"/>
      <c r="ZE257" s="16"/>
      <c r="ZF257" s="16"/>
      <c r="ZG257" s="16"/>
      <c r="ZH257" s="16"/>
      <c r="ZI257" s="16"/>
      <c r="ZJ257" s="16"/>
      <c r="ZK257" s="16"/>
      <c r="ZL257" s="16"/>
      <c r="ZM257" s="16"/>
      <c r="ZN257" s="16"/>
      <c r="ZO257" s="16"/>
      <c r="ZP257" s="16"/>
      <c r="ZQ257" s="16"/>
      <c r="ZR257" s="16"/>
      <c r="ZS257" s="16"/>
      <c r="ZT257" s="16"/>
      <c r="ZU257" s="16"/>
      <c r="ZV257" s="16"/>
      <c r="ZW257" s="16"/>
      <c r="ZX257" s="16"/>
      <c r="ZY257" s="16"/>
      <c r="ZZ257" s="16"/>
      <c r="AAA257" s="16"/>
      <c r="AAB257" s="16"/>
      <c r="AAC257" s="16"/>
    </row>
    <row r="258" spans="1:705" s="16" customFormat="1" ht="44.1" customHeight="1" x14ac:dyDescent="0.3">
      <c r="A258" s="26">
        <v>254</v>
      </c>
      <c r="B258" s="62">
        <v>241543</v>
      </c>
      <c r="C258" s="62">
        <v>254</v>
      </c>
      <c r="D258" s="63">
        <v>45967</v>
      </c>
      <c r="E258" s="63">
        <f t="shared" si="36"/>
        <v>45966</v>
      </c>
      <c r="F258" s="63">
        <f t="shared" si="33"/>
        <v>45977</v>
      </c>
      <c r="G258" s="63">
        <v>45694</v>
      </c>
      <c r="H258" s="63">
        <f ca="1">TODAY()</f>
        <v>46277</v>
      </c>
      <c r="I258" s="63" t="s">
        <v>321</v>
      </c>
      <c r="J258" s="64" t="s">
        <v>615</v>
      </c>
      <c r="K258" s="65">
        <f t="shared" ca="1" si="37"/>
        <v>300</v>
      </c>
      <c r="L258" s="65">
        <v>1164526</v>
      </c>
      <c r="M258" s="183" t="s">
        <v>77</v>
      </c>
      <c r="N258" s="64">
        <v>810025</v>
      </c>
      <c r="O258" s="253" t="s">
        <v>1462</v>
      </c>
      <c r="P258" s="103">
        <v>46007</v>
      </c>
      <c r="Q258" s="103">
        <v>46177</v>
      </c>
      <c r="R258" s="73" t="s">
        <v>211</v>
      </c>
      <c r="S258" s="66" t="s">
        <v>616</v>
      </c>
      <c r="T258" s="67">
        <v>1</v>
      </c>
      <c r="U258" s="75" t="s">
        <v>198</v>
      </c>
      <c r="V258" s="68">
        <v>135</v>
      </c>
      <c r="W258" s="68"/>
      <c r="X258" s="69">
        <v>0</v>
      </c>
      <c r="Y258" s="68">
        <v>0</v>
      </c>
      <c r="Z258" s="68">
        <v>0</v>
      </c>
      <c r="AA258" s="68">
        <v>0</v>
      </c>
      <c r="AB258" s="68">
        <v>0</v>
      </c>
      <c r="AC258" s="68"/>
      <c r="AD258" s="68">
        <v>0</v>
      </c>
      <c r="AE258" s="68">
        <v>0</v>
      </c>
      <c r="AF258" s="68">
        <v>0</v>
      </c>
      <c r="AG258" s="68">
        <v>0</v>
      </c>
      <c r="AH258" s="68">
        <v>0</v>
      </c>
      <c r="AI258" s="68"/>
      <c r="AJ258" s="68">
        <v>0</v>
      </c>
      <c r="AK258" s="68">
        <v>0</v>
      </c>
      <c r="AL258" s="68">
        <v>1</v>
      </c>
      <c r="AM258" s="68"/>
      <c r="AN258" s="68">
        <v>1</v>
      </c>
      <c r="AO258" s="68"/>
      <c r="AP258" s="68">
        <v>1</v>
      </c>
      <c r="AQ258" s="68"/>
      <c r="AR258" s="68">
        <v>0</v>
      </c>
      <c r="AS258" s="68">
        <v>0</v>
      </c>
      <c r="AT258" s="68">
        <v>0</v>
      </c>
      <c r="AU258" s="68"/>
      <c r="AV258" s="68">
        <v>0</v>
      </c>
      <c r="AW258" s="68">
        <v>0</v>
      </c>
      <c r="AX258" s="146">
        <f t="shared" si="39"/>
        <v>9380</v>
      </c>
      <c r="AY258" s="146">
        <f t="shared" si="38"/>
        <v>0</v>
      </c>
      <c r="AZ258" s="64" t="s">
        <v>77</v>
      </c>
      <c r="BA258" s="64" t="s">
        <v>77</v>
      </c>
      <c r="BB258" s="15" t="s">
        <v>77</v>
      </c>
      <c r="BC258" s="74">
        <v>254</v>
      </c>
      <c r="BD258" s="70"/>
      <c r="BE258" s="67"/>
      <c r="BF258" s="71"/>
      <c r="BG258" s="15"/>
      <c r="BH258" s="72" t="s">
        <v>77</v>
      </c>
      <c r="BI258" s="72" t="s">
        <v>77</v>
      </c>
    </row>
    <row r="259" spans="1:705" s="16" customFormat="1" ht="44.1" customHeight="1" x14ac:dyDescent="0.3">
      <c r="A259" s="26">
        <v>255</v>
      </c>
      <c r="B259" s="163">
        <v>241589</v>
      </c>
      <c r="C259" s="163">
        <v>255</v>
      </c>
      <c r="D259" s="164">
        <v>45970</v>
      </c>
      <c r="E259" s="164">
        <f t="shared" si="36"/>
        <v>45969</v>
      </c>
      <c r="F259" s="164">
        <f t="shared" si="33"/>
        <v>45980</v>
      </c>
      <c r="G259" s="164">
        <v>46061</v>
      </c>
      <c r="H259" s="164">
        <v>46120</v>
      </c>
      <c r="I259" s="164" t="s">
        <v>349</v>
      </c>
      <c r="J259" s="165" t="s">
        <v>619</v>
      </c>
      <c r="K259" s="166">
        <f t="shared" si="37"/>
        <v>140</v>
      </c>
      <c r="L259" s="166">
        <v>1165311</v>
      </c>
      <c r="M259" s="165" t="s">
        <v>15</v>
      </c>
      <c r="N259" s="165">
        <v>810569</v>
      </c>
      <c r="O259" s="165" t="s">
        <v>246</v>
      </c>
      <c r="P259" s="167">
        <v>46040</v>
      </c>
      <c r="Q259" s="167">
        <v>46191</v>
      </c>
      <c r="R259" s="179" t="s">
        <v>211</v>
      </c>
      <c r="S259" s="168" t="s">
        <v>620</v>
      </c>
      <c r="T259" s="169">
        <v>1</v>
      </c>
      <c r="U259" s="180" t="s">
        <v>81</v>
      </c>
      <c r="V259" s="170">
        <v>115</v>
      </c>
      <c r="W259" s="170">
        <v>115</v>
      </c>
      <c r="X259" s="171">
        <v>0</v>
      </c>
      <c r="Y259" s="170">
        <v>0</v>
      </c>
      <c r="Z259" s="170">
        <v>0</v>
      </c>
      <c r="AA259" s="170">
        <v>0</v>
      </c>
      <c r="AB259" s="170">
        <v>15</v>
      </c>
      <c r="AC259" s="170">
        <v>15</v>
      </c>
      <c r="AD259" s="170">
        <v>0</v>
      </c>
      <c r="AE259" s="170">
        <v>0</v>
      </c>
      <c r="AF259" s="170">
        <v>15</v>
      </c>
      <c r="AG259" s="170">
        <v>15</v>
      </c>
      <c r="AH259" s="170">
        <v>0</v>
      </c>
      <c r="AI259" s="170">
        <v>0</v>
      </c>
      <c r="AJ259" s="170">
        <v>1</v>
      </c>
      <c r="AK259" s="170">
        <v>1</v>
      </c>
      <c r="AL259" s="170">
        <v>3</v>
      </c>
      <c r="AM259" s="170">
        <v>3</v>
      </c>
      <c r="AN259" s="170">
        <v>3</v>
      </c>
      <c r="AO259" s="170">
        <v>3</v>
      </c>
      <c r="AP259" s="170">
        <v>3</v>
      </c>
      <c r="AQ259" s="170">
        <v>3</v>
      </c>
      <c r="AR259" s="170">
        <v>0</v>
      </c>
      <c r="AS259" s="170">
        <v>0</v>
      </c>
      <c r="AT259" s="170">
        <v>0</v>
      </c>
      <c r="AU259" s="170">
        <v>0</v>
      </c>
      <c r="AV259" s="170">
        <v>0</v>
      </c>
      <c r="AW259" s="170">
        <v>0</v>
      </c>
      <c r="AX259" s="170">
        <v>14295</v>
      </c>
      <c r="AY259" s="170">
        <f t="shared" si="38"/>
        <v>14295</v>
      </c>
      <c r="AZ259" s="165" t="s">
        <v>15</v>
      </c>
      <c r="BA259" s="165" t="s">
        <v>77</v>
      </c>
      <c r="BB259" s="162" t="s">
        <v>77</v>
      </c>
      <c r="BC259" s="181">
        <v>255</v>
      </c>
      <c r="BD259" s="173"/>
      <c r="BE259" s="169"/>
      <c r="BF259" s="174"/>
      <c r="BG259" s="178">
        <v>46121</v>
      </c>
      <c r="BH259" s="175" t="s">
        <v>77</v>
      </c>
      <c r="BI259" s="175" t="s">
        <v>77</v>
      </c>
      <c r="BK259" s="238"/>
    </row>
    <row r="260" spans="1:705" s="16" customFormat="1" ht="44.1" customHeight="1" x14ac:dyDescent="0.3">
      <c r="A260" s="26">
        <v>256</v>
      </c>
      <c r="B260" s="62">
        <v>241597</v>
      </c>
      <c r="C260" s="62">
        <v>256</v>
      </c>
      <c r="D260" s="63">
        <v>45970</v>
      </c>
      <c r="E260" s="63">
        <f t="shared" si="36"/>
        <v>45969</v>
      </c>
      <c r="F260" s="63">
        <f t="shared" si="33"/>
        <v>45980</v>
      </c>
      <c r="G260" s="63">
        <v>46061</v>
      </c>
      <c r="H260" s="63">
        <f ca="1">TODAY()</f>
        <v>46277</v>
      </c>
      <c r="I260" s="63" t="s">
        <v>349</v>
      </c>
      <c r="J260" s="64" t="s">
        <v>621</v>
      </c>
      <c r="K260" s="65">
        <f t="shared" ca="1" si="37"/>
        <v>297</v>
      </c>
      <c r="L260" s="65">
        <v>1165324</v>
      </c>
      <c r="M260" s="64" t="s">
        <v>77</v>
      </c>
      <c r="N260" s="64">
        <v>808891</v>
      </c>
      <c r="O260" s="253" t="s">
        <v>1462</v>
      </c>
      <c r="P260" s="103">
        <v>46008</v>
      </c>
      <c r="Q260" s="103">
        <v>46170</v>
      </c>
      <c r="R260" s="73" t="s">
        <v>211</v>
      </c>
      <c r="S260" s="66" t="s">
        <v>622</v>
      </c>
      <c r="T260" s="67">
        <v>1</v>
      </c>
      <c r="U260" s="75" t="s">
        <v>82</v>
      </c>
      <c r="V260" s="68">
        <v>1</v>
      </c>
      <c r="W260" s="68"/>
      <c r="X260" s="69">
        <v>0</v>
      </c>
      <c r="Y260" s="68">
        <v>0</v>
      </c>
      <c r="Z260" s="68">
        <v>0</v>
      </c>
      <c r="AA260" s="68">
        <v>0</v>
      </c>
      <c r="AB260" s="68">
        <v>0</v>
      </c>
      <c r="AC260" s="68"/>
      <c r="AD260" s="68">
        <v>0</v>
      </c>
      <c r="AE260" s="68">
        <v>0</v>
      </c>
      <c r="AF260" s="68">
        <v>0</v>
      </c>
      <c r="AG260" s="68">
        <v>0</v>
      </c>
      <c r="AH260" s="68">
        <v>1</v>
      </c>
      <c r="AI260" s="68"/>
      <c r="AJ260" s="68">
        <v>1</v>
      </c>
      <c r="AK260" s="68"/>
      <c r="AL260" s="68">
        <v>1</v>
      </c>
      <c r="AM260" s="68"/>
      <c r="AN260" s="68">
        <v>1</v>
      </c>
      <c r="AO260" s="68"/>
      <c r="AP260" s="68">
        <v>1</v>
      </c>
      <c r="AQ260" s="68"/>
      <c r="AR260" s="68">
        <v>0</v>
      </c>
      <c r="AS260" s="68">
        <v>0</v>
      </c>
      <c r="AT260" s="68">
        <v>0</v>
      </c>
      <c r="AU260" s="68">
        <v>0</v>
      </c>
      <c r="AV260" s="68">
        <v>0</v>
      </c>
      <c r="AW260" s="68">
        <v>0</v>
      </c>
      <c r="AX260" s="146">
        <f t="shared" ref="AX260:AX304" si="40">(V260*60)+(X260*80)+(Z260*38)+(AB260*57)+(AD260*75)+(AF260*155)+(AH260*170)+(AJ260*375)+(AL260*590)+(AN260*60)+(AP260*630)+(AR260*400)+(AT260*350)+(AV260*950)</f>
        <v>1885</v>
      </c>
      <c r="AY260" s="146">
        <f t="shared" si="38"/>
        <v>0</v>
      </c>
      <c r="AZ260" s="64" t="s">
        <v>77</v>
      </c>
      <c r="BA260" s="64" t="s">
        <v>77</v>
      </c>
      <c r="BB260" s="15" t="s">
        <v>77</v>
      </c>
      <c r="BC260" s="74">
        <v>256</v>
      </c>
      <c r="BD260" s="70"/>
      <c r="BE260" s="67"/>
      <c r="BF260" s="71"/>
      <c r="BG260" s="15"/>
      <c r="BH260" s="72" t="s">
        <v>77</v>
      </c>
      <c r="BI260" s="72" t="s">
        <v>77</v>
      </c>
    </row>
    <row r="261" spans="1:705" s="16" customFormat="1" ht="44.1" customHeight="1" x14ac:dyDescent="0.3">
      <c r="A261" s="26">
        <v>257</v>
      </c>
      <c r="B261" s="62">
        <v>241624</v>
      </c>
      <c r="C261" s="62">
        <v>257</v>
      </c>
      <c r="D261" s="63">
        <v>45971</v>
      </c>
      <c r="E261" s="63">
        <f t="shared" si="36"/>
        <v>45970</v>
      </c>
      <c r="F261" s="63">
        <f t="shared" si="33"/>
        <v>45981</v>
      </c>
      <c r="G261" s="63">
        <v>46062</v>
      </c>
      <c r="H261" s="63">
        <f ca="1">TODAY()</f>
        <v>46277</v>
      </c>
      <c r="I261" s="63" t="s">
        <v>349</v>
      </c>
      <c r="J261" s="64" t="s">
        <v>624</v>
      </c>
      <c r="K261" s="65">
        <f t="shared" ca="1" si="37"/>
        <v>296</v>
      </c>
      <c r="L261" s="65">
        <v>1165495</v>
      </c>
      <c r="M261" s="64" t="s">
        <v>77</v>
      </c>
      <c r="N261" s="64">
        <v>808891</v>
      </c>
      <c r="O261" s="253" t="s">
        <v>1462</v>
      </c>
      <c r="P261" s="103">
        <v>46008</v>
      </c>
      <c r="Q261" s="103">
        <v>46170</v>
      </c>
      <c r="R261" s="73" t="s">
        <v>211</v>
      </c>
      <c r="S261" s="66" t="s">
        <v>625</v>
      </c>
      <c r="T261" s="67">
        <v>1</v>
      </c>
      <c r="U261" s="75" t="s">
        <v>82</v>
      </c>
      <c r="V261" s="68">
        <v>110</v>
      </c>
      <c r="W261" s="68"/>
      <c r="X261" s="69">
        <v>0</v>
      </c>
      <c r="Y261" s="68">
        <v>0</v>
      </c>
      <c r="Z261" s="68">
        <v>0</v>
      </c>
      <c r="AA261" s="68">
        <v>0</v>
      </c>
      <c r="AB261" s="68">
        <v>0</v>
      </c>
      <c r="AC261" s="68"/>
      <c r="AD261" s="68">
        <v>0</v>
      </c>
      <c r="AE261" s="68">
        <v>0</v>
      </c>
      <c r="AF261" s="68">
        <v>0</v>
      </c>
      <c r="AG261" s="68">
        <v>0</v>
      </c>
      <c r="AH261" s="68">
        <v>1</v>
      </c>
      <c r="AI261" s="68"/>
      <c r="AJ261" s="68">
        <v>0</v>
      </c>
      <c r="AK261" s="68">
        <v>0</v>
      </c>
      <c r="AL261" s="68">
        <v>2</v>
      </c>
      <c r="AM261" s="68"/>
      <c r="AN261" s="68">
        <v>7</v>
      </c>
      <c r="AO261" s="68"/>
      <c r="AP261" s="68">
        <v>5</v>
      </c>
      <c r="AQ261" s="68"/>
      <c r="AR261" s="68">
        <v>0</v>
      </c>
      <c r="AS261" s="68">
        <v>0</v>
      </c>
      <c r="AT261" s="68">
        <v>1</v>
      </c>
      <c r="AU261" s="68"/>
      <c r="AV261" s="68">
        <v>0</v>
      </c>
      <c r="AW261" s="68">
        <v>0</v>
      </c>
      <c r="AX261" s="146">
        <f t="shared" si="40"/>
        <v>11870</v>
      </c>
      <c r="AY261" s="146">
        <f t="shared" si="38"/>
        <v>0</v>
      </c>
      <c r="AZ261" s="64" t="s">
        <v>77</v>
      </c>
      <c r="BA261" s="64" t="s">
        <v>77</v>
      </c>
      <c r="BB261" s="15" t="s">
        <v>77</v>
      </c>
      <c r="BC261" s="74">
        <v>257</v>
      </c>
      <c r="BD261" s="70"/>
      <c r="BE261" s="67"/>
      <c r="BF261" s="71"/>
      <c r="BG261" s="15"/>
      <c r="BH261" s="72" t="s">
        <v>77</v>
      </c>
      <c r="BI261" s="72" t="s">
        <v>77</v>
      </c>
    </row>
    <row r="262" spans="1:705" s="16" customFormat="1" ht="44.1" customHeight="1" x14ac:dyDescent="0.3">
      <c r="A262" s="26">
        <v>258</v>
      </c>
      <c r="B262" s="62">
        <v>241625</v>
      </c>
      <c r="C262" s="62">
        <v>258</v>
      </c>
      <c r="D262" s="63">
        <v>45971</v>
      </c>
      <c r="E262" s="63">
        <f t="shared" si="36"/>
        <v>45970</v>
      </c>
      <c r="F262" s="63">
        <f t="shared" si="33"/>
        <v>45981</v>
      </c>
      <c r="G262" s="63">
        <v>46062</v>
      </c>
      <c r="H262" s="63">
        <f ca="1">TODAY()</f>
        <v>46277</v>
      </c>
      <c r="I262" s="63" t="s">
        <v>349</v>
      </c>
      <c r="J262" s="64" t="s">
        <v>626</v>
      </c>
      <c r="K262" s="65">
        <f t="shared" ca="1" si="37"/>
        <v>296</v>
      </c>
      <c r="L262" s="65">
        <v>1165503</v>
      </c>
      <c r="M262" s="64" t="s">
        <v>77</v>
      </c>
      <c r="N262" s="64">
        <v>808896</v>
      </c>
      <c r="O262" s="253" t="s">
        <v>1462</v>
      </c>
      <c r="P262" s="103">
        <v>46002</v>
      </c>
      <c r="Q262" s="103">
        <v>46170</v>
      </c>
      <c r="R262" s="73" t="s">
        <v>211</v>
      </c>
      <c r="S262" s="66" t="s">
        <v>627</v>
      </c>
      <c r="T262" s="67">
        <v>1</v>
      </c>
      <c r="U262" s="75" t="s">
        <v>122</v>
      </c>
      <c r="V262" s="68">
        <v>135</v>
      </c>
      <c r="W262" s="68"/>
      <c r="X262" s="69">
        <v>1</v>
      </c>
      <c r="Y262" s="68"/>
      <c r="Z262" s="68">
        <v>0</v>
      </c>
      <c r="AA262" s="68">
        <v>0</v>
      </c>
      <c r="AB262" s="68">
        <v>0</v>
      </c>
      <c r="AC262" s="68"/>
      <c r="AD262" s="68">
        <v>0</v>
      </c>
      <c r="AE262" s="68">
        <v>0</v>
      </c>
      <c r="AF262" s="68">
        <v>0</v>
      </c>
      <c r="AG262" s="68">
        <v>0</v>
      </c>
      <c r="AH262" s="68">
        <v>1</v>
      </c>
      <c r="AI262" s="68"/>
      <c r="AJ262" s="68">
        <v>0</v>
      </c>
      <c r="AK262" s="68">
        <v>0</v>
      </c>
      <c r="AL262" s="68">
        <v>2</v>
      </c>
      <c r="AM262" s="68"/>
      <c r="AN262" s="68">
        <v>4</v>
      </c>
      <c r="AO262" s="68"/>
      <c r="AP262" s="68">
        <v>3</v>
      </c>
      <c r="AQ262" s="68"/>
      <c r="AR262" s="68">
        <v>0</v>
      </c>
      <c r="AS262" s="68">
        <v>0</v>
      </c>
      <c r="AT262" s="68">
        <v>0</v>
      </c>
      <c r="AU262" s="68">
        <v>0</v>
      </c>
      <c r="AV262" s="68">
        <v>0</v>
      </c>
      <c r="AW262" s="68">
        <v>0</v>
      </c>
      <c r="AX262" s="146">
        <f t="shared" si="40"/>
        <v>11660</v>
      </c>
      <c r="AY262" s="146">
        <f t="shared" si="38"/>
        <v>0</v>
      </c>
      <c r="AZ262" s="64" t="s">
        <v>77</v>
      </c>
      <c r="BA262" s="64" t="s">
        <v>77</v>
      </c>
      <c r="BB262" s="15" t="s">
        <v>77</v>
      </c>
      <c r="BC262" s="74">
        <v>258</v>
      </c>
      <c r="BD262" s="70"/>
      <c r="BE262" s="67"/>
      <c r="BF262" s="71"/>
      <c r="BG262" s="15"/>
      <c r="BH262" s="72" t="s">
        <v>77</v>
      </c>
      <c r="BI262" s="72" t="s">
        <v>77</v>
      </c>
    </row>
    <row r="263" spans="1:705" s="16" customFormat="1" ht="44.1" hidden="1" customHeight="1" x14ac:dyDescent="0.3">
      <c r="A263" s="26">
        <v>259</v>
      </c>
      <c r="B263" s="138">
        <v>241630</v>
      </c>
      <c r="C263" s="138">
        <v>259</v>
      </c>
      <c r="D263" s="139">
        <v>45971</v>
      </c>
      <c r="E263" s="139">
        <f t="shared" si="36"/>
        <v>45970</v>
      </c>
      <c r="F263" s="139">
        <f t="shared" si="33"/>
        <v>45981</v>
      </c>
      <c r="G263" s="139">
        <v>46063</v>
      </c>
      <c r="H263" s="139">
        <v>46019</v>
      </c>
      <c r="I263" s="139" t="s">
        <v>321</v>
      </c>
      <c r="J263" s="140" t="s">
        <v>628</v>
      </c>
      <c r="K263" s="141">
        <f t="shared" si="37"/>
        <v>38</v>
      </c>
      <c r="L263" s="141">
        <v>1165602</v>
      </c>
      <c r="M263" s="140" t="s">
        <v>15</v>
      </c>
      <c r="N263" s="140">
        <v>808892</v>
      </c>
      <c r="O263" s="137" t="s">
        <v>246</v>
      </c>
      <c r="P263" s="143">
        <v>46002</v>
      </c>
      <c r="Q263" s="143">
        <v>46170</v>
      </c>
      <c r="R263" s="185" t="s">
        <v>211</v>
      </c>
      <c r="S263" s="144" t="s">
        <v>629</v>
      </c>
      <c r="T263" s="145">
        <v>1</v>
      </c>
      <c r="U263" s="186" t="s">
        <v>82</v>
      </c>
      <c r="V263" s="146">
        <v>96</v>
      </c>
      <c r="W263" s="146">
        <v>96</v>
      </c>
      <c r="X263" s="147">
        <v>0</v>
      </c>
      <c r="Y263" s="146">
        <v>0</v>
      </c>
      <c r="Z263" s="146">
        <v>0</v>
      </c>
      <c r="AA263" s="146">
        <v>0</v>
      </c>
      <c r="AB263" s="146">
        <v>2</v>
      </c>
      <c r="AC263" s="146">
        <v>2</v>
      </c>
      <c r="AD263" s="146">
        <v>0</v>
      </c>
      <c r="AE263" s="146">
        <v>0</v>
      </c>
      <c r="AF263" s="146">
        <v>0</v>
      </c>
      <c r="AG263" s="146">
        <v>0</v>
      </c>
      <c r="AH263" s="146">
        <v>1</v>
      </c>
      <c r="AI263" s="146">
        <v>1</v>
      </c>
      <c r="AJ263" s="146">
        <v>0</v>
      </c>
      <c r="AK263" s="146">
        <v>0</v>
      </c>
      <c r="AL263" s="146">
        <v>1</v>
      </c>
      <c r="AM263" s="146">
        <v>1</v>
      </c>
      <c r="AN263" s="146">
        <v>1</v>
      </c>
      <c r="AO263" s="146">
        <v>1</v>
      </c>
      <c r="AP263" s="146">
        <v>1</v>
      </c>
      <c r="AQ263" s="146">
        <v>1</v>
      </c>
      <c r="AR263" s="146">
        <v>0</v>
      </c>
      <c r="AS263" s="146">
        <v>0</v>
      </c>
      <c r="AT263" s="146">
        <v>1</v>
      </c>
      <c r="AU263" s="146">
        <v>1</v>
      </c>
      <c r="AV263" s="146">
        <v>0</v>
      </c>
      <c r="AW263" s="146">
        <v>0</v>
      </c>
      <c r="AX263" s="146">
        <f t="shared" si="40"/>
        <v>7674</v>
      </c>
      <c r="AY263" s="146">
        <f t="shared" si="38"/>
        <v>7674</v>
      </c>
      <c r="AZ263" s="140" t="s">
        <v>562</v>
      </c>
      <c r="BA263" s="140" t="s">
        <v>562</v>
      </c>
      <c r="BB263" s="137">
        <v>5</v>
      </c>
      <c r="BC263" s="187">
        <v>259</v>
      </c>
      <c r="BD263" s="149"/>
      <c r="BE263" s="145"/>
      <c r="BF263" s="150"/>
      <c r="BG263" s="202">
        <v>45992</v>
      </c>
      <c r="BH263" s="153" t="s">
        <v>15</v>
      </c>
      <c r="BI263" s="153" t="s">
        <v>562</v>
      </c>
    </row>
    <row r="264" spans="1:705" s="16" customFormat="1" ht="44.1" customHeight="1" x14ac:dyDescent="0.3">
      <c r="A264" s="26">
        <v>260</v>
      </c>
      <c r="B264" s="62">
        <v>241631</v>
      </c>
      <c r="C264" s="62">
        <v>260</v>
      </c>
      <c r="D264" s="63">
        <v>46265</v>
      </c>
      <c r="E264" s="63">
        <f t="shared" si="36"/>
        <v>46264</v>
      </c>
      <c r="F264" s="63">
        <f t="shared" si="33"/>
        <v>46275</v>
      </c>
      <c r="G264" s="63">
        <v>46326</v>
      </c>
      <c r="H264" s="63">
        <f ca="1">TODAY()</f>
        <v>46277</v>
      </c>
      <c r="I264" s="63" t="s">
        <v>1250</v>
      </c>
      <c r="J264" s="64" t="s">
        <v>1558</v>
      </c>
      <c r="K264" s="65">
        <f t="shared" ca="1" si="37"/>
        <v>2</v>
      </c>
      <c r="L264" s="65">
        <v>1165623</v>
      </c>
      <c r="M264" s="64" t="s">
        <v>77</v>
      </c>
      <c r="N264" s="64" t="s">
        <v>1463</v>
      </c>
      <c r="O264" s="79" t="s">
        <v>246</v>
      </c>
      <c r="P264" s="103">
        <v>46033</v>
      </c>
      <c r="Q264" s="103">
        <v>46381</v>
      </c>
      <c r="R264" s="73" t="s">
        <v>211</v>
      </c>
      <c r="S264" s="66" t="s">
        <v>630</v>
      </c>
      <c r="T264" s="67">
        <v>1</v>
      </c>
      <c r="U264" s="75" t="s">
        <v>81</v>
      </c>
      <c r="V264" s="68">
        <v>100</v>
      </c>
      <c r="W264" s="68"/>
      <c r="X264" s="69">
        <v>0</v>
      </c>
      <c r="Y264" s="68">
        <v>0</v>
      </c>
      <c r="Z264" s="68">
        <v>0</v>
      </c>
      <c r="AA264" s="68">
        <v>0</v>
      </c>
      <c r="AB264" s="68">
        <v>0</v>
      </c>
      <c r="AC264" s="68"/>
      <c r="AD264" s="68">
        <v>0</v>
      </c>
      <c r="AE264" s="68">
        <v>0</v>
      </c>
      <c r="AF264" s="68">
        <v>0</v>
      </c>
      <c r="AG264" s="68">
        <v>0</v>
      </c>
      <c r="AH264" s="68">
        <v>2</v>
      </c>
      <c r="AI264" s="68"/>
      <c r="AJ264" s="68">
        <v>0</v>
      </c>
      <c r="AK264" s="68">
        <v>0</v>
      </c>
      <c r="AL264" s="68">
        <v>0</v>
      </c>
      <c r="AM264" s="68">
        <v>0</v>
      </c>
      <c r="AN264" s="68">
        <v>2</v>
      </c>
      <c r="AO264" s="68"/>
      <c r="AP264" s="68">
        <v>2</v>
      </c>
      <c r="AQ264" s="68"/>
      <c r="AR264" s="68">
        <v>0</v>
      </c>
      <c r="AS264" s="68">
        <v>0</v>
      </c>
      <c r="AT264" s="68">
        <v>1</v>
      </c>
      <c r="AU264" s="68"/>
      <c r="AV264" s="68">
        <v>0</v>
      </c>
      <c r="AW264" s="68">
        <v>0</v>
      </c>
      <c r="AX264" s="146">
        <f t="shared" si="40"/>
        <v>8070</v>
      </c>
      <c r="AY264" s="146">
        <f t="shared" si="38"/>
        <v>0</v>
      </c>
      <c r="AZ264" s="64" t="s">
        <v>77</v>
      </c>
      <c r="BA264" s="64" t="s">
        <v>77</v>
      </c>
      <c r="BB264" s="15" t="s">
        <v>77</v>
      </c>
      <c r="BC264" s="74">
        <v>260</v>
      </c>
      <c r="BD264" s="70"/>
      <c r="BE264" s="67"/>
      <c r="BF264" s="71"/>
      <c r="BG264" s="15"/>
      <c r="BH264" s="72" t="s">
        <v>77</v>
      </c>
      <c r="BI264" s="72" t="s">
        <v>77</v>
      </c>
    </row>
    <row r="265" spans="1:705" s="16" customFormat="1" ht="44.1" customHeight="1" x14ac:dyDescent="0.3">
      <c r="A265" s="26">
        <v>261</v>
      </c>
      <c r="B265" s="62">
        <v>241635</v>
      </c>
      <c r="C265" s="62">
        <v>261</v>
      </c>
      <c r="D265" s="63">
        <v>45971</v>
      </c>
      <c r="E265" s="63">
        <f t="shared" si="36"/>
        <v>45970</v>
      </c>
      <c r="F265" s="63">
        <f t="shared" ref="F265:F328" si="41">D265+10</f>
        <v>45981</v>
      </c>
      <c r="G265" s="63">
        <v>46063</v>
      </c>
      <c r="H265" s="63">
        <f ca="1">TODAY()</f>
        <v>46277</v>
      </c>
      <c r="I265" s="63" t="s">
        <v>321</v>
      </c>
      <c r="J265" s="64" t="s">
        <v>1557</v>
      </c>
      <c r="K265" s="65">
        <f t="shared" ca="1" si="37"/>
        <v>296</v>
      </c>
      <c r="L265" s="65">
        <v>1165665</v>
      </c>
      <c r="M265" s="64" t="s">
        <v>77</v>
      </c>
      <c r="N265" s="64" t="s">
        <v>1457</v>
      </c>
      <c r="O265" s="79" t="s">
        <v>246</v>
      </c>
      <c r="P265" s="103">
        <v>46238</v>
      </c>
      <c r="Q265" s="103">
        <v>46396</v>
      </c>
      <c r="R265" s="73" t="s">
        <v>211</v>
      </c>
      <c r="S265" s="66" t="s">
        <v>631</v>
      </c>
      <c r="T265" s="67">
        <v>1</v>
      </c>
      <c r="U265" s="75" t="s">
        <v>81</v>
      </c>
      <c r="V265" s="68">
        <v>86</v>
      </c>
      <c r="W265" s="68"/>
      <c r="X265" s="69">
        <v>0</v>
      </c>
      <c r="Y265" s="68">
        <v>0</v>
      </c>
      <c r="Z265" s="68">
        <v>0</v>
      </c>
      <c r="AA265" s="68">
        <v>0</v>
      </c>
      <c r="AB265" s="68">
        <v>0</v>
      </c>
      <c r="AC265" s="68"/>
      <c r="AD265" s="68">
        <v>0</v>
      </c>
      <c r="AE265" s="68">
        <v>0</v>
      </c>
      <c r="AF265" s="68">
        <v>0</v>
      </c>
      <c r="AG265" s="68">
        <v>0</v>
      </c>
      <c r="AH265" s="68">
        <v>0</v>
      </c>
      <c r="AI265" s="68"/>
      <c r="AJ265" s="68">
        <v>0</v>
      </c>
      <c r="AK265" s="68">
        <v>0</v>
      </c>
      <c r="AL265" s="68">
        <v>1</v>
      </c>
      <c r="AM265" s="68"/>
      <c r="AN265" s="68">
        <v>1</v>
      </c>
      <c r="AO265" s="68"/>
      <c r="AP265" s="68">
        <v>1</v>
      </c>
      <c r="AQ265" s="68"/>
      <c r="AR265" s="68">
        <v>0</v>
      </c>
      <c r="AS265" s="68">
        <v>0</v>
      </c>
      <c r="AT265" s="68">
        <v>0</v>
      </c>
      <c r="AU265" s="68"/>
      <c r="AV265" s="68">
        <v>0</v>
      </c>
      <c r="AW265" s="68">
        <v>0</v>
      </c>
      <c r="AX265" s="146">
        <f t="shared" si="40"/>
        <v>6440</v>
      </c>
      <c r="AY265" s="146">
        <f t="shared" si="38"/>
        <v>0</v>
      </c>
      <c r="AZ265" s="64" t="s">
        <v>77</v>
      </c>
      <c r="BA265" s="64" t="s">
        <v>77</v>
      </c>
      <c r="BB265" s="15" t="s">
        <v>77</v>
      </c>
      <c r="BC265" s="74">
        <v>261</v>
      </c>
      <c r="BD265" s="70"/>
      <c r="BE265" s="67"/>
      <c r="BF265" s="71"/>
      <c r="BG265" s="15"/>
      <c r="BH265" s="72" t="s">
        <v>77</v>
      </c>
      <c r="BI265" s="72" t="s">
        <v>77</v>
      </c>
    </row>
    <row r="266" spans="1:705" s="16" customFormat="1" ht="44.1" hidden="1" customHeight="1" x14ac:dyDescent="0.3">
      <c r="A266" s="26">
        <v>262</v>
      </c>
      <c r="B266" s="138">
        <v>241640</v>
      </c>
      <c r="C266" s="138">
        <v>262</v>
      </c>
      <c r="D266" s="139">
        <v>46061</v>
      </c>
      <c r="E266" s="139">
        <f t="shared" si="36"/>
        <v>46060</v>
      </c>
      <c r="F266" s="139">
        <f t="shared" si="41"/>
        <v>46071</v>
      </c>
      <c r="G266" s="139">
        <v>46150</v>
      </c>
      <c r="H266" s="139">
        <v>46107</v>
      </c>
      <c r="I266" s="139" t="s">
        <v>349</v>
      </c>
      <c r="J266" s="140" t="s">
        <v>632</v>
      </c>
      <c r="K266" s="141">
        <f t="shared" si="37"/>
        <v>36</v>
      </c>
      <c r="L266" s="141">
        <v>1165683</v>
      </c>
      <c r="M266" s="140" t="s">
        <v>15</v>
      </c>
      <c r="N266" s="140">
        <v>808893</v>
      </c>
      <c r="O266" s="140" t="s">
        <v>246</v>
      </c>
      <c r="P266" s="143">
        <v>46006</v>
      </c>
      <c r="Q266" s="143">
        <v>46170</v>
      </c>
      <c r="R266" s="185" t="s">
        <v>211</v>
      </c>
      <c r="S266" s="144" t="s">
        <v>633</v>
      </c>
      <c r="T266" s="145">
        <v>1</v>
      </c>
      <c r="U266" s="186" t="s">
        <v>162</v>
      </c>
      <c r="V266" s="146">
        <v>45</v>
      </c>
      <c r="W266" s="146">
        <v>45</v>
      </c>
      <c r="X266" s="147">
        <v>0</v>
      </c>
      <c r="Y266" s="146">
        <v>0</v>
      </c>
      <c r="Z266" s="146">
        <v>0</v>
      </c>
      <c r="AA266" s="146">
        <v>0</v>
      </c>
      <c r="AB266" s="146">
        <v>45</v>
      </c>
      <c r="AC266" s="146">
        <v>45</v>
      </c>
      <c r="AD266" s="146">
        <v>0</v>
      </c>
      <c r="AE266" s="146">
        <v>0</v>
      </c>
      <c r="AF266" s="146">
        <v>0</v>
      </c>
      <c r="AG266" s="146">
        <v>0</v>
      </c>
      <c r="AH266" s="146">
        <v>3</v>
      </c>
      <c r="AI266" s="146">
        <v>3</v>
      </c>
      <c r="AJ266" s="146"/>
      <c r="AK266" s="146">
        <v>0</v>
      </c>
      <c r="AL266" s="146">
        <v>0</v>
      </c>
      <c r="AM266" s="146">
        <v>0</v>
      </c>
      <c r="AN266" s="146">
        <v>4</v>
      </c>
      <c r="AO266" s="146">
        <v>4</v>
      </c>
      <c r="AP266" s="146">
        <v>4</v>
      </c>
      <c r="AQ266" s="146">
        <v>4</v>
      </c>
      <c r="AR266" s="146">
        <v>0</v>
      </c>
      <c r="AS266" s="146">
        <v>0</v>
      </c>
      <c r="AT266" s="146">
        <v>0</v>
      </c>
      <c r="AU266" s="146">
        <v>0</v>
      </c>
      <c r="AV266" s="146">
        <v>0</v>
      </c>
      <c r="AW266" s="146">
        <v>0</v>
      </c>
      <c r="AX266" s="146">
        <f t="shared" si="40"/>
        <v>8535</v>
      </c>
      <c r="AY266" s="146">
        <f t="shared" si="38"/>
        <v>8535</v>
      </c>
      <c r="AZ266" s="140" t="s">
        <v>562</v>
      </c>
      <c r="BA266" s="140" t="s">
        <v>562</v>
      </c>
      <c r="BB266" s="137">
        <v>9</v>
      </c>
      <c r="BC266" s="187">
        <v>262</v>
      </c>
      <c r="BD266" s="149"/>
      <c r="BE266" s="145"/>
      <c r="BF266" s="150"/>
      <c r="BG266" s="188">
        <v>46105</v>
      </c>
      <c r="BH266" s="153" t="s">
        <v>15</v>
      </c>
      <c r="BI266" s="153" t="s">
        <v>562</v>
      </c>
    </row>
    <row r="267" spans="1:705" s="16" customFormat="1" ht="44.1" customHeight="1" x14ac:dyDescent="0.3">
      <c r="A267" s="26">
        <v>263</v>
      </c>
      <c r="B267" s="62">
        <v>241649</v>
      </c>
      <c r="C267" s="62">
        <v>263</v>
      </c>
      <c r="D267" s="63">
        <v>45971</v>
      </c>
      <c r="E267" s="63">
        <f t="shared" si="36"/>
        <v>45970</v>
      </c>
      <c r="F267" s="63">
        <f t="shared" si="41"/>
        <v>45981</v>
      </c>
      <c r="G267" s="63">
        <v>46062</v>
      </c>
      <c r="H267" s="63">
        <f ca="1">TODAY()</f>
        <v>46277</v>
      </c>
      <c r="I267" s="63" t="s">
        <v>349</v>
      </c>
      <c r="J267" s="64" t="s">
        <v>634</v>
      </c>
      <c r="K267" s="65">
        <f t="shared" ca="1" si="37"/>
        <v>296</v>
      </c>
      <c r="L267" s="65">
        <v>1165787</v>
      </c>
      <c r="M267" s="64" t="s">
        <v>77</v>
      </c>
      <c r="N267" s="64">
        <v>809096</v>
      </c>
      <c r="O267" s="253" t="s">
        <v>1462</v>
      </c>
      <c r="P267" s="103">
        <v>46056</v>
      </c>
      <c r="Q267" s="103">
        <v>46170</v>
      </c>
      <c r="R267" s="73" t="s">
        <v>211</v>
      </c>
      <c r="S267" s="66" t="s">
        <v>527</v>
      </c>
      <c r="T267" s="67">
        <v>2</v>
      </c>
      <c r="U267" s="75" t="s">
        <v>173</v>
      </c>
      <c r="V267" s="68">
        <v>155</v>
      </c>
      <c r="W267" s="68"/>
      <c r="X267" s="69">
        <v>1</v>
      </c>
      <c r="Y267" s="68"/>
      <c r="Z267" s="68">
        <v>0</v>
      </c>
      <c r="AA267" s="68">
        <v>0</v>
      </c>
      <c r="AB267" s="68">
        <v>0</v>
      </c>
      <c r="AC267" s="68"/>
      <c r="AD267" s="68">
        <v>0</v>
      </c>
      <c r="AE267" s="68">
        <v>0</v>
      </c>
      <c r="AF267" s="68">
        <v>0</v>
      </c>
      <c r="AG267" s="68">
        <v>0</v>
      </c>
      <c r="AH267" s="68">
        <v>0</v>
      </c>
      <c r="AI267" s="68">
        <v>0</v>
      </c>
      <c r="AJ267" s="68">
        <v>1</v>
      </c>
      <c r="AK267" s="68"/>
      <c r="AL267" s="68">
        <v>2</v>
      </c>
      <c r="AM267" s="68"/>
      <c r="AN267" s="68">
        <v>3</v>
      </c>
      <c r="AO267" s="68"/>
      <c r="AP267" s="68">
        <v>2</v>
      </c>
      <c r="AQ267" s="68"/>
      <c r="AR267" s="68">
        <v>0</v>
      </c>
      <c r="AS267" s="68">
        <v>0</v>
      </c>
      <c r="AT267" s="68">
        <v>0</v>
      </c>
      <c r="AU267" s="68">
        <v>0</v>
      </c>
      <c r="AV267" s="68">
        <v>0</v>
      </c>
      <c r="AW267" s="68">
        <v>0</v>
      </c>
      <c r="AX267" s="146">
        <f t="shared" si="40"/>
        <v>12375</v>
      </c>
      <c r="AY267" s="146">
        <f t="shared" si="38"/>
        <v>0</v>
      </c>
      <c r="AZ267" s="64" t="s">
        <v>77</v>
      </c>
      <c r="BA267" s="64" t="s">
        <v>77</v>
      </c>
      <c r="BB267" s="15" t="s">
        <v>77</v>
      </c>
      <c r="BC267" s="74">
        <v>263</v>
      </c>
      <c r="BD267" s="70"/>
      <c r="BE267" s="67"/>
      <c r="BF267" s="71"/>
      <c r="BG267" s="15"/>
      <c r="BH267" s="72" t="s">
        <v>77</v>
      </c>
      <c r="BI267" s="72" t="s">
        <v>77</v>
      </c>
    </row>
    <row r="268" spans="1:705" s="16" customFormat="1" ht="44.1" hidden="1" customHeight="1" x14ac:dyDescent="0.3">
      <c r="A268" s="26">
        <v>264</v>
      </c>
      <c r="B268" s="138">
        <v>241657</v>
      </c>
      <c r="C268" s="138">
        <v>264</v>
      </c>
      <c r="D268" s="139">
        <v>45971</v>
      </c>
      <c r="E268" s="139">
        <f t="shared" si="36"/>
        <v>45970</v>
      </c>
      <c r="F268" s="139">
        <f t="shared" si="41"/>
        <v>45981</v>
      </c>
      <c r="G268" s="139">
        <v>45698</v>
      </c>
      <c r="H268" s="139">
        <v>46083</v>
      </c>
      <c r="I268" s="139" t="s">
        <v>321</v>
      </c>
      <c r="J268" s="140" t="s">
        <v>635</v>
      </c>
      <c r="K268" s="141">
        <f t="shared" si="37"/>
        <v>102</v>
      </c>
      <c r="L268" s="141">
        <v>1165812</v>
      </c>
      <c r="M268" s="140" t="s">
        <v>15</v>
      </c>
      <c r="N268" s="140">
        <v>810949</v>
      </c>
      <c r="O268" s="137" t="s">
        <v>246</v>
      </c>
      <c r="P268" s="143">
        <v>46029</v>
      </c>
      <c r="Q268" s="143">
        <v>46198</v>
      </c>
      <c r="R268" s="185" t="s">
        <v>211</v>
      </c>
      <c r="S268" s="144" t="s">
        <v>636</v>
      </c>
      <c r="T268" s="145">
        <v>1</v>
      </c>
      <c r="U268" s="186" t="s">
        <v>106</v>
      </c>
      <c r="V268" s="146">
        <v>207</v>
      </c>
      <c r="W268" s="146">
        <v>207</v>
      </c>
      <c r="X268" s="147">
        <v>0</v>
      </c>
      <c r="Y268" s="146">
        <v>0</v>
      </c>
      <c r="Z268" s="146">
        <v>0</v>
      </c>
      <c r="AA268" s="146">
        <v>0</v>
      </c>
      <c r="AB268" s="146">
        <v>190</v>
      </c>
      <c r="AC268" s="146">
        <v>190</v>
      </c>
      <c r="AD268" s="146">
        <v>5</v>
      </c>
      <c r="AE268" s="146">
        <v>5</v>
      </c>
      <c r="AF268" s="146">
        <v>0</v>
      </c>
      <c r="AG268" s="146">
        <v>0</v>
      </c>
      <c r="AH268" s="146">
        <v>0</v>
      </c>
      <c r="AI268" s="146">
        <v>0</v>
      </c>
      <c r="AJ268" s="146">
        <v>1</v>
      </c>
      <c r="AK268" s="146">
        <v>1</v>
      </c>
      <c r="AL268" s="146">
        <v>1</v>
      </c>
      <c r="AM268" s="146">
        <v>1</v>
      </c>
      <c r="AN268" s="146">
        <v>1</v>
      </c>
      <c r="AO268" s="146">
        <v>1</v>
      </c>
      <c r="AP268" s="146">
        <v>0</v>
      </c>
      <c r="AQ268" s="146"/>
      <c r="AR268" s="146">
        <v>0</v>
      </c>
      <c r="AS268" s="146">
        <v>0</v>
      </c>
      <c r="AT268" s="146">
        <v>0</v>
      </c>
      <c r="AU268" s="146"/>
      <c r="AV268" s="146">
        <v>0</v>
      </c>
      <c r="AW268" s="146">
        <v>0</v>
      </c>
      <c r="AX268" s="146">
        <f t="shared" si="40"/>
        <v>24650</v>
      </c>
      <c r="AY268" s="146">
        <f t="shared" si="38"/>
        <v>24650</v>
      </c>
      <c r="AZ268" s="140" t="s">
        <v>562</v>
      </c>
      <c r="BA268" s="140" t="s">
        <v>562</v>
      </c>
      <c r="BB268" s="137">
        <v>9</v>
      </c>
      <c r="BC268" s="187">
        <v>264</v>
      </c>
      <c r="BD268" s="149"/>
      <c r="BE268" s="145"/>
      <c r="BF268" s="150"/>
      <c r="BG268" s="188">
        <v>46054</v>
      </c>
      <c r="BH268" s="153" t="s">
        <v>535</v>
      </c>
      <c r="BI268" s="153" t="s">
        <v>562</v>
      </c>
    </row>
    <row r="269" spans="1:705" s="16" customFormat="1" ht="44.1" customHeight="1" x14ac:dyDescent="0.3">
      <c r="A269" s="200">
        <v>265</v>
      </c>
      <c r="B269" s="62">
        <v>241659</v>
      </c>
      <c r="C269" s="62">
        <v>265</v>
      </c>
      <c r="D269" s="63">
        <v>45972</v>
      </c>
      <c r="E269" s="63">
        <f t="shared" si="36"/>
        <v>45971</v>
      </c>
      <c r="F269" s="63">
        <f t="shared" si="41"/>
        <v>45982</v>
      </c>
      <c r="G269" s="63">
        <v>46063</v>
      </c>
      <c r="H269" s="63">
        <f ca="1">TODAY()</f>
        <v>46277</v>
      </c>
      <c r="I269" s="63" t="s">
        <v>349</v>
      </c>
      <c r="J269" s="64" t="s">
        <v>637</v>
      </c>
      <c r="K269" s="65">
        <f t="shared" ca="1" si="37"/>
        <v>295</v>
      </c>
      <c r="L269" s="65">
        <v>1165913</v>
      </c>
      <c r="M269" s="64" t="s">
        <v>77</v>
      </c>
      <c r="N269" s="64">
        <v>808896</v>
      </c>
      <c r="O269" s="253" t="s">
        <v>1462</v>
      </c>
      <c r="P269" s="103">
        <v>46002</v>
      </c>
      <c r="Q269" s="103">
        <v>46170</v>
      </c>
      <c r="R269" s="73" t="s">
        <v>211</v>
      </c>
      <c r="S269" s="66" t="s">
        <v>638</v>
      </c>
      <c r="T269" s="67">
        <v>1</v>
      </c>
      <c r="U269" s="75" t="s">
        <v>122</v>
      </c>
      <c r="V269" s="68">
        <v>73</v>
      </c>
      <c r="W269" s="68"/>
      <c r="X269" s="69">
        <v>1</v>
      </c>
      <c r="Y269" s="68"/>
      <c r="Z269" s="68">
        <v>0</v>
      </c>
      <c r="AA269" s="68">
        <v>0</v>
      </c>
      <c r="AB269" s="68">
        <v>0</v>
      </c>
      <c r="AC269" s="68"/>
      <c r="AD269" s="68">
        <v>0</v>
      </c>
      <c r="AE269" s="68">
        <v>0</v>
      </c>
      <c r="AF269" s="68">
        <v>0</v>
      </c>
      <c r="AG269" s="68">
        <v>0</v>
      </c>
      <c r="AH269" s="68">
        <v>1</v>
      </c>
      <c r="AI269" s="68"/>
      <c r="AJ269" s="68">
        <v>0</v>
      </c>
      <c r="AK269" s="68">
        <v>0</v>
      </c>
      <c r="AL269" s="68">
        <v>1</v>
      </c>
      <c r="AM269" s="68"/>
      <c r="AN269" s="68">
        <v>2</v>
      </c>
      <c r="AO269" s="68"/>
      <c r="AP269" s="68">
        <v>1</v>
      </c>
      <c r="AQ269" s="68"/>
      <c r="AR269" s="68">
        <v>0</v>
      </c>
      <c r="AS269" s="68">
        <v>0</v>
      </c>
      <c r="AT269" s="68">
        <v>0</v>
      </c>
      <c r="AU269" s="68">
        <v>0</v>
      </c>
      <c r="AV269" s="68">
        <v>0</v>
      </c>
      <c r="AW269" s="68">
        <v>0</v>
      </c>
      <c r="AX269" s="146">
        <f t="shared" si="40"/>
        <v>5970</v>
      </c>
      <c r="AY269" s="146">
        <f t="shared" si="38"/>
        <v>0</v>
      </c>
      <c r="AZ269" s="64" t="s">
        <v>77</v>
      </c>
      <c r="BA269" s="64" t="s">
        <v>77</v>
      </c>
      <c r="BB269" s="15" t="s">
        <v>77</v>
      </c>
      <c r="BC269" s="74">
        <v>265</v>
      </c>
      <c r="BD269" s="70"/>
      <c r="BE269" s="67"/>
      <c r="BF269" s="71"/>
      <c r="BG269" s="15"/>
      <c r="BH269" s="72" t="s">
        <v>77</v>
      </c>
      <c r="BI269" s="72" t="s">
        <v>77</v>
      </c>
    </row>
    <row r="270" spans="1:705" s="182" customFormat="1" ht="44.1" hidden="1" customHeight="1" x14ac:dyDescent="0.3">
      <c r="A270" s="26">
        <v>266</v>
      </c>
      <c r="B270" s="138">
        <v>241662</v>
      </c>
      <c r="C270" s="138">
        <v>266</v>
      </c>
      <c r="D270" s="139">
        <v>45972</v>
      </c>
      <c r="E270" s="139">
        <f t="shared" si="36"/>
        <v>45971</v>
      </c>
      <c r="F270" s="139">
        <f t="shared" si="41"/>
        <v>45982</v>
      </c>
      <c r="G270" s="139">
        <v>46033</v>
      </c>
      <c r="H270" s="139">
        <v>46035</v>
      </c>
      <c r="I270" s="139" t="s">
        <v>123</v>
      </c>
      <c r="J270" s="140" t="s">
        <v>639</v>
      </c>
      <c r="K270" s="141">
        <f t="shared" si="37"/>
        <v>53</v>
      </c>
      <c r="L270" s="141">
        <v>1166000</v>
      </c>
      <c r="M270" s="140" t="s">
        <v>15</v>
      </c>
      <c r="N270" s="140">
        <v>811652</v>
      </c>
      <c r="O270" s="140" t="s">
        <v>246</v>
      </c>
      <c r="P270" s="143">
        <v>46015</v>
      </c>
      <c r="Q270" s="143">
        <v>46191</v>
      </c>
      <c r="R270" s="185" t="s">
        <v>211</v>
      </c>
      <c r="S270" s="144" t="s">
        <v>640</v>
      </c>
      <c r="T270" s="145">
        <v>1</v>
      </c>
      <c r="U270" s="186" t="s">
        <v>162</v>
      </c>
      <c r="V270" s="146">
        <v>71</v>
      </c>
      <c r="W270" s="146">
        <v>71</v>
      </c>
      <c r="X270" s="147">
        <v>0</v>
      </c>
      <c r="Y270" s="146">
        <v>0</v>
      </c>
      <c r="Z270" s="146">
        <v>0</v>
      </c>
      <c r="AA270" s="146">
        <v>0</v>
      </c>
      <c r="AB270" s="146">
        <v>71</v>
      </c>
      <c r="AC270" s="146">
        <v>71</v>
      </c>
      <c r="AD270" s="146">
        <v>0</v>
      </c>
      <c r="AE270" s="146">
        <v>0</v>
      </c>
      <c r="AF270" s="146">
        <v>0</v>
      </c>
      <c r="AG270" s="146">
        <v>0</v>
      </c>
      <c r="AH270" s="146">
        <v>1</v>
      </c>
      <c r="AI270" s="146">
        <v>1</v>
      </c>
      <c r="AJ270" s="146">
        <v>0</v>
      </c>
      <c r="AK270" s="146">
        <v>0</v>
      </c>
      <c r="AL270" s="146">
        <v>1</v>
      </c>
      <c r="AM270" s="146">
        <v>1</v>
      </c>
      <c r="AN270" s="146">
        <v>3</v>
      </c>
      <c r="AO270" s="146">
        <v>3</v>
      </c>
      <c r="AP270" s="146">
        <v>4</v>
      </c>
      <c r="AQ270" s="146">
        <v>4</v>
      </c>
      <c r="AR270" s="146">
        <v>0</v>
      </c>
      <c r="AS270" s="146">
        <v>0</v>
      </c>
      <c r="AT270" s="146">
        <v>1</v>
      </c>
      <c r="AU270" s="146">
        <v>1</v>
      </c>
      <c r="AV270" s="146">
        <v>0</v>
      </c>
      <c r="AW270" s="146">
        <v>0</v>
      </c>
      <c r="AX270" s="146">
        <f t="shared" si="40"/>
        <v>12117</v>
      </c>
      <c r="AY270" s="146">
        <f t="shared" si="38"/>
        <v>12117</v>
      </c>
      <c r="AZ270" s="140" t="s">
        <v>562</v>
      </c>
      <c r="BA270" s="140" t="s">
        <v>562</v>
      </c>
      <c r="BB270" s="137">
        <v>8</v>
      </c>
      <c r="BC270" s="187">
        <v>266</v>
      </c>
      <c r="BD270" s="149"/>
      <c r="BE270" s="145"/>
      <c r="BF270" s="150"/>
      <c r="BG270" s="188">
        <v>46023</v>
      </c>
      <c r="BH270" s="153" t="s">
        <v>535</v>
      </c>
      <c r="BI270" s="153" t="s">
        <v>562</v>
      </c>
      <c r="BJ270" s="16"/>
      <c r="BK270" s="16"/>
      <c r="BL270" s="16"/>
      <c r="BM270" s="16"/>
      <c r="BN270" s="16"/>
      <c r="BO270" s="16"/>
      <c r="BP270" s="16"/>
      <c r="BQ270" s="16"/>
      <c r="BR270" s="16"/>
      <c r="BS270" s="16"/>
      <c r="BT270" s="16"/>
      <c r="BU270" s="16"/>
      <c r="BV270" s="16"/>
      <c r="BW270" s="16"/>
      <c r="BX270" s="16"/>
      <c r="BY270" s="16"/>
      <c r="BZ270" s="16"/>
      <c r="CA270" s="16"/>
      <c r="CB270" s="16"/>
      <c r="CC270" s="16"/>
      <c r="CD270" s="16"/>
      <c r="CE270" s="16"/>
      <c r="CF270" s="16"/>
      <c r="CG270" s="16"/>
      <c r="CH270" s="16"/>
      <c r="CI270" s="16"/>
      <c r="CJ270" s="16"/>
      <c r="CK270" s="16"/>
      <c r="CL270" s="16"/>
      <c r="CM270" s="16"/>
      <c r="CN270" s="16"/>
      <c r="CO270" s="16"/>
      <c r="CP270" s="16"/>
      <c r="CQ270" s="16"/>
      <c r="CR270" s="16"/>
      <c r="CS270" s="16"/>
      <c r="CT270" s="16"/>
      <c r="CU270" s="16"/>
      <c r="CV270" s="16"/>
      <c r="CW270" s="16"/>
      <c r="CX270" s="16"/>
      <c r="CY270" s="16"/>
      <c r="CZ270" s="16"/>
      <c r="DA270" s="16"/>
      <c r="DB270" s="16"/>
      <c r="DC270" s="16"/>
      <c r="DD270" s="16"/>
      <c r="DE270" s="16"/>
      <c r="DF270" s="16"/>
      <c r="DG270" s="16"/>
      <c r="DH270" s="16"/>
      <c r="DI270" s="16"/>
      <c r="DJ270" s="16"/>
      <c r="DK270" s="16"/>
      <c r="DL270" s="16"/>
      <c r="DM270" s="16"/>
      <c r="DN270" s="16"/>
      <c r="DO270" s="16"/>
      <c r="DP270" s="16"/>
      <c r="DQ270" s="16"/>
      <c r="DR270" s="16"/>
      <c r="DS270" s="16"/>
      <c r="DT270" s="16"/>
      <c r="DU270" s="16"/>
      <c r="DV270" s="16"/>
      <c r="DW270" s="16"/>
      <c r="DX270" s="16"/>
      <c r="DY270" s="16"/>
      <c r="DZ270" s="16"/>
      <c r="EA270" s="16"/>
      <c r="EB270" s="16"/>
      <c r="EC270" s="16"/>
      <c r="ED270" s="16"/>
      <c r="EE270" s="16"/>
      <c r="EF270" s="16"/>
      <c r="EG270" s="16"/>
      <c r="EH270" s="16"/>
      <c r="EI270" s="16"/>
      <c r="EJ270" s="16"/>
      <c r="EK270" s="16"/>
      <c r="EL270" s="16"/>
      <c r="EM270" s="16"/>
      <c r="EN270" s="16"/>
      <c r="EO270" s="16"/>
      <c r="EP270" s="16"/>
      <c r="EQ270" s="16"/>
      <c r="ER270" s="16"/>
      <c r="ES270" s="16"/>
      <c r="ET270" s="16"/>
      <c r="EU270" s="16"/>
      <c r="EV270" s="16"/>
      <c r="EW270" s="16"/>
      <c r="EX270" s="16"/>
      <c r="EY270" s="16"/>
      <c r="EZ270" s="16"/>
      <c r="FA270" s="16"/>
      <c r="FB270" s="16"/>
      <c r="FC270" s="16"/>
      <c r="FD270" s="16"/>
      <c r="FE270" s="16"/>
      <c r="FF270" s="16"/>
      <c r="FG270" s="16"/>
      <c r="FH270" s="16"/>
      <c r="FI270" s="16"/>
      <c r="FJ270" s="16"/>
      <c r="FK270" s="16"/>
      <c r="FL270" s="16"/>
      <c r="FM270" s="16"/>
      <c r="FN270" s="16"/>
      <c r="FO270" s="16"/>
      <c r="FP270" s="16"/>
      <c r="FQ270" s="16"/>
      <c r="FR270" s="16"/>
      <c r="FS270" s="16"/>
      <c r="FT270" s="16"/>
      <c r="FU270" s="16"/>
      <c r="FV270" s="16"/>
      <c r="FW270" s="16"/>
      <c r="FX270" s="16"/>
      <c r="FY270" s="16"/>
      <c r="FZ270" s="16"/>
      <c r="GA270" s="16"/>
      <c r="GB270" s="16"/>
      <c r="GC270" s="16"/>
      <c r="GD270" s="16"/>
      <c r="GE270" s="16"/>
      <c r="GF270" s="16"/>
      <c r="GG270" s="16"/>
      <c r="GH270" s="16"/>
      <c r="GI270" s="16"/>
      <c r="GJ270" s="16"/>
      <c r="GK270" s="16"/>
      <c r="GL270" s="16"/>
      <c r="GM270" s="16"/>
      <c r="GN270" s="16"/>
      <c r="GO270" s="16"/>
      <c r="GP270" s="16"/>
      <c r="GQ270" s="16"/>
      <c r="GR270" s="16"/>
      <c r="GS270" s="16"/>
      <c r="GT270" s="16"/>
      <c r="GU270" s="16"/>
      <c r="GV270" s="16"/>
      <c r="GW270" s="16"/>
      <c r="GX270" s="16"/>
      <c r="GY270" s="16"/>
      <c r="GZ270" s="16"/>
      <c r="HA270" s="16"/>
      <c r="HB270" s="16"/>
      <c r="HC270" s="16"/>
      <c r="HD270" s="16"/>
      <c r="HE270" s="16"/>
      <c r="HF270" s="16"/>
      <c r="HG270" s="16"/>
      <c r="HH270" s="16"/>
      <c r="HI270" s="16"/>
      <c r="HJ270" s="16"/>
      <c r="HK270" s="16"/>
      <c r="HL270" s="16"/>
      <c r="HM270" s="16"/>
      <c r="HN270" s="16"/>
      <c r="HO270" s="16"/>
      <c r="HP270" s="16"/>
      <c r="HQ270" s="16"/>
      <c r="HR270" s="16"/>
      <c r="HS270" s="16"/>
      <c r="HT270" s="16"/>
      <c r="HU270" s="16"/>
      <c r="HV270" s="16"/>
      <c r="HW270" s="16"/>
      <c r="HX270" s="16"/>
      <c r="HY270" s="16"/>
      <c r="HZ270" s="16"/>
      <c r="IA270" s="16"/>
      <c r="IB270" s="16"/>
      <c r="IC270" s="16"/>
      <c r="ID270" s="16"/>
      <c r="IE270" s="16"/>
      <c r="IF270" s="16"/>
      <c r="IG270" s="16"/>
      <c r="IH270" s="16"/>
      <c r="II270" s="16"/>
      <c r="IJ270" s="16"/>
      <c r="IK270" s="16"/>
      <c r="IL270" s="16"/>
      <c r="IM270" s="16"/>
      <c r="IN270" s="16"/>
      <c r="IO270" s="16"/>
      <c r="IP270" s="16"/>
      <c r="IQ270" s="16"/>
      <c r="IR270" s="16"/>
      <c r="IS270" s="16"/>
      <c r="IT270" s="16"/>
      <c r="IU270" s="16"/>
      <c r="IV270" s="16"/>
      <c r="IW270" s="16"/>
      <c r="IX270" s="16"/>
      <c r="IY270" s="16"/>
      <c r="IZ270" s="16"/>
      <c r="JA270" s="16"/>
      <c r="JB270" s="16"/>
      <c r="JC270" s="16"/>
      <c r="JD270" s="16"/>
      <c r="JE270" s="16"/>
      <c r="JF270" s="16"/>
      <c r="JG270" s="16"/>
      <c r="JH270" s="16"/>
      <c r="JI270" s="16"/>
      <c r="JJ270" s="16"/>
      <c r="JK270" s="16"/>
      <c r="JL270" s="16"/>
      <c r="JM270" s="16"/>
      <c r="JN270" s="16"/>
      <c r="JO270" s="16"/>
      <c r="JP270" s="16"/>
      <c r="JQ270" s="16"/>
      <c r="JR270" s="16"/>
      <c r="JS270" s="16"/>
      <c r="JT270" s="16"/>
      <c r="JU270" s="16"/>
      <c r="JV270" s="16"/>
      <c r="JW270" s="16"/>
      <c r="JX270" s="16"/>
      <c r="JY270" s="16"/>
      <c r="JZ270" s="16"/>
      <c r="KA270" s="16"/>
      <c r="KB270" s="16"/>
      <c r="KC270" s="16"/>
      <c r="KD270" s="16"/>
      <c r="KE270" s="16"/>
      <c r="KF270" s="16"/>
      <c r="KG270" s="16"/>
      <c r="KH270" s="16"/>
      <c r="KI270" s="16"/>
      <c r="KJ270" s="16"/>
      <c r="KK270" s="16"/>
      <c r="KL270" s="16"/>
      <c r="KM270" s="16"/>
      <c r="KN270" s="16"/>
      <c r="KO270" s="16"/>
      <c r="KP270" s="16"/>
      <c r="KQ270" s="16"/>
      <c r="KR270" s="16"/>
      <c r="KS270" s="16"/>
      <c r="KT270" s="16"/>
      <c r="KU270" s="16"/>
      <c r="KV270" s="16"/>
      <c r="KW270" s="16"/>
      <c r="KX270" s="16"/>
      <c r="KY270" s="16"/>
      <c r="KZ270" s="16"/>
      <c r="LA270" s="16"/>
      <c r="LB270" s="16"/>
      <c r="LC270" s="16"/>
      <c r="LD270" s="16"/>
      <c r="LE270" s="16"/>
      <c r="LF270" s="16"/>
      <c r="LG270" s="16"/>
      <c r="LH270" s="16"/>
      <c r="LI270" s="16"/>
      <c r="LJ270" s="16"/>
      <c r="LK270" s="16"/>
      <c r="LL270" s="16"/>
      <c r="LM270" s="16"/>
      <c r="LN270" s="16"/>
      <c r="LO270" s="16"/>
      <c r="LP270" s="16"/>
      <c r="LQ270" s="16"/>
      <c r="LR270" s="16"/>
      <c r="LS270" s="16"/>
      <c r="LT270" s="16"/>
      <c r="LU270" s="16"/>
      <c r="LV270" s="16"/>
      <c r="LW270" s="16"/>
      <c r="LX270" s="16"/>
      <c r="LY270" s="16"/>
      <c r="LZ270" s="16"/>
      <c r="MA270" s="16"/>
      <c r="MB270" s="16"/>
      <c r="MC270" s="16"/>
      <c r="MD270" s="16"/>
      <c r="ME270" s="16"/>
      <c r="MF270" s="16"/>
      <c r="MG270" s="16"/>
      <c r="MH270" s="16"/>
      <c r="MI270" s="16"/>
      <c r="MJ270" s="16"/>
      <c r="MK270" s="16"/>
      <c r="ML270" s="16"/>
      <c r="MM270" s="16"/>
      <c r="MN270" s="16"/>
      <c r="MO270" s="16"/>
      <c r="MP270" s="16"/>
      <c r="MQ270" s="16"/>
      <c r="MR270" s="16"/>
      <c r="MS270" s="16"/>
      <c r="MT270" s="16"/>
      <c r="MU270" s="16"/>
      <c r="MV270" s="16"/>
      <c r="MW270" s="16"/>
      <c r="MX270" s="16"/>
      <c r="MY270" s="16"/>
      <c r="MZ270" s="16"/>
      <c r="NA270" s="16"/>
      <c r="NB270" s="16"/>
      <c r="NC270" s="16"/>
      <c r="ND270" s="16"/>
      <c r="NE270" s="16"/>
      <c r="NF270" s="16"/>
      <c r="NG270" s="16"/>
      <c r="NH270" s="16"/>
      <c r="NI270" s="16"/>
      <c r="NJ270" s="16"/>
      <c r="NK270" s="16"/>
      <c r="NL270" s="16"/>
      <c r="NM270" s="16"/>
      <c r="NN270" s="16"/>
      <c r="NO270" s="16"/>
      <c r="NP270" s="16"/>
      <c r="NQ270" s="16"/>
      <c r="NR270" s="16"/>
      <c r="NS270" s="16"/>
      <c r="NT270" s="16"/>
      <c r="NU270" s="16"/>
      <c r="NV270" s="16"/>
      <c r="NW270" s="16"/>
      <c r="NX270" s="16"/>
      <c r="NY270" s="16"/>
      <c r="NZ270" s="16"/>
      <c r="OA270" s="16"/>
      <c r="OB270" s="16"/>
      <c r="OC270" s="16"/>
      <c r="OD270" s="16"/>
      <c r="OE270" s="16"/>
      <c r="OF270" s="16"/>
      <c r="OG270" s="16"/>
      <c r="OH270" s="16"/>
      <c r="OI270" s="16"/>
      <c r="OJ270" s="16"/>
      <c r="OK270" s="16"/>
      <c r="OL270" s="16"/>
      <c r="OM270" s="16"/>
      <c r="ON270" s="16"/>
      <c r="OO270" s="16"/>
      <c r="OP270" s="16"/>
      <c r="OQ270" s="16"/>
      <c r="OR270" s="16"/>
      <c r="OS270" s="16"/>
      <c r="OT270" s="16"/>
      <c r="OU270" s="16"/>
      <c r="OV270" s="16"/>
      <c r="OW270" s="16"/>
      <c r="OX270" s="16"/>
      <c r="OY270" s="16"/>
      <c r="OZ270" s="16"/>
      <c r="PA270" s="16"/>
      <c r="PB270" s="16"/>
      <c r="PC270" s="16"/>
      <c r="PD270" s="16"/>
      <c r="PE270" s="16"/>
      <c r="PF270" s="16"/>
      <c r="PG270" s="16"/>
      <c r="PH270" s="16"/>
      <c r="PI270" s="16"/>
      <c r="PJ270" s="16"/>
      <c r="PK270" s="16"/>
      <c r="PL270" s="16"/>
      <c r="PM270" s="16"/>
      <c r="PN270" s="16"/>
      <c r="PO270" s="16"/>
      <c r="PP270" s="16"/>
      <c r="PQ270" s="16"/>
      <c r="PR270" s="16"/>
      <c r="PS270" s="16"/>
      <c r="PT270" s="16"/>
      <c r="PU270" s="16"/>
      <c r="PV270" s="16"/>
      <c r="PW270" s="16"/>
      <c r="PX270" s="16"/>
      <c r="PY270" s="16"/>
      <c r="PZ270" s="16"/>
      <c r="QA270" s="16"/>
      <c r="QB270" s="16"/>
      <c r="QC270" s="16"/>
      <c r="QD270" s="16"/>
      <c r="QE270" s="16"/>
      <c r="QF270" s="16"/>
      <c r="QG270" s="16"/>
      <c r="QH270" s="16"/>
      <c r="QI270" s="16"/>
      <c r="QJ270" s="16"/>
      <c r="QK270" s="16"/>
      <c r="QL270" s="16"/>
      <c r="QM270" s="16"/>
      <c r="QN270" s="16"/>
      <c r="QO270" s="16"/>
      <c r="QP270" s="16"/>
      <c r="QQ270" s="16"/>
      <c r="QR270" s="16"/>
      <c r="QS270" s="16"/>
      <c r="QT270" s="16"/>
      <c r="QU270" s="16"/>
      <c r="QV270" s="16"/>
      <c r="QW270" s="16"/>
      <c r="QX270" s="16"/>
      <c r="QY270" s="16"/>
      <c r="QZ270" s="16"/>
      <c r="RA270" s="16"/>
      <c r="RB270" s="16"/>
      <c r="RC270" s="16"/>
      <c r="RD270" s="16"/>
      <c r="RE270" s="16"/>
      <c r="RF270" s="16"/>
      <c r="RG270" s="16"/>
      <c r="RH270" s="16"/>
      <c r="RI270" s="16"/>
      <c r="RJ270" s="16"/>
      <c r="RK270" s="16"/>
      <c r="RL270" s="16"/>
      <c r="RM270" s="16"/>
      <c r="RN270" s="16"/>
      <c r="RO270" s="16"/>
      <c r="RP270" s="16"/>
      <c r="RQ270" s="16"/>
      <c r="RR270" s="16"/>
      <c r="RS270" s="16"/>
      <c r="RT270" s="16"/>
      <c r="RU270" s="16"/>
      <c r="RV270" s="16"/>
      <c r="RW270" s="16"/>
      <c r="RX270" s="16"/>
      <c r="RY270" s="16"/>
      <c r="RZ270" s="16"/>
      <c r="SA270" s="16"/>
      <c r="SB270" s="16"/>
      <c r="SC270" s="16"/>
      <c r="SD270" s="16"/>
      <c r="SE270" s="16"/>
      <c r="SF270" s="16"/>
      <c r="SG270" s="16"/>
      <c r="SH270" s="16"/>
      <c r="SI270" s="16"/>
      <c r="SJ270" s="16"/>
      <c r="SK270" s="16"/>
      <c r="SL270" s="16"/>
      <c r="SM270" s="16"/>
      <c r="SN270" s="16"/>
      <c r="SO270" s="16"/>
      <c r="SP270" s="16"/>
      <c r="SQ270" s="16"/>
      <c r="SR270" s="16"/>
      <c r="SS270" s="16"/>
      <c r="ST270" s="16"/>
      <c r="SU270" s="16"/>
      <c r="SV270" s="16"/>
      <c r="SW270" s="16"/>
      <c r="SX270" s="16"/>
      <c r="SY270" s="16"/>
      <c r="SZ270" s="16"/>
      <c r="TA270" s="16"/>
      <c r="TB270" s="16"/>
      <c r="TC270" s="16"/>
      <c r="TD270" s="16"/>
      <c r="TE270" s="16"/>
      <c r="TF270" s="16"/>
      <c r="TG270" s="16"/>
      <c r="TH270" s="16"/>
      <c r="TI270" s="16"/>
      <c r="TJ270" s="16"/>
      <c r="TK270" s="16"/>
      <c r="TL270" s="16"/>
      <c r="TM270" s="16"/>
      <c r="TN270" s="16"/>
      <c r="TO270" s="16"/>
      <c r="TP270" s="16"/>
      <c r="TQ270" s="16"/>
      <c r="TR270" s="16"/>
      <c r="TS270" s="16"/>
      <c r="TT270" s="16"/>
      <c r="TU270" s="16"/>
      <c r="TV270" s="16"/>
      <c r="TW270" s="16"/>
      <c r="TX270" s="16"/>
      <c r="TY270" s="16"/>
      <c r="TZ270" s="16"/>
      <c r="UA270" s="16"/>
      <c r="UB270" s="16"/>
      <c r="UC270" s="16"/>
      <c r="UD270" s="16"/>
      <c r="UE270" s="16"/>
      <c r="UF270" s="16"/>
      <c r="UG270" s="16"/>
      <c r="UH270" s="16"/>
      <c r="UI270" s="16"/>
      <c r="UJ270" s="16"/>
      <c r="UK270" s="16"/>
      <c r="UL270" s="16"/>
      <c r="UM270" s="16"/>
      <c r="UN270" s="16"/>
      <c r="UO270" s="16"/>
      <c r="UP270" s="16"/>
      <c r="UQ270" s="16"/>
      <c r="UR270" s="16"/>
      <c r="US270" s="16"/>
      <c r="UT270" s="16"/>
      <c r="UU270" s="16"/>
      <c r="UV270" s="16"/>
      <c r="UW270" s="16"/>
      <c r="UX270" s="16"/>
      <c r="UY270" s="16"/>
      <c r="UZ270" s="16"/>
      <c r="VA270" s="16"/>
      <c r="VB270" s="16"/>
      <c r="VC270" s="16"/>
      <c r="VD270" s="16"/>
      <c r="VE270" s="16"/>
      <c r="VF270" s="16"/>
      <c r="VG270" s="16"/>
      <c r="VH270" s="16"/>
      <c r="VI270" s="16"/>
      <c r="VJ270" s="16"/>
      <c r="VK270" s="16"/>
      <c r="VL270" s="16"/>
      <c r="VM270" s="16"/>
      <c r="VN270" s="16"/>
      <c r="VO270" s="16"/>
      <c r="VP270" s="16"/>
      <c r="VQ270" s="16"/>
      <c r="VR270" s="16"/>
      <c r="VS270" s="16"/>
      <c r="VT270" s="16"/>
      <c r="VU270" s="16"/>
      <c r="VV270" s="16"/>
      <c r="VW270" s="16"/>
      <c r="VX270" s="16"/>
      <c r="VY270" s="16"/>
      <c r="VZ270" s="16"/>
      <c r="WA270" s="16"/>
      <c r="WB270" s="16"/>
      <c r="WC270" s="16"/>
      <c r="WD270" s="16"/>
      <c r="WE270" s="16"/>
      <c r="WF270" s="16"/>
      <c r="WG270" s="16"/>
      <c r="WH270" s="16"/>
      <c r="WI270" s="16"/>
      <c r="WJ270" s="16"/>
      <c r="WK270" s="16"/>
      <c r="WL270" s="16"/>
      <c r="WM270" s="16"/>
      <c r="WN270" s="16"/>
      <c r="WO270" s="16"/>
      <c r="WP270" s="16"/>
      <c r="WQ270" s="16"/>
      <c r="WR270" s="16"/>
      <c r="WS270" s="16"/>
      <c r="WT270" s="16"/>
      <c r="WU270" s="16"/>
      <c r="WV270" s="16"/>
      <c r="WW270" s="16"/>
      <c r="WX270" s="16"/>
      <c r="WY270" s="16"/>
      <c r="WZ270" s="16"/>
      <c r="XA270" s="16"/>
      <c r="XB270" s="16"/>
      <c r="XC270" s="16"/>
      <c r="XD270" s="16"/>
      <c r="XE270" s="16"/>
      <c r="XF270" s="16"/>
      <c r="XG270" s="16"/>
      <c r="XH270" s="16"/>
      <c r="XI270" s="16"/>
      <c r="XJ270" s="16"/>
      <c r="XK270" s="16"/>
      <c r="XL270" s="16"/>
      <c r="XM270" s="16"/>
      <c r="XN270" s="16"/>
      <c r="XO270" s="16"/>
      <c r="XP270" s="16"/>
      <c r="XQ270" s="16"/>
      <c r="XR270" s="16"/>
      <c r="XS270" s="16"/>
      <c r="XT270" s="16"/>
      <c r="XU270" s="16"/>
      <c r="XV270" s="16"/>
      <c r="XW270" s="16"/>
      <c r="XX270" s="16"/>
      <c r="XY270" s="16"/>
      <c r="XZ270" s="16"/>
      <c r="YA270" s="16"/>
      <c r="YB270" s="16"/>
      <c r="YC270" s="16"/>
      <c r="YD270" s="16"/>
      <c r="YE270" s="16"/>
      <c r="YF270" s="16"/>
      <c r="YG270" s="16"/>
      <c r="YH270" s="16"/>
      <c r="YI270" s="16"/>
      <c r="YJ270" s="16"/>
      <c r="YK270" s="16"/>
      <c r="YL270" s="16"/>
      <c r="YM270" s="16"/>
      <c r="YN270" s="16"/>
      <c r="YO270" s="16"/>
      <c r="YP270" s="16"/>
      <c r="YQ270" s="16"/>
      <c r="YR270" s="16"/>
      <c r="YS270" s="16"/>
      <c r="YT270" s="16"/>
      <c r="YU270" s="16"/>
      <c r="YV270" s="16"/>
      <c r="YW270" s="16"/>
      <c r="YX270" s="16"/>
      <c r="YY270" s="16"/>
      <c r="YZ270" s="16"/>
      <c r="ZA270" s="16"/>
      <c r="ZB270" s="16"/>
      <c r="ZC270" s="16"/>
      <c r="ZD270" s="16"/>
      <c r="ZE270" s="16"/>
      <c r="ZF270" s="16"/>
      <c r="ZG270" s="16"/>
      <c r="ZH270" s="16"/>
      <c r="ZI270" s="16"/>
      <c r="ZJ270" s="16"/>
      <c r="ZK270" s="16"/>
      <c r="ZL270" s="16"/>
      <c r="ZM270" s="16"/>
      <c r="ZN270" s="16"/>
      <c r="ZO270" s="16"/>
      <c r="ZP270" s="16"/>
      <c r="ZQ270" s="16"/>
      <c r="ZR270" s="16"/>
      <c r="ZS270" s="16"/>
      <c r="ZT270" s="16"/>
      <c r="ZU270" s="16"/>
      <c r="ZV270" s="16"/>
      <c r="ZW270" s="16"/>
      <c r="ZX270" s="16"/>
      <c r="ZY270" s="16"/>
      <c r="ZZ270" s="16"/>
      <c r="AAA270" s="16"/>
      <c r="AAB270" s="16"/>
      <c r="AAC270" s="16"/>
    </row>
    <row r="271" spans="1:705" s="16" customFormat="1" ht="44.1" customHeight="1" x14ac:dyDescent="0.3">
      <c r="A271" s="200">
        <v>267</v>
      </c>
      <c r="B271" s="62">
        <v>241694</v>
      </c>
      <c r="C271" s="62">
        <v>267</v>
      </c>
      <c r="D271" s="63">
        <v>45972</v>
      </c>
      <c r="E271" s="63">
        <f t="shared" si="36"/>
        <v>45971</v>
      </c>
      <c r="F271" s="63">
        <f t="shared" si="41"/>
        <v>45982</v>
      </c>
      <c r="G271" s="63">
        <v>46063</v>
      </c>
      <c r="H271" s="63">
        <f ca="1">TODAY()</f>
        <v>46277</v>
      </c>
      <c r="I271" s="63" t="s">
        <v>349</v>
      </c>
      <c r="J271" s="64" t="s">
        <v>641</v>
      </c>
      <c r="K271" s="65">
        <f t="shared" ca="1" si="37"/>
        <v>295</v>
      </c>
      <c r="L271" s="65">
        <v>1166136</v>
      </c>
      <c r="M271" s="64" t="s">
        <v>77</v>
      </c>
      <c r="N271" s="64">
        <v>808896</v>
      </c>
      <c r="O271" s="253" t="s">
        <v>1462</v>
      </c>
      <c r="P271" s="103">
        <v>46002</v>
      </c>
      <c r="Q271" s="103">
        <v>46170</v>
      </c>
      <c r="R271" s="73" t="s">
        <v>211</v>
      </c>
      <c r="S271" s="66" t="s">
        <v>642</v>
      </c>
      <c r="T271" s="67">
        <v>1</v>
      </c>
      <c r="U271" s="75" t="s">
        <v>122</v>
      </c>
      <c r="V271" s="68">
        <v>77</v>
      </c>
      <c r="W271" s="68"/>
      <c r="X271" s="69">
        <v>1</v>
      </c>
      <c r="Y271" s="68"/>
      <c r="Z271" s="68">
        <v>0</v>
      </c>
      <c r="AA271" s="68">
        <v>0</v>
      </c>
      <c r="AB271" s="68">
        <v>0</v>
      </c>
      <c r="AC271" s="68"/>
      <c r="AD271" s="68">
        <v>0</v>
      </c>
      <c r="AE271" s="68">
        <v>0</v>
      </c>
      <c r="AF271" s="68">
        <v>0</v>
      </c>
      <c r="AG271" s="68">
        <v>0</v>
      </c>
      <c r="AH271" s="68">
        <v>1</v>
      </c>
      <c r="AI271" s="68"/>
      <c r="AJ271" s="68">
        <v>0</v>
      </c>
      <c r="AK271" s="68">
        <v>0</v>
      </c>
      <c r="AL271" s="68">
        <v>1</v>
      </c>
      <c r="AM271" s="68"/>
      <c r="AN271" s="68">
        <v>6</v>
      </c>
      <c r="AO271" s="68"/>
      <c r="AP271" s="68">
        <v>5</v>
      </c>
      <c r="AQ271" s="68"/>
      <c r="AR271" s="68">
        <v>0</v>
      </c>
      <c r="AS271" s="68">
        <v>0</v>
      </c>
      <c r="AT271" s="68">
        <v>0</v>
      </c>
      <c r="AU271" s="68">
        <v>0</v>
      </c>
      <c r="AV271" s="68">
        <v>0</v>
      </c>
      <c r="AW271" s="68">
        <v>0</v>
      </c>
      <c r="AX271" s="146">
        <f t="shared" si="40"/>
        <v>8970</v>
      </c>
      <c r="AY271" s="146">
        <f t="shared" si="38"/>
        <v>0</v>
      </c>
      <c r="AZ271" s="64" t="s">
        <v>77</v>
      </c>
      <c r="BA271" s="64" t="s">
        <v>77</v>
      </c>
      <c r="BB271" s="15" t="s">
        <v>77</v>
      </c>
      <c r="BC271" s="74">
        <v>267</v>
      </c>
      <c r="BD271" s="70"/>
      <c r="BE271" s="67"/>
      <c r="BF271" s="71"/>
      <c r="BG271" s="15"/>
      <c r="BH271" s="72" t="s">
        <v>77</v>
      </c>
      <c r="BI271" s="72" t="s">
        <v>77</v>
      </c>
    </row>
    <row r="272" spans="1:705" s="16" customFormat="1" ht="44.1" customHeight="1" x14ac:dyDescent="0.3">
      <c r="A272" s="200">
        <v>268</v>
      </c>
      <c r="B272" s="62">
        <v>241713</v>
      </c>
      <c r="C272" s="62">
        <v>268</v>
      </c>
      <c r="D272" s="63">
        <v>45973</v>
      </c>
      <c r="E272" s="63">
        <f t="shared" si="36"/>
        <v>45972</v>
      </c>
      <c r="F272" s="63">
        <f t="shared" si="41"/>
        <v>45983</v>
      </c>
      <c r="G272" s="63">
        <v>46064</v>
      </c>
      <c r="H272" s="63">
        <f ca="1">TODAY()</f>
        <v>46277</v>
      </c>
      <c r="I272" s="63" t="s">
        <v>349</v>
      </c>
      <c r="J272" s="64" t="s">
        <v>643</v>
      </c>
      <c r="K272" s="65">
        <f t="shared" ca="1" si="37"/>
        <v>294</v>
      </c>
      <c r="L272" s="65">
        <v>1166366</v>
      </c>
      <c r="M272" s="64" t="s">
        <v>77</v>
      </c>
      <c r="N272" s="64">
        <v>810030</v>
      </c>
      <c r="O272" s="253" t="s">
        <v>1462</v>
      </c>
      <c r="P272" s="103">
        <v>46015</v>
      </c>
      <c r="Q272" s="103">
        <v>46177</v>
      </c>
      <c r="R272" s="73" t="s">
        <v>211</v>
      </c>
      <c r="S272" s="66" t="s">
        <v>644</v>
      </c>
      <c r="T272" s="67">
        <v>1</v>
      </c>
      <c r="U272" s="75" t="s">
        <v>81</v>
      </c>
      <c r="V272" s="68">
        <v>150</v>
      </c>
      <c r="W272" s="68"/>
      <c r="X272" s="69">
        <v>1</v>
      </c>
      <c r="Y272" s="68"/>
      <c r="Z272" s="68">
        <v>0</v>
      </c>
      <c r="AA272" s="68">
        <v>0</v>
      </c>
      <c r="AB272" s="68">
        <v>0</v>
      </c>
      <c r="AC272" s="68"/>
      <c r="AD272" s="68">
        <v>0</v>
      </c>
      <c r="AE272" s="68">
        <v>0</v>
      </c>
      <c r="AF272" s="68">
        <v>0</v>
      </c>
      <c r="AG272" s="68">
        <v>0</v>
      </c>
      <c r="AH272" s="68">
        <v>1</v>
      </c>
      <c r="AI272" s="68"/>
      <c r="AJ272" s="68">
        <v>0</v>
      </c>
      <c r="AK272" s="68">
        <v>0</v>
      </c>
      <c r="AL272" s="68">
        <v>4</v>
      </c>
      <c r="AM272" s="68"/>
      <c r="AN272" s="68">
        <v>3</v>
      </c>
      <c r="AO272" s="68"/>
      <c r="AP272" s="68">
        <v>1</v>
      </c>
      <c r="AQ272" s="68"/>
      <c r="AR272" s="68">
        <v>0</v>
      </c>
      <c r="AS272" s="68">
        <v>0</v>
      </c>
      <c r="AT272" s="68">
        <v>0</v>
      </c>
      <c r="AU272" s="68">
        <v>0</v>
      </c>
      <c r="AV272" s="68">
        <v>0</v>
      </c>
      <c r="AW272" s="68">
        <v>0</v>
      </c>
      <c r="AX272" s="146">
        <f t="shared" si="40"/>
        <v>12420</v>
      </c>
      <c r="AY272" s="146">
        <f t="shared" si="38"/>
        <v>0</v>
      </c>
      <c r="AZ272" s="64" t="s">
        <v>77</v>
      </c>
      <c r="BA272" s="64" t="s">
        <v>77</v>
      </c>
      <c r="BB272" s="15" t="s">
        <v>77</v>
      </c>
      <c r="BC272" s="74">
        <v>268</v>
      </c>
      <c r="BD272" s="70"/>
      <c r="BE272" s="67"/>
      <c r="BF272" s="71"/>
      <c r="BG272" s="15"/>
      <c r="BH272" s="72" t="s">
        <v>77</v>
      </c>
      <c r="BI272" s="72" t="s">
        <v>77</v>
      </c>
    </row>
    <row r="273" spans="1:705" s="16" customFormat="1" ht="44.1" hidden="1" customHeight="1" x14ac:dyDescent="0.3">
      <c r="A273" s="200">
        <v>269</v>
      </c>
      <c r="B273" s="138">
        <v>241719</v>
      </c>
      <c r="C273" s="138">
        <v>269</v>
      </c>
      <c r="D273" s="139">
        <v>45973</v>
      </c>
      <c r="E273" s="139">
        <f t="shared" si="36"/>
        <v>45972</v>
      </c>
      <c r="F273" s="139">
        <f t="shared" si="41"/>
        <v>45983</v>
      </c>
      <c r="G273" s="139">
        <v>46064</v>
      </c>
      <c r="H273" s="139">
        <v>46021</v>
      </c>
      <c r="I273" s="139" t="s">
        <v>123</v>
      </c>
      <c r="J273" s="140" t="s">
        <v>645</v>
      </c>
      <c r="K273" s="141">
        <f t="shared" si="37"/>
        <v>38</v>
      </c>
      <c r="L273" s="141">
        <v>1166531</v>
      </c>
      <c r="M273" s="140" t="s">
        <v>15</v>
      </c>
      <c r="N273" s="140">
        <v>809123</v>
      </c>
      <c r="O273" s="140" t="s">
        <v>246</v>
      </c>
      <c r="P273" s="143">
        <v>45992</v>
      </c>
      <c r="Q273" s="143">
        <v>46170</v>
      </c>
      <c r="R273" s="185" t="s">
        <v>211</v>
      </c>
      <c r="S273" s="144" t="s">
        <v>646</v>
      </c>
      <c r="T273" s="145">
        <v>1</v>
      </c>
      <c r="U273" s="186" t="s">
        <v>81</v>
      </c>
      <c r="V273" s="146">
        <v>101</v>
      </c>
      <c r="W273" s="146">
        <v>101</v>
      </c>
      <c r="X273" s="147">
        <v>0</v>
      </c>
      <c r="Y273" s="146">
        <v>0</v>
      </c>
      <c r="Z273" s="146">
        <v>0</v>
      </c>
      <c r="AA273" s="146">
        <v>0</v>
      </c>
      <c r="AB273" s="146">
        <v>55</v>
      </c>
      <c r="AC273" s="146">
        <v>55</v>
      </c>
      <c r="AD273" s="146">
        <v>0</v>
      </c>
      <c r="AE273" s="146">
        <v>0</v>
      </c>
      <c r="AF273" s="146">
        <v>0</v>
      </c>
      <c r="AG273" s="146">
        <v>0</v>
      </c>
      <c r="AH273" s="146">
        <v>4</v>
      </c>
      <c r="AI273" s="146">
        <v>4</v>
      </c>
      <c r="AJ273" s="146">
        <v>0</v>
      </c>
      <c r="AK273" s="146">
        <v>0</v>
      </c>
      <c r="AL273" s="146">
        <v>7</v>
      </c>
      <c r="AM273" s="146">
        <v>7</v>
      </c>
      <c r="AN273" s="146">
        <v>7</v>
      </c>
      <c r="AO273" s="146">
        <v>7</v>
      </c>
      <c r="AP273" s="146">
        <v>4</v>
      </c>
      <c r="AQ273" s="146">
        <v>4</v>
      </c>
      <c r="AR273" s="146">
        <v>0</v>
      </c>
      <c r="AS273" s="146">
        <v>0</v>
      </c>
      <c r="AT273" s="146">
        <v>1</v>
      </c>
      <c r="AU273" s="146">
        <v>1</v>
      </c>
      <c r="AV273" s="146">
        <v>0</v>
      </c>
      <c r="AW273" s="146">
        <v>0</v>
      </c>
      <c r="AX273" s="146">
        <f t="shared" si="40"/>
        <v>17295</v>
      </c>
      <c r="AY273" s="146">
        <f t="shared" si="38"/>
        <v>17295</v>
      </c>
      <c r="AZ273" s="140" t="s">
        <v>562</v>
      </c>
      <c r="BA273" s="140" t="s">
        <v>562</v>
      </c>
      <c r="BB273" s="137">
        <v>7</v>
      </c>
      <c r="BC273" s="187">
        <v>269</v>
      </c>
      <c r="BD273" s="149"/>
      <c r="BE273" s="145"/>
      <c r="BF273" s="150"/>
      <c r="BG273" s="188">
        <v>45992</v>
      </c>
      <c r="BH273" s="153" t="s">
        <v>15</v>
      </c>
      <c r="BI273" s="153" t="s">
        <v>562</v>
      </c>
    </row>
    <row r="274" spans="1:705" s="135" customFormat="1" ht="44.1" hidden="1" customHeight="1" x14ac:dyDescent="0.3">
      <c r="A274" s="26">
        <v>270</v>
      </c>
      <c r="B274" s="138">
        <v>241743</v>
      </c>
      <c r="C274" s="138">
        <v>270</v>
      </c>
      <c r="D274" s="139">
        <v>45973</v>
      </c>
      <c r="E274" s="139">
        <f t="shared" si="36"/>
        <v>45972</v>
      </c>
      <c r="F274" s="139">
        <f t="shared" si="41"/>
        <v>45983</v>
      </c>
      <c r="G274" s="139">
        <v>46064</v>
      </c>
      <c r="H274" s="139">
        <v>46050</v>
      </c>
      <c r="I274" s="139" t="s">
        <v>349</v>
      </c>
      <c r="J274" s="140" t="s">
        <v>647</v>
      </c>
      <c r="K274" s="141">
        <f t="shared" si="37"/>
        <v>67</v>
      </c>
      <c r="L274" s="141">
        <v>1166627</v>
      </c>
      <c r="M274" s="140" t="s">
        <v>15</v>
      </c>
      <c r="N274" s="140">
        <v>808891</v>
      </c>
      <c r="O274" s="140" t="s">
        <v>246</v>
      </c>
      <c r="P274" s="143">
        <v>46008</v>
      </c>
      <c r="Q274" s="143">
        <v>46170</v>
      </c>
      <c r="R274" s="185" t="s">
        <v>211</v>
      </c>
      <c r="S274" s="144" t="s">
        <v>648</v>
      </c>
      <c r="T274" s="145">
        <v>1</v>
      </c>
      <c r="U274" s="186" t="s">
        <v>82</v>
      </c>
      <c r="V274" s="146">
        <v>18</v>
      </c>
      <c r="W274" s="146">
        <v>18</v>
      </c>
      <c r="X274" s="147">
        <v>0</v>
      </c>
      <c r="Y274" s="146">
        <v>0</v>
      </c>
      <c r="Z274" s="146">
        <v>0</v>
      </c>
      <c r="AA274" s="146">
        <v>0</v>
      </c>
      <c r="AB274" s="146">
        <v>6</v>
      </c>
      <c r="AC274" s="146">
        <v>6</v>
      </c>
      <c r="AD274" s="146">
        <v>0</v>
      </c>
      <c r="AE274" s="146">
        <v>0</v>
      </c>
      <c r="AF274" s="146">
        <v>0</v>
      </c>
      <c r="AG274" s="146">
        <v>0</v>
      </c>
      <c r="AH274" s="146">
        <v>3</v>
      </c>
      <c r="AI274" s="146">
        <v>3</v>
      </c>
      <c r="AJ274" s="146">
        <v>0</v>
      </c>
      <c r="AK274" s="146"/>
      <c r="AL274" s="146">
        <v>0</v>
      </c>
      <c r="AM274" s="146"/>
      <c r="AN274" s="146">
        <v>3</v>
      </c>
      <c r="AO274" s="146">
        <v>3</v>
      </c>
      <c r="AP274" s="146">
        <v>3</v>
      </c>
      <c r="AQ274" s="146">
        <v>3</v>
      </c>
      <c r="AR274" s="146">
        <v>0</v>
      </c>
      <c r="AS274" s="146">
        <v>0</v>
      </c>
      <c r="AT274" s="146">
        <v>0</v>
      </c>
      <c r="AU274" s="146">
        <v>0</v>
      </c>
      <c r="AV274" s="146">
        <v>0</v>
      </c>
      <c r="AW274" s="146">
        <v>0</v>
      </c>
      <c r="AX274" s="146">
        <f t="shared" si="40"/>
        <v>4002</v>
      </c>
      <c r="AY274" s="146">
        <f t="shared" si="38"/>
        <v>4002</v>
      </c>
      <c r="AZ274" s="140" t="s">
        <v>562</v>
      </c>
      <c r="BA274" s="140" t="s">
        <v>562</v>
      </c>
      <c r="BB274" s="137">
        <v>6</v>
      </c>
      <c r="BC274" s="187">
        <v>270</v>
      </c>
      <c r="BD274" s="149"/>
      <c r="BE274" s="145"/>
      <c r="BF274" s="150"/>
      <c r="BG274" s="188">
        <v>46023</v>
      </c>
      <c r="BH274" s="153" t="s">
        <v>15</v>
      </c>
      <c r="BI274" s="153" t="s">
        <v>562</v>
      </c>
      <c r="BJ274" s="16"/>
      <c r="BK274" s="16"/>
      <c r="BL274" s="16"/>
      <c r="BM274" s="16"/>
      <c r="BN274" s="16"/>
      <c r="BO274" s="16"/>
      <c r="BP274" s="16"/>
      <c r="BQ274" s="16"/>
      <c r="BR274" s="16"/>
      <c r="BS274" s="16"/>
      <c r="BT274" s="16"/>
      <c r="BU274" s="16"/>
      <c r="BV274" s="16"/>
      <c r="BW274" s="16"/>
      <c r="BX274" s="16"/>
      <c r="BY274" s="16"/>
      <c r="BZ274" s="16"/>
      <c r="CA274" s="16"/>
      <c r="CB274" s="16"/>
      <c r="CC274" s="16"/>
      <c r="CD274" s="16"/>
      <c r="CE274" s="16"/>
      <c r="CF274" s="16"/>
      <c r="CG274" s="16"/>
      <c r="CH274" s="16"/>
      <c r="CI274" s="16"/>
      <c r="CJ274" s="16"/>
      <c r="CK274" s="16"/>
      <c r="CL274" s="16"/>
      <c r="CM274" s="16"/>
      <c r="CN274" s="16"/>
      <c r="CO274" s="16"/>
      <c r="CP274" s="16"/>
      <c r="CQ274" s="16"/>
      <c r="CR274" s="16"/>
      <c r="CS274" s="16"/>
      <c r="CT274" s="16"/>
      <c r="CU274" s="16"/>
      <c r="CV274" s="16"/>
      <c r="CW274" s="16"/>
      <c r="CX274" s="16"/>
      <c r="CY274" s="16"/>
      <c r="CZ274" s="16"/>
      <c r="DA274" s="16"/>
      <c r="DB274" s="16"/>
      <c r="DC274" s="16"/>
      <c r="DD274" s="16"/>
      <c r="DE274" s="16"/>
      <c r="DF274" s="16"/>
      <c r="DG274" s="16"/>
      <c r="DH274" s="16"/>
      <c r="DI274" s="16"/>
      <c r="DJ274" s="16"/>
      <c r="DK274" s="16"/>
      <c r="DL274" s="16"/>
      <c r="DM274" s="16"/>
      <c r="DN274" s="16"/>
      <c r="DO274" s="16"/>
      <c r="DP274" s="16"/>
      <c r="DQ274" s="16"/>
      <c r="DR274" s="16"/>
      <c r="DS274" s="16"/>
      <c r="DT274" s="16"/>
      <c r="DU274" s="16"/>
      <c r="DV274" s="16"/>
      <c r="DW274" s="16"/>
      <c r="DX274" s="16"/>
      <c r="DY274" s="16"/>
      <c r="DZ274" s="16"/>
      <c r="EA274" s="16"/>
      <c r="EB274" s="16"/>
      <c r="EC274" s="16"/>
      <c r="ED274" s="16"/>
      <c r="EE274" s="16"/>
      <c r="EF274" s="16"/>
      <c r="EG274" s="16"/>
      <c r="EH274" s="16"/>
      <c r="EI274" s="16"/>
      <c r="EJ274" s="16"/>
      <c r="EK274" s="16"/>
      <c r="EL274" s="16"/>
      <c r="EM274" s="16"/>
      <c r="EN274" s="16"/>
      <c r="EO274" s="16"/>
      <c r="EP274" s="16"/>
      <c r="EQ274" s="16"/>
      <c r="ER274" s="16"/>
      <c r="ES274" s="16"/>
      <c r="ET274" s="16"/>
      <c r="EU274" s="16"/>
      <c r="EV274" s="16"/>
      <c r="EW274" s="16"/>
      <c r="EX274" s="16"/>
      <c r="EY274" s="16"/>
      <c r="EZ274" s="16"/>
      <c r="FA274" s="16"/>
      <c r="FB274" s="16"/>
      <c r="FC274" s="16"/>
      <c r="FD274" s="16"/>
      <c r="FE274" s="16"/>
      <c r="FF274" s="16"/>
      <c r="FG274" s="16"/>
      <c r="FH274" s="16"/>
      <c r="FI274" s="16"/>
      <c r="FJ274" s="16"/>
      <c r="FK274" s="16"/>
      <c r="FL274" s="16"/>
      <c r="FM274" s="16"/>
      <c r="FN274" s="16"/>
      <c r="FO274" s="16"/>
      <c r="FP274" s="16"/>
      <c r="FQ274" s="16"/>
      <c r="FR274" s="16"/>
      <c r="FS274" s="16"/>
      <c r="FT274" s="16"/>
      <c r="FU274" s="16"/>
      <c r="FV274" s="16"/>
      <c r="FW274" s="16"/>
      <c r="FX274" s="16"/>
      <c r="FY274" s="16"/>
      <c r="FZ274" s="16"/>
      <c r="GA274" s="16"/>
      <c r="GB274" s="16"/>
      <c r="GC274" s="16"/>
      <c r="GD274" s="16"/>
      <c r="GE274" s="16"/>
      <c r="GF274" s="16"/>
      <c r="GG274" s="16"/>
      <c r="GH274" s="16"/>
      <c r="GI274" s="16"/>
      <c r="GJ274" s="16"/>
      <c r="GK274" s="16"/>
      <c r="GL274" s="16"/>
      <c r="GM274" s="16"/>
      <c r="GN274" s="16"/>
      <c r="GO274" s="16"/>
      <c r="GP274" s="16"/>
      <c r="GQ274" s="16"/>
      <c r="GR274" s="16"/>
      <c r="GS274" s="16"/>
      <c r="GT274" s="16"/>
      <c r="GU274" s="16"/>
      <c r="GV274" s="16"/>
      <c r="GW274" s="16"/>
      <c r="GX274" s="16"/>
      <c r="GY274" s="16"/>
      <c r="GZ274" s="16"/>
      <c r="HA274" s="16"/>
      <c r="HB274" s="16"/>
      <c r="HC274" s="16"/>
      <c r="HD274" s="16"/>
      <c r="HE274" s="16"/>
      <c r="HF274" s="16"/>
      <c r="HG274" s="16"/>
      <c r="HH274" s="16"/>
      <c r="HI274" s="16"/>
      <c r="HJ274" s="16"/>
      <c r="HK274" s="16"/>
      <c r="HL274" s="16"/>
      <c r="HM274" s="16"/>
      <c r="HN274" s="16"/>
      <c r="HO274" s="16"/>
      <c r="HP274" s="16"/>
      <c r="HQ274" s="16"/>
      <c r="HR274" s="16"/>
      <c r="HS274" s="16"/>
      <c r="HT274" s="16"/>
      <c r="HU274" s="16"/>
      <c r="HV274" s="16"/>
      <c r="HW274" s="16"/>
      <c r="HX274" s="16"/>
      <c r="HY274" s="16"/>
      <c r="HZ274" s="16"/>
      <c r="IA274" s="16"/>
      <c r="IB274" s="16"/>
      <c r="IC274" s="16"/>
      <c r="ID274" s="16"/>
      <c r="IE274" s="16"/>
      <c r="IF274" s="16"/>
      <c r="IG274" s="16"/>
      <c r="IH274" s="16"/>
      <c r="II274" s="16"/>
      <c r="IJ274" s="16"/>
      <c r="IK274" s="16"/>
      <c r="IL274" s="16"/>
      <c r="IM274" s="16"/>
      <c r="IN274" s="16"/>
      <c r="IO274" s="16"/>
      <c r="IP274" s="16"/>
      <c r="IQ274" s="16"/>
      <c r="IR274" s="16"/>
      <c r="IS274" s="16"/>
      <c r="IT274" s="16"/>
      <c r="IU274" s="16"/>
      <c r="IV274" s="16"/>
      <c r="IW274" s="16"/>
      <c r="IX274" s="16"/>
      <c r="IY274" s="16"/>
      <c r="IZ274" s="16"/>
      <c r="JA274" s="16"/>
      <c r="JB274" s="16"/>
      <c r="JC274" s="16"/>
      <c r="JD274" s="16"/>
      <c r="JE274" s="16"/>
      <c r="JF274" s="16"/>
      <c r="JG274" s="16"/>
      <c r="JH274" s="16"/>
      <c r="JI274" s="16"/>
      <c r="JJ274" s="16"/>
      <c r="JK274" s="16"/>
      <c r="JL274" s="16"/>
      <c r="JM274" s="16"/>
      <c r="JN274" s="16"/>
      <c r="JO274" s="16"/>
      <c r="JP274" s="16"/>
      <c r="JQ274" s="16"/>
      <c r="JR274" s="16"/>
      <c r="JS274" s="16"/>
      <c r="JT274" s="16"/>
      <c r="JU274" s="16"/>
      <c r="JV274" s="16"/>
      <c r="JW274" s="16"/>
      <c r="JX274" s="16"/>
      <c r="JY274" s="16"/>
      <c r="JZ274" s="16"/>
      <c r="KA274" s="16"/>
      <c r="KB274" s="16"/>
      <c r="KC274" s="16"/>
      <c r="KD274" s="16"/>
      <c r="KE274" s="16"/>
      <c r="KF274" s="16"/>
      <c r="KG274" s="16"/>
      <c r="KH274" s="16"/>
      <c r="KI274" s="16"/>
      <c r="KJ274" s="16"/>
      <c r="KK274" s="16"/>
      <c r="KL274" s="16"/>
      <c r="KM274" s="16"/>
      <c r="KN274" s="16"/>
      <c r="KO274" s="16"/>
      <c r="KP274" s="16"/>
      <c r="KQ274" s="16"/>
      <c r="KR274" s="16"/>
      <c r="KS274" s="16"/>
      <c r="KT274" s="16"/>
      <c r="KU274" s="16"/>
      <c r="KV274" s="16"/>
      <c r="KW274" s="16"/>
      <c r="KX274" s="16"/>
      <c r="KY274" s="16"/>
      <c r="KZ274" s="16"/>
      <c r="LA274" s="16"/>
      <c r="LB274" s="16"/>
      <c r="LC274" s="16"/>
      <c r="LD274" s="16"/>
      <c r="LE274" s="16"/>
      <c r="LF274" s="16"/>
      <c r="LG274" s="16"/>
      <c r="LH274" s="16"/>
      <c r="LI274" s="16"/>
      <c r="LJ274" s="16"/>
      <c r="LK274" s="16"/>
      <c r="LL274" s="16"/>
      <c r="LM274" s="16"/>
      <c r="LN274" s="16"/>
      <c r="LO274" s="16"/>
      <c r="LP274" s="16"/>
      <c r="LQ274" s="16"/>
      <c r="LR274" s="16"/>
      <c r="LS274" s="16"/>
      <c r="LT274" s="16"/>
      <c r="LU274" s="16"/>
      <c r="LV274" s="16"/>
      <c r="LW274" s="16"/>
      <c r="LX274" s="16"/>
      <c r="LY274" s="16"/>
      <c r="LZ274" s="16"/>
      <c r="MA274" s="16"/>
      <c r="MB274" s="16"/>
      <c r="MC274" s="16"/>
      <c r="MD274" s="16"/>
      <c r="ME274" s="16"/>
      <c r="MF274" s="16"/>
      <c r="MG274" s="16"/>
      <c r="MH274" s="16"/>
      <c r="MI274" s="16"/>
      <c r="MJ274" s="16"/>
      <c r="MK274" s="16"/>
      <c r="ML274" s="16"/>
      <c r="MM274" s="16"/>
      <c r="MN274" s="16"/>
      <c r="MO274" s="16"/>
      <c r="MP274" s="16"/>
      <c r="MQ274" s="16"/>
      <c r="MR274" s="16"/>
      <c r="MS274" s="16"/>
      <c r="MT274" s="16"/>
      <c r="MU274" s="16"/>
      <c r="MV274" s="16"/>
      <c r="MW274" s="16"/>
      <c r="MX274" s="16"/>
      <c r="MY274" s="16"/>
      <c r="MZ274" s="16"/>
      <c r="NA274" s="16"/>
      <c r="NB274" s="16"/>
      <c r="NC274" s="16"/>
      <c r="ND274" s="16"/>
      <c r="NE274" s="16"/>
      <c r="NF274" s="16"/>
      <c r="NG274" s="16"/>
      <c r="NH274" s="16"/>
      <c r="NI274" s="16"/>
      <c r="NJ274" s="16"/>
      <c r="NK274" s="16"/>
      <c r="NL274" s="16"/>
      <c r="NM274" s="16"/>
      <c r="NN274" s="16"/>
      <c r="NO274" s="16"/>
      <c r="NP274" s="16"/>
      <c r="NQ274" s="16"/>
      <c r="NR274" s="16"/>
      <c r="NS274" s="16"/>
      <c r="NT274" s="16"/>
      <c r="NU274" s="16"/>
      <c r="NV274" s="16"/>
      <c r="NW274" s="16"/>
      <c r="NX274" s="16"/>
      <c r="NY274" s="16"/>
      <c r="NZ274" s="16"/>
      <c r="OA274" s="16"/>
      <c r="OB274" s="16"/>
      <c r="OC274" s="16"/>
      <c r="OD274" s="16"/>
      <c r="OE274" s="16"/>
      <c r="OF274" s="16"/>
      <c r="OG274" s="16"/>
      <c r="OH274" s="16"/>
      <c r="OI274" s="16"/>
      <c r="OJ274" s="16"/>
      <c r="OK274" s="16"/>
      <c r="OL274" s="16"/>
      <c r="OM274" s="16"/>
      <c r="ON274" s="16"/>
      <c r="OO274" s="16"/>
      <c r="OP274" s="16"/>
      <c r="OQ274" s="16"/>
      <c r="OR274" s="16"/>
      <c r="OS274" s="16"/>
      <c r="OT274" s="16"/>
      <c r="OU274" s="16"/>
      <c r="OV274" s="16"/>
      <c r="OW274" s="16"/>
      <c r="OX274" s="16"/>
      <c r="OY274" s="16"/>
      <c r="OZ274" s="16"/>
      <c r="PA274" s="16"/>
      <c r="PB274" s="16"/>
      <c r="PC274" s="16"/>
      <c r="PD274" s="16"/>
      <c r="PE274" s="16"/>
      <c r="PF274" s="16"/>
      <c r="PG274" s="16"/>
      <c r="PH274" s="16"/>
      <c r="PI274" s="16"/>
      <c r="PJ274" s="16"/>
      <c r="PK274" s="16"/>
      <c r="PL274" s="16"/>
      <c r="PM274" s="16"/>
      <c r="PN274" s="16"/>
      <c r="PO274" s="16"/>
      <c r="PP274" s="16"/>
      <c r="PQ274" s="16"/>
      <c r="PR274" s="16"/>
      <c r="PS274" s="16"/>
      <c r="PT274" s="16"/>
      <c r="PU274" s="16"/>
      <c r="PV274" s="16"/>
      <c r="PW274" s="16"/>
      <c r="PX274" s="16"/>
      <c r="PY274" s="16"/>
      <c r="PZ274" s="16"/>
      <c r="QA274" s="16"/>
      <c r="QB274" s="16"/>
      <c r="QC274" s="16"/>
      <c r="QD274" s="16"/>
      <c r="QE274" s="16"/>
      <c r="QF274" s="16"/>
      <c r="QG274" s="16"/>
      <c r="QH274" s="16"/>
      <c r="QI274" s="16"/>
      <c r="QJ274" s="16"/>
      <c r="QK274" s="16"/>
      <c r="QL274" s="16"/>
      <c r="QM274" s="16"/>
      <c r="QN274" s="16"/>
      <c r="QO274" s="16"/>
      <c r="QP274" s="16"/>
      <c r="QQ274" s="16"/>
      <c r="QR274" s="16"/>
      <c r="QS274" s="16"/>
      <c r="QT274" s="16"/>
      <c r="QU274" s="16"/>
      <c r="QV274" s="16"/>
      <c r="QW274" s="16"/>
      <c r="QX274" s="16"/>
      <c r="QY274" s="16"/>
      <c r="QZ274" s="16"/>
      <c r="RA274" s="16"/>
      <c r="RB274" s="16"/>
      <c r="RC274" s="16"/>
      <c r="RD274" s="16"/>
      <c r="RE274" s="16"/>
      <c r="RF274" s="16"/>
      <c r="RG274" s="16"/>
      <c r="RH274" s="16"/>
      <c r="RI274" s="16"/>
      <c r="RJ274" s="16"/>
      <c r="RK274" s="16"/>
      <c r="RL274" s="16"/>
      <c r="RM274" s="16"/>
      <c r="RN274" s="16"/>
      <c r="RO274" s="16"/>
      <c r="RP274" s="16"/>
      <c r="RQ274" s="16"/>
      <c r="RR274" s="16"/>
      <c r="RS274" s="16"/>
      <c r="RT274" s="16"/>
      <c r="RU274" s="16"/>
      <c r="RV274" s="16"/>
      <c r="RW274" s="16"/>
      <c r="RX274" s="16"/>
      <c r="RY274" s="16"/>
      <c r="RZ274" s="16"/>
      <c r="SA274" s="16"/>
      <c r="SB274" s="16"/>
      <c r="SC274" s="16"/>
      <c r="SD274" s="16"/>
      <c r="SE274" s="16"/>
      <c r="SF274" s="16"/>
      <c r="SG274" s="16"/>
      <c r="SH274" s="16"/>
      <c r="SI274" s="16"/>
      <c r="SJ274" s="16"/>
      <c r="SK274" s="16"/>
      <c r="SL274" s="16"/>
      <c r="SM274" s="16"/>
      <c r="SN274" s="16"/>
      <c r="SO274" s="16"/>
      <c r="SP274" s="16"/>
      <c r="SQ274" s="16"/>
      <c r="SR274" s="16"/>
      <c r="SS274" s="16"/>
      <c r="ST274" s="16"/>
      <c r="SU274" s="16"/>
      <c r="SV274" s="16"/>
      <c r="SW274" s="16"/>
      <c r="SX274" s="16"/>
      <c r="SY274" s="16"/>
      <c r="SZ274" s="16"/>
      <c r="TA274" s="16"/>
      <c r="TB274" s="16"/>
      <c r="TC274" s="16"/>
      <c r="TD274" s="16"/>
      <c r="TE274" s="16"/>
      <c r="TF274" s="16"/>
      <c r="TG274" s="16"/>
      <c r="TH274" s="16"/>
      <c r="TI274" s="16"/>
      <c r="TJ274" s="16"/>
      <c r="TK274" s="16"/>
      <c r="TL274" s="16"/>
      <c r="TM274" s="16"/>
      <c r="TN274" s="16"/>
      <c r="TO274" s="16"/>
      <c r="TP274" s="16"/>
      <c r="TQ274" s="16"/>
      <c r="TR274" s="16"/>
      <c r="TS274" s="16"/>
      <c r="TT274" s="16"/>
      <c r="TU274" s="16"/>
      <c r="TV274" s="16"/>
      <c r="TW274" s="16"/>
      <c r="TX274" s="16"/>
      <c r="TY274" s="16"/>
      <c r="TZ274" s="16"/>
      <c r="UA274" s="16"/>
      <c r="UB274" s="16"/>
      <c r="UC274" s="16"/>
      <c r="UD274" s="16"/>
      <c r="UE274" s="16"/>
      <c r="UF274" s="16"/>
      <c r="UG274" s="16"/>
      <c r="UH274" s="16"/>
      <c r="UI274" s="16"/>
      <c r="UJ274" s="16"/>
      <c r="UK274" s="16"/>
      <c r="UL274" s="16"/>
      <c r="UM274" s="16"/>
      <c r="UN274" s="16"/>
      <c r="UO274" s="16"/>
      <c r="UP274" s="16"/>
      <c r="UQ274" s="16"/>
      <c r="UR274" s="16"/>
      <c r="US274" s="16"/>
      <c r="UT274" s="16"/>
      <c r="UU274" s="16"/>
      <c r="UV274" s="16"/>
      <c r="UW274" s="16"/>
      <c r="UX274" s="16"/>
      <c r="UY274" s="16"/>
      <c r="UZ274" s="16"/>
      <c r="VA274" s="16"/>
      <c r="VB274" s="16"/>
      <c r="VC274" s="16"/>
      <c r="VD274" s="16"/>
      <c r="VE274" s="16"/>
      <c r="VF274" s="16"/>
      <c r="VG274" s="16"/>
      <c r="VH274" s="16"/>
      <c r="VI274" s="16"/>
      <c r="VJ274" s="16"/>
      <c r="VK274" s="16"/>
      <c r="VL274" s="16"/>
      <c r="VM274" s="16"/>
      <c r="VN274" s="16"/>
      <c r="VO274" s="16"/>
      <c r="VP274" s="16"/>
      <c r="VQ274" s="16"/>
      <c r="VR274" s="16"/>
      <c r="VS274" s="16"/>
      <c r="VT274" s="16"/>
      <c r="VU274" s="16"/>
      <c r="VV274" s="16"/>
      <c r="VW274" s="16"/>
      <c r="VX274" s="16"/>
      <c r="VY274" s="16"/>
      <c r="VZ274" s="16"/>
      <c r="WA274" s="16"/>
      <c r="WB274" s="16"/>
      <c r="WC274" s="16"/>
      <c r="WD274" s="16"/>
      <c r="WE274" s="16"/>
      <c r="WF274" s="16"/>
      <c r="WG274" s="16"/>
      <c r="WH274" s="16"/>
      <c r="WI274" s="16"/>
      <c r="WJ274" s="16"/>
      <c r="WK274" s="16"/>
      <c r="WL274" s="16"/>
      <c r="WM274" s="16"/>
      <c r="WN274" s="16"/>
      <c r="WO274" s="16"/>
      <c r="WP274" s="16"/>
      <c r="WQ274" s="16"/>
      <c r="WR274" s="16"/>
      <c r="WS274" s="16"/>
      <c r="WT274" s="16"/>
      <c r="WU274" s="16"/>
      <c r="WV274" s="16"/>
      <c r="WW274" s="16"/>
      <c r="WX274" s="16"/>
      <c r="WY274" s="16"/>
      <c r="WZ274" s="16"/>
      <c r="XA274" s="16"/>
      <c r="XB274" s="16"/>
      <c r="XC274" s="16"/>
      <c r="XD274" s="16"/>
      <c r="XE274" s="16"/>
      <c r="XF274" s="16"/>
      <c r="XG274" s="16"/>
      <c r="XH274" s="16"/>
      <c r="XI274" s="16"/>
      <c r="XJ274" s="16"/>
      <c r="XK274" s="16"/>
      <c r="XL274" s="16"/>
      <c r="XM274" s="16"/>
      <c r="XN274" s="16"/>
      <c r="XO274" s="16"/>
      <c r="XP274" s="16"/>
      <c r="XQ274" s="16"/>
      <c r="XR274" s="16"/>
      <c r="XS274" s="16"/>
      <c r="XT274" s="16"/>
      <c r="XU274" s="16"/>
      <c r="XV274" s="16"/>
      <c r="XW274" s="16"/>
      <c r="XX274" s="16"/>
      <c r="XY274" s="16"/>
      <c r="XZ274" s="16"/>
      <c r="YA274" s="16"/>
      <c r="YB274" s="16"/>
      <c r="YC274" s="16"/>
      <c r="YD274" s="16"/>
      <c r="YE274" s="16"/>
      <c r="YF274" s="16"/>
      <c r="YG274" s="16"/>
      <c r="YH274" s="16"/>
      <c r="YI274" s="16"/>
      <c r="YJ274" s="16"/>
      <c r="YK274" s="16"/>
      <c r="YL274" s="16"/>
      <c r="YM274" s="16"/>
      <c r="YN274" s="16"/>
      <c r="YO274" s="16"/>
      <c r="YP274" s="16"/>
      <c r="YQ274" s="16"/>
      <c r="YR274" s="16"/>
      <c r="YS274" s="16"/>
      <c r="YT274" s="16"/>
      <c r="YU274" s="16"/>
      <c r="YV274" s="16"/>
      <c r="YW274" s="16"/>
      <c r="YX274" s="16"/>
      <c r="YY274" s="16"/>
      <c r="YZ274" s="16"/>
      <c r="ZA274" s="16"/>
      <c r="ZB274" s="16"/>
      <c r="ZC274" s="16"/>
      <c r="ZD274" s="16"/>
      <c r="ZE274" s="16"/>
      <c r="ZF274" s="16"/>
      <c r="ZG274" s="16"/>
      <c r="ZH274" s="16"/>
      <c r="ZI274" s="16"/>
      <c r="ZJ274" s="16"/>
      <c r="ZK274" s="16"/>
      <c r="ZL274" s="16"/>
      <c r="ZM274" s="16"/>
      <c r="ZN274" s="16"/>
      <c r="ZO274" s="16"/>
      <c r="ZP274" s="16"/>
      <c r="ZQ274" s="16"/>
      <c r="ZR274" s="16"/>
      <c r="ZS274" s="16"/>
      <c r="ZT274" s="16"/>
      <c r="ZU274" s="16"/>
      <c r="ZV274" s="16"/>
      <c r="ZW274" s="16"/>
      <c r="ZX274" s="16"/>
      <c r="ZY274" s="16"/>
      <c r="ZZ274" s="16"/>
      <c r="AAA274" s="16"/>
      <c r="AAB274" s="16"/>
      <c r="AAC274" s="16"/>
    </row>
    <row r="275" spans="1:705" s="182" customFormat="1" ht="44.1" hidden="1" customHeight="1" x14ac:dyDescent="0.3">
      <c r="A275" s="26">
        <v>271</v>
      </c>
      <c r="B275" s="138">
        <v>241760</v>
      </c>
      <c r="C275" s="138">
        <v>271</v>
      </c>
      <c r="D275" s="139">
        <v>46058</v>
      </c>
      <c r="E275" s="139">
        <f t="shared" si="36"/>
        <v>46057</v>
      </c>
      <c r="F275" s="139">
        <f t="shared" si="41"/>
        <v>46068</v>
      </c>
      <c r="G275" s="139">
        <v>46147</v>
      </c>
      <c r="H275" s="139">
        <v>46139</v>
      </c>
      <c r="I275" s="139" t="s">
        <v>349</v>
      </c>
      <c r="J275" s="140" t="s">
        <v>649</v>
      </c>
      <c r="K275" s="141">
        <f t="shared" si="37"/>
        <v>71</v>
      </c>
      <c r="L275" s="141">
        <v>1166791</v>
      </c>
      <c r="M275" s="140" t="s">
        <v>15</v>
      </c>
      <c r="N275" s="140" t="s">
        <v>1103</v>
      </c>
      <c r="O275" s="140" t="s">
        <v>246</v>
      </c>
      <c r="P275" s="143">
        <v>46105</v>
      </c>
      <c r="Q275" s="143">
        <v>46144</v>
      </c>
      <c r="R275" s="185" t="s">
        <v>211</v>
      </c>
      <c r="S275" s="144" t="s">
        <v>650</v>
      </c>
      <c r="T275" s="145">
        <v>1</v>
      </c>
      <c r="U275" s="186" t="s">
        <v>162</v>
      </c>
      <c r="V275" s="146">
        <v>44</v>
      </c>
      <c r="W275" s="146">
        <v>44</v>
      </c>
      <c r="X275" s="147">
        <v>32</v>
      </c>
      <c r="Y275" s="146">
        <v>32</v>
      </c>
      <c r="Z275" s="146">
        <v>0</v>
      </c>
      <c r="AA275" s="146">
        <v>0</v>
      </c>
      <c r="AB275" s="146">
        <v>44</v>
      </c>
      <c r="AC275" s="146">
        <v>44</v>
      </c>
      <c r="AD275" s="146">
        <v>0</v>
      </c>
      <c r="AE275" s="146">
        <v>0</v>
      </c>
      <c r="AF275" s="146">
        <v>40</v>
      </c>
      <c r="AG275" s="146">
        <v>40</v>
      </c>
      <c r="AH275" s="146">
        <v>0</v>
      </c>
      <c r="AI275" s="146">
        <v>0</v>
      </c>
      <c r="AJ275" s="146">
        <v>0</v>
      </c>
      <c r="AK275" s="146">
        <v>0</v>
      </c>
      <c r="AL275" s="146">
        <v>1</v>
      </c>
      <c r="AM275" s="146">
        <v>1</v>
      </c>
      <c r="AN275" s="146">
        <v>1</v>
      </c>
      <c r="AO275" s="146">
        <v>1</v>
      </c>
      <c r="AP275" s="146">
        <v>1</v>
      </c>
      <c r="AQ275" s="146">
        <v>1</v>
      </c>
      <c r="AR275" s="146">
        <v>0</v>
      </c>
      <c r="AS275" s="146">
        <v>0</v>
      </c>
      <c r="AT275" s="146">
        <v>0</v>
      </c>
      <c r="AU275" s="146">
        <v>0</v>
      </c>
      <c r="AV275" s="146">
        <v>0</v>
      </c>
      <c r="AW275" s="146">
        <v>0</v>
      </c>
      <c r="AX275" s="146">
        <f t="shared" si="40"/>
        <v>15188</v>
      </c>
      <c r="AY275" s="146">
        <f t="shared" si="38"/>
        <v>15188</v>
      </c>
      <c r="AZ275" s="140" t="s">
        <v>562</v>
      </c>
      <c r="BA275" s="140" t="s">
        <v>562</v>
      </c>
      <c r="BB275" s="137">
        <v>10</v>
      </c>
      <c r="BC275" s="187">
        <v>271</v>
      </c>
      <c r="BD275" s="149"/>
      <c r="BE275" s="145"/>
      <c r="BF275" s="150"/>
      <c r="BG275" s="188">
        <v>46135</v>
      </c>
      <c r="BH275" s="153" t="s">
        <v>535</v>
      </c>
      <c r="BI275" s="153" t="s">
        <v>562</v>
      </c>
      <c r="BJ275" s="16"/>
      <c r="BK275" s="16"/>
      <c r="BL275" s="16"/>
      <c r="BM275" s="16"/>
      <c r="BN275" s="16"/>
      <c r="BO275" s="16"/>
      <c r="BP275" s="16"/>
      <c r="BQ275" s="16"/>
      <c r="BR275" s="16"/>
      <c r="BS275" s="16"/>
      <c r="BT275" s="16"/>
      <c r="BU275" s="16"/>
      <c r="BV275" s="16"/>
      <c r="BW275" s="16"/>
      <c r="BX275" s="16"/>
      <c r="BY275" s="16"/>
      <c r="BZ275" s="16"/>
      <c r="CA275" s="16"/>
      <c r="CB275" s="16"/>
      <c r="CC275" s="16"/>
      <c r="CD275" s="16"/>
      <c r="CE275" s="16"/>
      <c r="CF275" s="16"/>
      <c r="CG275" s="16"/>
      <c r="CH275" s="16"/>
      <c r="CI275" s="16"/>
      <c r="CJ275" s="16"/>
      <c r="CK275" s="16"/>
      <c r="CL275" s="16"/>
      <c r="CM275" s="16"/>
      <c r="CN275" s="16"/>
      <c r="CO275" s="16"/>
      <c r="CP275" s="16"/>
      <c r="CQ275" s="16"/>
      <c r="CR275" s="16"/>
      <c r="CS275" s="16"/>
      <c r="CT275" s="16"/>
      <c r="CU275" s="16"/>
      <c r="CV275" s="16"/>
      <c r="CW275" s="16"/>
      <c r="CX275" s="16"/>
      <c r="CY275" s="16"/>
      <c r="CZ275" s="16"/>
      <c r="DA275" s="16"/>
      <c r="DB275" s="16"/>
      <c r="DC275" s="16"/>
      <c r="DD275" s="16"/>
      <c r="DE275" s="16"/>
      <c r="DF275" s="16"/>
      <c r="DG275" s="16"/>
      <c r="DH275" s="16"/>
      <c r="DI275" s="16"/>
      <c r="DJ275" s="16"/>
      <c r="DK275" s="16"/>
      <c r="DL275" s="16"/>
      <c r="DM275" s="16"/>
      <c r="DN275" s="16"/>
      <c r="DO275" s="16"/>
      <c r="DP275" s="16"/>
      <c r="DQ275" s="16"/>
      <c r="DR275" s="16"/>
      <c r="DS275" s="16"/>
      <c r="DT275" s="16"/>
      <c r="DU275" s="16"/>
      <c r="DV275" s="16"/>
      <c r="DW275" s="16"/>
      <c r="DX275" s="16"/>
      <c r="DY275" s="16"/>
      <c r="DZ275" s="16"/>
      <c r="EA275" s="16"/>
      <c r="EB275" s="16"/>
      <c r="EC275" s="16"/>
      <c r="ED275" s="16"/>
      <c r="EE275" s="16"/>
      <c r="EF275" s="16"/>
      <c r="EG275" s="16"/>
      <c r="EH275" s="16"/>
      <c r="EI275" s="16"/>
      <c r="EJ275" s="16"/>
      <c r="EK275" s="16"/>
      <c r="EL275" s="16"/>
      <c r="EM275" s="16"/>
      <c r="EN275" s="16"/>
      <c r="EO275" s="16"/>
      <c r="EP275" s="16"/>
      <c r="EQ275" s="16"/>
      <c r="ER275" s="16"/>
      <c r="ES275" s="16"/>
      <c r="ET275" s="16"/>
      <c r="EU275" s="16"/>
      <c r="EV275" s="16"/>
      <c r="EW275" s="16"/>
      <c r="EX275" s="16"/>
      <c r="EY275" s="16"/>
      <c r="EZ275" s="16"/>
      <c r="FA275" s="16"/>
      <c r="FB275" s="16"/>
      <c r="FC275" s="16"/>
      <c r="FD275" s="16"/>
      <c r="FE275" s="16"/>
      <c r="FF275" s="16"/>
      <c r="FG275" s="16"/>
      <c r="FH275" s="16"/>
      <c r="FI275" s="16"/>
      <c r="FJ275" s="16"/>
      <c r="FK275" s="16"/>
      <c r="FL275" s="16"/>
      <c r="FM275" s="16"/>
      <c r="FN275" s="16"/>
      <c r="FO275" s="16"/>
      <c r="FP275" s="16"/>
      <c r="FQ275" s="16"/>
      <c r="FR275" s="16"/>
      <c r="FS275" s="16"/>
      <c r="FT275" s="16"/>
      <c r="FU275" s="16"/>
      <c r="FV275" s="16"/>
      <c r="FW275" s="16"/>
      <c r="FX275" s="16"/>
      <c r="FY275" s="16"/>
      <c r="FZ275" s="16"/>
      <c r="GA275" s="16"/>
      <c r="GB275" s="16"/>
      <c r="GC275" s="16"/>
      <c r="GD275" s="16"/>
      <c r="GE275" s="16"/>
      <c r="GF275" s="16"/>
      <c r="GG275" s="16"/>
      <c r="GH275" s="16"/>
      <c r="GI275" s="16"/>
      <c r="GJ275" s="16"/>
      <c r="GK275" s="16"/>
      <c r="GL275" s="16"/>
      <c r="GM275" s="16"/>
      <c r="GN275" s="16"/>
      <c r="GO275" s="16"/>
      <c r="GP275" s="16"/>
      <c r="GQ275" s="16"/>
      <c r="GR275" s="16"/>
      <c r="GS275" s="16"/>
      <c r="GT275" s="16"/>
      <c r="GU275" s="16"/>
      <c r="GV275" s="16"/>
      <c r="GW275" s="16"/>
      <c r="GX275" s="16"/>
      <c r="GY275" s="16"/>
      <c r="GZ275" s="16"/>
      <c r="HA275" s="16"/>
      <c r="HB275" s="16"/>
      <c r="HC275" s="16"/>
      <c r="HD275" s="16"/>
      <c r="HE275" s="16"/>
      <c r="HF275" s="16"/>
      <c r="HG275" s="16"/>
      <c r="HH275" s="16"/>
      <c r="HI275" s="16"/>
      <c r="HJ275" s="16"/>
      <c r="HK275" s="16"/>
      <c r="HL275" s="16"/>
      <c r="HM275" s="16"/>
      <c r="HN275" s="16"/>
      <c r="HO275" s="16"/>
      <c r="HP275" s="16"/>
      <c r="HQ275" s="16"/>
      <c r="HR275" s="16"/>
      <c r="HS275" s="16"/>
      <c r="HT275" s="16"/>
      <c r="HU275" s="16"/>
      <c r="HV275" s="16"/>
      <c r="HW275" s="16"/>
      <c r="HX275" s="16"/>
      <c r="HY275" s="16"/>
      <c r="HZ275" s="16"/>
      <c r="IA275" s="16"/>
      <c r="IB275" s="16"/>
      <c r="IC275" s="16"/>
      <c r="ID275" s="16"/>
      <c r="IE275" s="16"/>
      <c r="IF275" s="16"/>
      <c r="IG275" s="16"/>
      <c r="IH275" s="16"/>
      <c r="II275" s="16"/>
      <c r="IJ275" s="16"/>
      <c r="IK275" s="16"/>
      <c r="IL275" s="16"/>
      <c r="IM275" s="16"/>
      <c r="IN275" s="16"/>
      <c r="IO275" s="16"/>
      <c r="IP275" s="16"/>
      <c r="IQ275" s="16"/>
      <c r="IR275" s="16"/>
      <c r="IS275" s="16"/>
      <c r="IT275" s="16"/>
      <c r="IU275" s="16"/>
      <c r="IV275" s="16"/>
      <c r="IW275" s="16"/>
      <c r="IX275" s="16"/>
      <c r="IY275" s="16"/>
      <c r="IZ275" s="16"/>
      <c r="JA275" s="16"/>
      <c r="JB275" s="16"/>
      <c r="JC275" s="16"/>
      <c r="JD275" s="16"/>
      <c r="JE275" s="16"/>
      <c r="JF275" s="16"/>
      <c r="JG275" s="16"/>
      <c r="JH275" s="16"/>
      <c r="JI275" s="16"/>
      <c r="JJ275" s="16"/>
      <c r="JK275" s="16"/>
      <c r="JL275" s="16"/>
      <c r="JM275" s="16"/>
      <c r="JN275" s="16"/>
      <c r="JO275" s="16"/>
      <c r="JP275" s="16"/>
      <c r="JQ275" s="16"/>
      <c r="JR275" s="16"/>
      <c r="JS275" s="16"/>
      <c r="JT275" s="16"/>
      <c r="JU275" s="16"/>
      <c r="JV275" s="16"/>
      <c r="JW275" s="16"/>
      <c r="JX275" s="16"/>
      <c r="JY275" s="16"/>
      <c r="JZ275" s="16"/>
      <c r="KA275" s="16"/>
      <c r="KB275" s="16"/>
      <c r="KC275" s="16"/>
      <c r="KD275" s="16"/>
      <c r="KE275" s="16"/>
      <c r="KF275" s="16"/>
      <c r="KG275" s="16"/>
      <c r="KH275" s="16"/>
      <c r="KI275" s="16"/>
      <c r="KJ275" s="16"/>
      <c r="KK275" s="16"/>
      <c r="KL275" s="16"/>
      <c r="KM275" s="16"/>
      <c r="KN275" s="16"/>
      <c r="KO275" s="16"/>
      <c r="KP275" s="16"/>
      <c r="KQ275" s="16"/>
      <c r="KR275" s="16"/>
      <c r="KS275" s="16"/>
      <c r="KT275" s="16"/>
      <c r="KU275" s="16"/>
      <c r="KV275" s="16"/>
      <c r="KW275" s="16"/>
      <c r="KX275" s="16"/>
      <c r="KY275" s="16"/>
      <c r="KZ275" s="16"/>
      <c r="LA275" s="16"/>
      <c r="LB275" s="16"/>
      <c r="LC275" s="16"/>
      <c r="LD275" s="16"/>
      <c r="LE275" s="16"/>
      <c r="LF275" s="16"/>
      <c r="LG275" s="16"/>
      <c r="LH275" s="16"/>
      <c r="LI275" s="16"/>
      <c r="LJ275" s="16"/>
      <c r="LK275" s="16"/>
      <c r="LL275" s="16"/>
      <c r="LM275" s="16"/>
      <c r="LN275" s="16"/>
      <c r="LO275" s="16"/>
      <c r="LP275" s="16"/>
      <c r="LQ275" s="16"/>
      <c r="LR275" s="16"/>
      <c r="LS275" s="16"/>
      <c r="LT275" s="16"/>
      <c r="LU275" s="16"/>
      <c r="LV275" s="16"/>
      <c r="LW275" s="16"/>
      <c r="LX275" s="16"/>
      <c r="LY275" s="16"/>
      <c r="LZ275" s="16"/>
      <c r="MA275" s="16"/>
      <c r="MB275" s="16"/>
      <c r="MC275" s="16"/>
      <c r="MD275" s="16"/>
      <c r="ME275" s="16"/>
      <c r="MF275" s="16"/>
      <c r="MG275" s="16"/>
      <c r="MH275" s="16"/>
      <c r="MI275" s="16"/>
      <c r="MJ275" s="16"/>
      <c r="MK275" s="16"/>
      <c r="ML275" s="16"/>
      <c r="MM275" s="16"/>
      <c r="MN275" s="16"/>
      <c r="MO275" s="16"/>
      <c r="MP275" s="16"/>
      <c r="MQ275" s="16"/>
      <c r="MR275" s="16"/>
      <c r="MS275" s="16"/>
      <c r="MT275" s="16"/>
      <c r="MU275" s="16"/>
      <c r="MV275" s="16"/>
      <c r="MW275" s="16"/>
      <c r="MX275" s="16"/>
      <c r="MY275" s="16"/>
      <c r="MZ275" s="16"/>
      <c r="NA275" s="16"/>
      <c r="NB275" s="16"/>
      <c r="NC275" s="16"/>
      <c r="ND275" s="16"/>
      <c r="NE275" s="16"/>
      <c r="NF275" s="16"/>
      <c r="NG275" s="16"/>
      <c r="NH275" s="16"/>
      <c r="NI275" s="16"/>
      <c r="NJ275" s="16"/>
      <c r="NK275" s="16"/>
      <c r="NL275" s="16"/>
      <c r="NM275" s="16"/>
      <c r="NN275" s="16"/>
      <c r="NO275" s="16"/>
      <c r="NP275" s="16"/>
      <c r="NQ275" s="16"/>
      <c r="NR275" s="16"/>
      <c r="NS275" s="16"/>
      <c r="NT275" s="16"/>
      <c r="NU275" s="16"/>
      <c r="NV275" s="16"/>
      <c r="NW275" s="16"/>
      <c r="NX275" s="16"/>
      <c r="NY275" s="16"/>
      <c r="NZ275" s="16"/>
      <c r="OA275" s="16"/>
      <c r="OB275" s="16"/>
      <c r="OC275" s="16"/>
      <c r="OD275" s="16"/>
      <c r="OE275" s="16"/>
      <c r="OF275" s="16"/>
      <c r="OG275" s="16"/>
      <c r="OH275" s="16"/>
      <c r="OI275" s="16"/>
      <c r="OJ275" s="16"/>
      <c r="OK275" s="16"/>
      <c r="OL275" s="16"/>
      <c r="OM275" s="16"/>
      <c r="ON275" s="16"/>
      <c r="OO275" s="16"/>
      <c r="OP275" s="16"/>
      <c r="OQ275" s="16"/>
      <c r="OR275" s="16"/>
      <c r="OS275" s="16"/>
      <c r="OT275" s="16"/>
      <c r="OU275" s="16"/>
      <c r="OV275" s="16"/>
      <c r="OW275" s="16"/>
      <c r="OX275" s="16"/>
      <c r="OY275" s="16"/>
      <c r="OZ275" s="16"/>
      <c r="PA275" s="16"/>
      <c r="PB275" s="16"/>
      <c r="PC275" s="16"/>
      <c r="PD275" s="16"/>
      <c r="PE275" s="16"/>
      <c r="PF275" s="16"/>
      <c r="PG275" s="16"/>
      <c r="PH275" s="16"/>
      <c r="PI275" s="16"/>
      <c r="PJ275" s="16"/>
      <c r="PK275" s="16"/>
      <c r="PL275" s="16"/>
      <c r="PM275" s="16"/>
      <c r="PN275" s="16"/>
      <c r="PO275" s="16"/>
      <c r="PP275" s="16"/>
      <c r="PQ275" s="16"/>
      <c r="PR275" s="16"/>
      <c r="PS275" s="16"/>
      <c r="PT275" s="16"/>
      <c r="PU275" s="16"/>
      <c r="PV275" s="16"/>
      <c r="PW275" s="16"/>
      <c r="PX275" s="16"/>
      <c r="PY275" s="16"/>
      <c r="PZ275" s="16"/>
      <c r="QA275" s="16"/>
      <c r="QB275" s="16"/>
      <c r="QC275" s="16"/>
      <c r="QD275" s="16"/>
      <c r="QE275" s="16"/>
      <c r="QF275" s="16"/>
      <c r="QG275" s="16"/>
      <c r="QH275" s="16"/>
      <c r="QI275" s="16"/>
      <c r="QJ275" s="16"/>
      <c r="QK275" s="16"/>
      <c r="QL275" s="16"/>
      <c r="QM275" s="16"/>
      <c r="QN275" s="16"/>
      <c r="QO275" s="16"/>
      <c r="QP275" s="16"/>
      <c r="QQ275" s="16"/>
      <c r="QR275" s="16"/>
      <c r="QS275" s="16"/>
      <c r="QT275" s="16"/>
      <c r="QU275" s="16"/>
      <c r="QV275" s="16"/>
      <c r="QW275" s="16"/>
      <c r="QX275" s="16"/>
      <c r="QY275" s="16"/>
      <c r="QZ275" s="16"/>
      <c r="RA275" s="16"/>
      <c r="RB275" s="16"/>
      <c r="RC275" s="16"/>
      <c r="RD275" s="16"/>
      <c r="RE275" s="16"/>
      <c r="RF275" s="16"/>
      <c r="RG275" s="16"/>
      <c r="RH275" s="16"/>
      <c r="RI275" s="16"/>
      <c r="RJ275" s="16"/>
      <c r="RK275" s="16"/>
      <c r="RL275" s="16"/>
      <c r="RM275" s="16"/>
      <c r="RN275" s="16"/>
      <c r="RO275" s="16"/>
      <c r="RP275" s="16"/>
      <c r="RQ275" s="16"/>
      <c r="RR275" s="16"/>
      <c r="RS275" s="16"/>
      <c r="RT275" s="16"/>
      <c r="RU275" s="16"/>
      <c r="RV275" s="16"/>
      <c r="RW275" s="16"/>
      <c r="RX275" s="16"/>
      <c r="RY275" s="16"/>
      <c r="RZ275" s="16"/>
      <c r="SA275" s="16"/>
      <c r="SB275" s="16"/>
      <c r="SC275" s="16"/>
      <c r="SD275" s="16"/>
      <c r="SE275" s="16"/>
      <c r="SF275" s="16"/>
      <c r="SG275" s="16"/>
      <c r="SH275" s="16"/>
      <c r="SI275" s="16"/>
      <c r="SJ275" s="16"/>
      <c r="SK275" s="16"/>
      <c r="SL275" s="16"/>
      <c r="SM275" s="16"/>
      <c r="SN275" s="16"/>
      <c r="SO275" s="16"/>
      <c r="SP275" s="16"/>
      <c r="SQ275" s="16"/>
      <c r="SR275" s="16"/>
      <c r="SS275" s="16"/>
      <c r="ST275" s="16"/>
      <c r="SU275" s="16"/>
      <c r="SV275" s="16"/>
      <c r="SW275" s="16"/>
      <c r="SX275" s="16"/>
      <c r="SY275" s="16"/>
      <c r="SZ275" s="16"/>
      <c r="TA275" s="16"/>
      <c r="TB275" s="16"/>
      <c r="TC275" s="16"/>
      <c r="TD275" s="16"/>
      <c r="TE275" s="16"/>
      <c r="TF275" s="16"/>
      <c r="TG275" s="16"/>
      <c r="TH275" s="16"/>
      <c r="TI275" s="16"/>
      <c r="TJ275" s="16"/>
      <c r="TK275" s="16"/>
      <c r="TL275" s="16"/>
      <c r="TM275" s="16"/>
      <c r="TN275" s="16"/>
      <c r="TO275" s="16"/>
      <c r="TP275" s="16"/>
      <c r="TQ275" s="16"/>
      <c r="TR275" s="16"/>
      <c r="TS275" s="16"/>
      <c r="TT275" s="16"/>
      <c r="TU275" s="16"/>
      <c r="TV275" s="16"/>
      <c r="TW275" s="16"/>
      <c r="TX275" s="16"/>
      <c r="TY275" s="16"/>
      <c r="TZ275" s="16"/>
      <c r="UA275" s="16"/>
      <c r="UB275" s="16"/>
      <c r="UC275" s="16"/>
      <c r="UD275" s="16"/>
      <c r="UE275" s="16"/>
      <c r="UF275" s="16"/>
      <c r="UG275" s="16"/>
      <c r="UH275" s="16"/>
      <c r="UI275" s="16"/>
      <c r="UJ275" s="16"/>
      <c r="UK275" s="16"/>
      <c r="UL275" s="16"/>
      <c r="UM275" s="16"/>
      <c r="UN275" s="16"/>
      <c r="UO275" s="16"/>
      <c r="UP275" s="16"/>
      <c r="UQ275" s="16"/>
      <c r="UR275" s="16"/>
      <c r="US275" s="16"/>
      <c r="UT275" s="16"/>
      <c r="UU275" s="16"/>
      <c r="UV275" s="16"/>
      <c r="UW275" s="16"/>
      <c r="UX275" s="16"/>
      <c r="UY275" s="16"/>
      <c r="UZ275" s="16"/>
      <c r="VA275" s="16"/>
      <c r="VB275" s="16"/>
      <c r="VC275" s="16"/>
      <c r="VD275" s="16"/>
      <c r="VE275" s="16"/>
      <c r="VF275" s="16"/>
      <c r="VG275" s="16"/>
      <c r="VH275" s="16"/>
      <c r="VI275" s="16"/>
      <c r="VJ275" s="16"/>
      <c r="VK275" s="16"/>
      <c r="VL275" s="16"/>
      <c r="VM275" s="16"/>
      <c r="VN275" s="16"/>
      <c r="VO275" s="16"/>
      <c r="VP275" s="16"/>
      <c r="VQ275" s="16"/>
      <c r="VR275" s="16"/>
      <c r="VS275" s="16"/>
      <c r="VT275" s="16"/>
      <c r="VU275" s="16"/>
      <c r="VV275" s="16"/>
      <c r="VW275" s="16"/>
      <c r="VX275" s="16"/>
      <c r="VY275" s="16"/>
      <c r="VZ275" s="16"/>
      <c r="WA275" s="16"/>
      <c r="WB275" s="16"/>
      <c r="WC275" s="16"/>
      <c r="WD275" s="16"/>
      <c r="WE275" s="16"/>
      <c r="WF275" s="16"/>
      <c r="WG275" s="16"/>
      <c r="WH275" s="16"/>
      <c r="WI275" s="16"/>
      <c r="WJ275" s="16"/>
      <c r="WK275" s="16"/>
      <c r="WL275" s="16"/>
      <c r="WM275" s="16"/>
      <c r="WN275" s="16"/>
      <c r="WO275" s="16"/>
      <c r="WP275" s="16"/>
      <c r="WQ275" s="16"/>
      <c r="WR275" s="16"/>
      <c r="WS275" s="16"/>
      <c r="WT275" s="16"/>
      <c r="WU275" s="16"/>
      <c r="WV275" s="16"/>
      <c r="WW275" s="16"/>
      <c r="WX275" s="16"/>
      <c r="WY275" s="16"/>
      <c r="WZ275" s="16"/>
      <c r="XA275" s="16"/>
      <c r="XB275" s="16"/>
      <c r="XC275" s="16"/>
      <c r="XD275" s="16"/>
      <c r="XE275" s="16"/>
      <c r="XF275" s="16"/>
      <c r="XG275" s="16"/>
      <c r="XH275" s="16"/>
      <c r="XI275" s="16"/>
      <c r="XJ275" s="16"/>
      <c r="XK275" s="16"/>
      <c r="XL275" s="16"/>
      <c r="XM275" s="16"/>
      <c r="XN275" s="16"/>
      <c r="XO275" s="16"/>
      <c r="XP275" s="16"/>
      <c r="XQ275" s="16"/>
      <c r="XR275" s="16"/>
      <c r="XS275" s="16"/>
      <c r="XT275" s="16"/>
      <c r="XU275" s="16"/>
      <c r="XV275" s="16"/>
      <c r="XW275" s="16"/>
      <c r="XX275" s="16"/>
      <c r="XY275" s="16"/>
      <c r="XZ275" s="16"/>
      <c r="YA275" s="16"/>
      <c r="YB275" s="16"/>
      <c r="YC275" s="16"/>
      <c r="YD275" s="16"/>
      <c r="YE275" s="16"/>
      <c r="YF275" s="16"/>
      <c r="YG275" s="16"/>
      <c r="YH275" s="16"/>
      <c r="YI275" s="16"/>
      <c r="YJ275" s="16"/>
      <c r="YK275" s="16"/>
      <c r="YL275" s="16"/>
      <c r="YM275" s="16"/>
      <c r="YN275" s="16"/>
      <c r="YO275" s="16"/>
      <c r="YP275" s="16"/>
      <c r="YQ275" s="16"/>
      <c r="YR275" s="16"/>
      <c r="YS275" s="16"/>
      <c r="YT275" s="16"/>
      <c r="YU275" s="16"/>
      <c r="YV275" s="16"/>
      <c r="YW275" s="16"/>
      <c r="YX275" s="16"/>
      <c r="YY275" s="16"/>
      <c r="YZ275" s="16"/>
      <c r="ZA275" s="16"/>
      <c r="ZB275" s="16"/>
      <c r="ZC275" s="16"/>
      <c r="ZD275" s="16"/>
      <c r="ZE275" s="16"/>
      <c r="ZF275" s="16"/>
      <c r="ZG275" s="16"/>
      <c r="ZH275" s="16"/>
      <c r="ZI275" s="16"/>
      <c r="ZJ275" s="16"/>
      <c r="ZK275" s="16"/>
      <c r="ZL275" s="16"/>
      <c r="ZM275" s="16"/>
      <c r="ZN275" s="16"/>
      <c r="ZO275" s="16"/>
      <c r="ZP275" s="16"/>
      <c r="ZQ275" s="16"/>
      <c r="ZR275" s="16"/>
      <c r="ZS275" s="16"/>
      <c r="ZT275" s="16"/>
      <c r="ZU275" s="16"/>
      <c r="ZV275" s="16"/>
      <c r="ZW275" s="16"/>
      <c r="ZX275" s="16"/>
      <c r="ZY275" s="16"/>
      <c r="ZZ275" s="16"/>
      <c r="AAA275" s="16"/>
      <c r="AAB275" s="16"/>
      <c r="AAC275" s="16"/>
    </row>
    <row r="276" spans="1:705" s="16" customFormat="1" ht="44.1" hidden="1" customHeight="1" x14ac:dyDescent="0.3">
      <c r="A276" s="200">
        <v>272</v>
      </c>
      <c r="B276" s="138">
        <v>241762</v>
      </c>
      <c r="C276" s="138">
        <v>272</v>
      </c>
      <c r="D276" s="139">
        <v>45973</v>
      </c>
      <c r="E276" s="139">
        <f t="shared" si="36"/>
        <v>45972</v>
      </c>
      <c r="F276" s="139">
        <f t="shared" si="41"/>
        <v>45983</v>
      </c>
      <c r="G276" s="139">
        <v>46065</v>
      </c>
      <c r="H276" s="139">
        <v>46111</v>
      </c>
      <c r="I276" s="139" t="s">
        <v>321</v>
      </c>
      <c r="J276" s="140" t="s">
        <v>651</v>
      </c>
      <c r="K276" s="141">
        <f t="shared" si="37"/>
        <v>128</v>
      </c>
      <c r="L276" s="141">
        <v>1166797</v>
      </c>
      <c r="M276" s="140" t="s">
        <v>15</v>
      </c>
      <c r="N276" s="140" t="s">
        <v>1104</v>
      </c>
      <c r="O276" s="140" t="s">
        <v>246</v>
      </c>
      <c r="P276" s="143">
        <v>46083</v>
      </c>
      <c r="Q276" s="143">
        <v>46261</v>
      </c>
      <c r="R276" s="185" t="s">
        <v>1013</v>
      </c>
      <c r="S276" s="144" t="s">
        <v>652</v>
      </c>
      <c r="T276" s="145">
        <v>2</v>
      </c>
      <c r="U276" s="186" t="s">
        <v>81</v>
      </c>
      <c r="V276" s="146">
        <v>158</v>
      </c>
      <c r="W276" s="146">
        <v>158</v>
      </c>
      <c r="X276" s="147">
        <v>0</v>
      </c>
      <c r="Y276" s="146">
        <v>0</v>
      </c>
      <c r="Z276" s="146">
        <v>0</v>
      </c>
      <c r="AA276" s="146">
        <v>0</v>
      </c>
      <c r="AB276" s="146">
        <v>0</v>
      </c>
      <c r="AC276" s="146">
        <v>0</v>
      </c>
      <c r="AD276" s="146">
        <v>0</v>
      </c>
      <c r="AE276" s="146">
        <v>0</v>
      </c>
      <c r="AF276" s="146">
        <v>0</v>
      </c>
      <c r="AG276" s="146">
        <v>0</v>
      </c>
      <c r="AH276" s="146">
        <v>0</v>
      </c>
      <c r="AI276" s="146">
        <v>0</v>
      </c>
      <c r="AJ276" s="146">
        <v>0</v>
      </c>
      <c r="AK276" s="146">
        <v>0</v>
      </c>
      <c r="AL276" s="146">
        <v>0</v>
      </c>
      <c r="AM276" s="146">
        <v>0</v>
      </c>
      <c r="AN276" s="146">
        <v>1</v>
      </c>
      <c r="AO276" s="146">
        <v>1</v>
      </c>
      <c r="AP276" s="146">
        <v>1</v>
      </c>
      <c r="AQ276" s="146">
        <v>1</v>
      </c>
      <c r="AR276" s="146">
        <v>0</v>
      </c>
      <c r="AS276" s="146">
        <v>0</v>
      </c>
      <c r="AT276" s="146">
        <v>0</v>
      </c>
      <c r="AU276" s="146">
        <v>0</v>
      </c>
      <c r="AV276" s="146">
        <v>0</v>
      </c>
      <c r="AW276" s="146">
        <v>0</v>
      </c>
      <c r="AX276" s="146">
        <f t="shared" si="40"/>
        <v>10170</v>
      </c>
      <c r="AY276" s="146">
        <f t="shared" si="38"/>
        <v>10170</v>
      </c>
      <c r="AZ276" s="140" t="s">
        <v>562</v>
      </c>
      <c r="BA276" s="140" t="s">
        <v>562</v>
      </c>
      <c r="BB276" s="137">
        <v>10</v>
      </c>
      <c r="BC276" s="187">
        <v>272</v>
      </c>
      <c r="BD276" s="149"/>
      <c r="BE276" s="145"/>
      <c r="BF276" s="150"/>
      <c r="BG276" s="188">
        <v>46105</v>
      </c>
      <c r="BH276" s="153" t="s">
        <v>15</v>
      </c>
      <c r="BI276" s="153" t="s">
        <v>562</v>
      </c>
    </row>
    <row r="277" spans="1:705" s="16" customFormat="1" ht="44.1" hidden="1" customHeight="1" x14ac:dyDescent="0.3">
      <c r="A277" s="200">
        <v>273</v>
      </c>
      <c r="B277" s="138">
        <v>241763</v>
      </c>
      <c r="C277" s="138">
        <v>273</v>
      </c>
      <c r="D277" s="139">
        <v>45973</v>
      </c>
      <c r="E277" s="139">
        <f t="shared" si="36"/>
        <v>45972</v>
      </c>
      <c r="F277" s="139">
        <f t="shared" si="41"/>
        <v>45983</v>
      </c>
      <c r="G277" s="139">
        <v>46065</v>
      </c>
      <c r="H277" s="139">
        <v>46021</v>
      </c>
      <c r="I277" s="139" t="s">
        <v>321</v>
      </c>
      <c r="J277" s="140" t="s">
        <v>653</v>
      </c>
      <c r="K277" s="141">
        <f t="shared" si="37"/>
        <v>38</v>
      </c>
      <c r="L277" s="141">
        <v>1166798</v>
      </c>
      <c r="M277" s="140" t="s">
        <v>15</v>
      </c>
      <c r="N277" s="140">
        <v>808892</v>
      </c>
      <c r="O277" s="137" t="s">
        <v>246</v>
      </c>
      <c r="P277" s="143">
        <v>46002</v>
      </c>
      <c r="Q277" s="143">
        <v>46170</v>
      </c>
      <c r="R277" s="185" t="s">
        <v>211</v>
      </c>
      <c r="S277" s="144" t="s">
        <v>654</v>
      </c>
      <c r="T277" s="145">
        <v>1</v>
      </c>
      <c r="U277" s="186" t="s">
        <v>82</v>
      </c>
      <c r="V277" s="146">
        <v>9</v>
      </c>
      <c r="W277" s="146">
        <v>9</v>
      </c>
      <c r="X277" s="147">
        <v>0</v>
      </c>
      <c r="Y277" s="146">
        <v>0</v>
      </c>
      <c r="Z277" s="146">
        <v>0</v>
      </c>
      <c r="AA277" s="146">
        <v>0</v>
      </c>
      <c r="AB277" s="146">
        <v>6</v>
      </c>
      <c r="AC277" s="146">
        <v>6</v>
      </c>
      <c r="AD277" s="146">
        <v>0</v>
      </c>
      <c r="AE277" s="146">
        <v>0</v>
      </c>
      <c r="AF277" s="146">
        <v>0</v>
      </c>
      <c r="AG277" s="146">
        <v>0</v>
      </c>
      <c r="AH277" s="146">
        <v>1</v>
      </c>
      <c r="AI277" s="146">
        <v>1</v>
      </c>
      <c r="AJ277" s="146">
        <v>0</v>
      </c>
      <c r="AK277" s="146">
        <v>0</v>
      </c>
      <c r="AL277" s="146">
        <v>1</v>
      </c>
      <c r="AM277" s="146">
        <v>1</v>
      </c>
      <c r="AN277" s="146">
        <v>1</v>
      </c>
      <c r="AO277" s="146">
        <v>1</v>
      </c>
      <c r="AP277" s="146">
        <v>1</v>
      </c>
      <c r="AQ277" s="146">
        <v>1</v>
      </c>
      <c r="AR277" s="146">
        <v>0</v>
      </c>
      <c r="AS277" s="146">
        <v>0</v>
      </c>
      <c r="AT277" s="146">
        <v>1</v>
      </c>
      <c r="AU277" s="146">
        <v>1</v>
      </c>
      <c r="AV277" s="146">
        <v>0</v>
      </c>
      <c r="AW277" s="146">
        <v>0</v>
      </c>
      <c r="AX277" s="146">
        <f t="shared" si="40"/>
        <v>2682</v>
      </c>
      <c r="AY277" s="146">
        <f t="shared" si="38"/>
        <v>2682</v>
      </c>
      <c r="AZ277" s="140" t="s">
        <v>562</v>
      </c>
      <c r="BA277" s="140" t="s">
        <v>562</v>
      </c>
      <c r="BB277" s="137">
        <v>5</v>
      </c>
      <c r="BC277" s="187">
        <v>273</v>
      </c>
      <c r="BD277" s="149"/>
      <c r="BE277" s="145"/>
      <c r="BF277" s="150"/>
      <c r="BG277" s="188">
        <v>45992</v>
      </c>
      <c r="BH277" s="153" t="s">
        <v>15</v>
      </c>
      <c r="BI277" s="153" t="s">
        <v>562</v>
      </c>
    </row>
    <row r="278" spans="1:705" s="16" customFormat="1" ht="44.1" hidden="1" customHeight="1" x14ac:dyDescent="0.3">
      <c r="A278" s="200">
        <v>274</v>
      </c>
      <c r="B278" s="138">
        <v>241766</v>
      </c>
      <c r="C278" s="138">
        <v>274</v>
      </c>
      <c r="D278" s="139">
        <v>45974</v>
      </c>
      <c r="E278" s="139">
        <f t="shared" si="36"/>
        <v>45973</v>
      </c>
      <c r="F278" s="139">
        <f t="shared" si="41"/>
        <v>45984</v>
      </c>
      <c r="G278" s="139">
        <v>46065</v>
      </c>
      <c r="H278" s="139">
        <f ca="1">TODAY()</f>
        <v>46277</v>
      </c>
      <c r="I278" s="139" t="s">
        <v>349</v>
      </c>
      <c r="J278" s="140" t="s">
        <v>655</v>
      </c>
      <c r="K278" s="141">
        <f t="shared" ca="1" si="37"/>
        <v>293</v>
      </c>
      <c r="L278" s="141">
        <v>1166975</v>
      </c>
      <c r="M278" s="140" t="s">
        <v>15</v>
      </c>
      <c r="N278" s="140">
        <v>808896</v>
      </c>
      <c r="O278" s="140" t="s">
        <v>246</v>
      </c>
      <c r="P278" s="143">
        <v>46002</v>
      </c>
      <c r="Q278" s="143">
        <v>46170</v>
      </c>
      <c r="R278" s="185" t="s">
        <v>211</v>
      </c>
      <c r="S278" s="144" t="s">
        <v>656</v>
      </c>
      <c r="T278" s="145">
        <v>1</v>
      </c>
      <c r="U278" s="186" t="s">
        <v>122</v>
      </c>
      <c r="V278" s="146">
        <v>70</v>
      </c>
      <c r="W278" s="146">
        <v>70</v>
      </c>
      <c r="X278" s="147"/>
      <c r="Y278" s="146"/>
      <c r="Z278" s="146">
        <v>0</v>
      </c>
      <c r="AA278" s="146">
        <v>0</v>
      </c>
      <c r="AB278" s="146">
        <v>5</v>
      </c>
      <c r="AC278" s="146">
        <v>5</v>
      </c>
      <c r="AD278" s="146">
        <v>0</v>
      </c>
      <c r="AE278" s="146">
        <v>0</v>
      </c>
      <c r="AF278" s="146">
        <v>0</v>
      </c>
      <c r="AG278" s="146">
        <v>0</v>
      </c>
      <c r="AH278" s="146">
        <v>4</v>
      </c>
      <c r="AI278" s="146">
        <v>4</v>
      </c>
      <c r="AJ278" s="146">
        <v>0</v>
      </c>
      <c r="AK278" s="146">
        <v>0</v>
      </c>
      <c r="AL278" s="146">
        <v>2</v>
      </c>
      <c r="AM278" s="146">
        <v>2</v>
      </c>
      <c r="AN278" s="146">
        <v>6</v>
      </c>
      <c r="AO278" s="146">
        <v>6</v>
      </c>
      <c r="AP278" s="146">
        <v>5</v>
      </c>
      <c r="AQ278" s="146">
        <v>5</v>
      </c>
      <c r="AR278" s="146">
        <v>0</v>
      </c>
      <c r="AS278" s="146">
        <v>0</v>
      </c>
      <c r="AT278" s="146">
        <v>0</v>
      </c>
      <c r="AU278" s="146">
        <v>0</v>
      </c>
      <c r="AV278" s="146">
        <v>0</v>
      </c>
      <c r="AW278" s="146">
        <v>0</v>
      </c>
      <c r="AX278" s="146">
        <f t="shared" si="40"/>
        <v>9855</v>
      </c>
      <c r="AY278" s="146">
        <f t="shared" si="38"/>
        <v>9855</v>
      </c>
      <c r="AZ278" s="140" t="s">
        <v>562</v>
      </c>
      <c r="BA278" s="140" t="s">
        <v>562</v>
      </c>
      <c r="BB278" s="137">
        <v>6</v>
      </c>
      <c r="BC278" s="187">
        <v>274</v>
      </c>
      <c r="BD278" s="149"/>
      <c r="BE278" s="145"/>
      <c r="BF278" s="150"/>
      <c r="BG278" s="188">
        <v>46023</v>
      </c>
      <c r="BH278" s="153" t="s">
        <v>535</v>
      </c>
      <c r="BI278" s="153" t="s">
        <v>562</v>
      </c>
    </row>
    <row r="279" spans="1:705" s="16" customFormat="1" ht="44.1" customHeight="1" x14ac:dyDescent="0.3">
      <c r="A279" s="200">
        <v>275</v>
      </c>
      <c r="B279" s="62">
        <v>241797</v>
      </c>
      <c r="C279" s="62">
        <v>275</v>
      </c>
      <c r="D279" s="63">
        <v>45974</v>
      </c>
      <c r="E279" s="63">
        <f t="shared" si="36"/>
        <v>45973</v>
      </c>
      <c r="F279" s="63">
        <f t="shared" si="41"/>
        <v>45984</v>
      </c>
      <c r="G279" s="63">
        <v>46065</v>
      </c>
      <c r="H279" s="63">
        <f ca="1">TODAY()</f>
        <v>46277</v>
      </c>
      <c r="I279" s="63" t="s">
        <v>349</v>
      </c>
      <c r="J279" s="64" t="s">
        <v>657</v>
      </c>
      <c r="K279" s="65">
        <f t="shared" ca="1" si="37"/>
        <v>293</v>
      </c>
      <c r="L279" s="65">
        <v>1167110</v>
      </c>
      <c r="M279" s="64" t="s">
        <v>77</v>
      </c>
      <c r="N279" s="64">
        <v>809124</v>
      </c>
      <c r="O279" s="253" t="s">
        <v>1462</v>
      </c>
      <c r="P279" s="103">
        <v>46002</v>
      </c>
      <c r="Q279" s="103">
        <v>46170</v>
      </c>
      <c r="R279" s="73" t="s">
        <v>211</v>
      </c>
      <c r="S279" s="66" t="s">
        <v>658</v>
      </c>
      <c r="T279" s="67">
        <v>1</v>
      </c>
      <c r="U279" s="75" t="s">
        <v>160</v>
      </c>
      <c r="V279" s="68">
        <v>26</v>
      </c>
      <c r="W279" s="68">
        <v>26</v>
      </c>
      <c r="X279" s="69">
        <v>0</v>
      </c>
      <c r="Y279" s="68">
        <v>0</v>
      </c>
      <c r="Z279" s="68">
        <v>0</v>
      </c>
      <c r="AA279" s="68">
        <v>0</v>
      </c>
      <c r="AB279" s="68">
        <v>26</v>
      </c>
      <c r="AC279" s="68">
        <v>26</v>
      </c>
      <c r="AD279" s="68">
        <v>0</v>
      </c>
      <c r="AE279" s="68">
        <v>0</v>
      </c>
      <c r="AF279" s="68">
        <v>0</v>
      </c>
      <c r="AG279" s="68">
        <v>0</v>
      </c>
      <c r="AH279" s="68">
        <v>1</v>
      </c>
      <c r="AI279" s="68">
        <v>1</v>
      </c>
      <c r="AJ279" s="68">
        <v>0</v>
      </c>
      <c r="AK279" s="68">
        <v>0</v>
      </c>
      <c r="AL279" s="68">
        <v>0</v>
      </c>
      <c r="AM279" s="68">
        <v>0</v>
      </c>
      <c r="AN279" s="68">
        <v>2</v>
      </c>
      <c r="AO279" s="68">
        <v>2</v>
      </c>
      <c r="AP279" s="68">
        <v>2</v>
      </c>
      <c r="AQ279" s="68">
        <v>2</v>
      </c>
      <c r="AR279" s="68">
        <v>0</v>
      </c>
      <c r="AS279" s="68">
        <v>0</v>
      </c>
      <c r="AT279" s="68">
        <v>0</v>
      </c>
      <c r="AU279" s="68">
        <v>0</v>
      </c>
      <c r="AV279" s="68">
        <v>0</v>
      </c>
      <c r="AW279" s="68">
        <v>0</v>
      </c>
      <c r="AX279" s="146">
        <f t="shared" si="40"/>
        <v>4592</v>
      </c>
      <c r="AY279" s="146">
        <f t="shared" si="38"/>
        <v>4592</v>
      </c>
      <c r="AZ279" s="64" t="s">
        <v>77</v>
      </c>
      <c r="BA279" s="64" t="s">
        <v>77</v>
      </c>
      <c r="BB279" s="15" t="s">
        <v>77</v>
      </c>
      <c r="BC279" s="74">
        <v>275</v>
      </c>
      <c r="BD279" s="70"/>
      <c r="BE279" s="67"/>
      <c r="BF279" s="71"/>
      <c r="BG279" s="15"/>
      <c r="BH279" s="72" t="s">
        <v>77</v>
      </c>
      <c r="BI279" s="72" t="s">
        <v>77</v>
      </c>
    </row>
    <row r="280" spans="1:705" s="16" customFormat="1" ht="44.1" hidden="1" customHeight="1" x14ac:dyDescent="0.3">
      <c r="A280" s="200">
        <v>276</v>
      </c>
      <c r="B280" s="138">
        <v>241798</v>
      </c>
      <c r="C280" s="138">
        <v>276</v>
      </c>
      <c r="D280" s="139">
        <v>45974</v>
      </c>
      <c r="E280" s="139">
        <f t="shared" si="36"/>
        <v>45973</v>
      </c>
      <c r="F280" s="139">
        <f t="shared" si="41"/>
        <v>45984</v>
      </c>
      <c r="G280" s="139">
        <v>46065</v>
      </c>
      <c r="H280" s="139">
        <v>46043</v>
      </c>
      <c r="I280" s="139" t="s">
        <v>349</v>
      </c>
      <c r="J280" s="140" t="s">
        <v>659</v>
      </c>
      <c r="K280" s="141">
        <f t="shared" si="37"/>
        <v>59</v>
      </c>
      <c r="L280" s="141">
        <v>1167128</v>
      </c>
      <c r="M280" s="140" t="s">
        <v>15</v>
      </c>
      <c r="N280" s="140">
        <v>810030</v>
      </c>
      <c r="O280" s="140" t="s">
        <v>246</v>
      </c>
      <c r="P280" s="143">
        <v>46015</v>
      </c>
      <c r="Q280" s="143">
        <v>46177</v>
      </c>
      <c r="R280" s="185" t="s">
        <v>211</v>
      </c>
      <c r="S280" s="144" t="s">
        <v>660</v>
      </c>
      <c r="T280" s="145">
        <v>1</v>
      </c>
      <c r="U280" s="186" t="s">
        <v>81</v>
      </c>
      <c r="V280" s="146">
        <v>5</v>
      </c>
      <c r="W280" s="146">
        <v>5</v>
      </c>
      <c r="X280" s="147">
        <v>0</v>
      </c>
      <c r="Y280" s="146">
        <v>0</v>
      </c>
      <c r="Z280" s="146">
        <v>0</v>
      </c>
      <c r="AA280" s="146">
        <v>0</v>
      </c>
      <c r="AB280" s="146">
        <v>5</v>
      </c>
      <c r="AC280" s="146">
        <v>5</v>
      </c>
      <c r="AD280" s="146">
        <v>0</v>
      </c>
      <c r="AE280" s="146">
        <v>0</v>
      </c>
      <c r="AF280" s="146">
        <v>0</v>
      </c>
      <c r="AG280" s="146">
        <v>0</v>
      </c>
      <c r="AH280" s="146">
        <v>1</v>
      </c>
      <c r="AI280" s="146">
        <v>1</v>
      </c>
      <c r="AJ280" s="146">
        <v>0</v>
      </c>
      <c r="AK280" s="146"/>
      <c r="AL280" s="146">
        <v>0</v>
      </c>
      <c r="AM280" s="146"/>
      <c r="AN280" s="146">
        <v>1</v>
      </c>
      <c r="AO280" s="146">
        <v>1</v>
      </c>
      <c r="AP280" s="146">
        <v>1</v>
      </c>
      <c r="AQ280" s="146">
        <v>1</v>
      </c>
      <c r="AR280" s="146">
        <v>0</v>
      </c>
      <c r="AS280" s="146">
        <v>0</v>
      </c>
      <c r="AT280" s="146">
        <v>0</v>
      </c>
      <c r="AU280" s="146">
        <v>0</v>
      </c>
      <c r="AV280" s="146">
        <v>0</v>
      </c>
      <c r="AW280" s="146">
        <v>0</v>
      </c>
      <c r="AX280" s="146">
        <f t="shared" si="40"/>
        <v>1445</v>
      </c>
      <c r="AY280" s="146">
        <f t="shared" si="38"/>
        <v>1445</v>
      </c>
      <c r="AZ280" s="140" t="s">
        <v>562</v>
      </c>
      <c r="BA280" s="140" t="s">
        <v>562</v>
      </c>
      <c r="BB280" s="137">
        <v>6</v>
      </c>
      <c r="BC280" s="187">
        <v>276</v>
      </c>
      <c r="BD280" s="149"/>
      <c r="BE280" s="145"/>
      <c r="BF280" s="150"/>
      <c r="BG280" s="188">
        <v>46023</v>
      </c>
      <c r="BH280" s="153" t="s">
        <v>15</v>
      </c>
      <c r="BI280" s="153" t="s">
        <v>562</v>
      </c>
    </row>
    <row r="281" spans="1:705" s="182" customFormat="1" ht="44.1" hidden="1" customHeight="1" x14ac:dyDescent="0.3">
      <c r="A281" s="26">
        <v>277</v>
      </c>
      <c r="B281" s="138">
        <v>241800</v>
      </c>
      <c r="C281" s="138">
        <v>277</v>
      </c>
      <c r="D281" s="139">
        <v>45974</v>
      </c>
      <c r="E281" s="139">
        <f t="shared" si="36"/>
        <v>45973</v>
      </c>
      <c r="F281" s="139">
        <f t="shared" si="41"/>
        <v>45984</v>
      </c>
      <c r="G281" s="139">
        <v>45670</v>
      </c>
      <c r="H281" s="139">
        <v>46030</v>
      </c>
      <c r="I281" s="139" t="s">
        <v>123</v>
      </c>
      <c r="J281" s="140" t="s">
        <v>661</v>
      </c>
      <c r="K281" s="141">
        <f t="shared" ref="K281:K312" si="42">G281-F281</f>
        <v>-314</v>
      </c>
      <c r="L281" s="141">
        <v>1167246</v>
      </c>
      <c r="M281" s="140" t="s">
        <v>15</v>
      </c>
      <c r="N281" s="140">
        <v>809125</v>
      </c>
      <c r="O281" s="137" t="s">
        <v>246</v>
      </c>
      <c r="P281" s="143">
        <v>46006</v>
      </c>
      <c r="Q281" s="143">
        <v>46170</v>
      </c>
      <c r="R281" s="185" t="s">
        <v>211</v>
      </c>
      <c r="S281" s="144" t="s">
        <v>662</v>
      </c>
      <c r="T281" s="145">
        <v>1</v>
      </c>
      <c r="U281" s="186" t="s">
        <v>122</v>
      </c>
      <c r="V281" s="146">
        <v>42</v>
      </c>
      <c r="W281" s="146">
        <v>42</v>
      </c>
      <c r="X281" s="147">
        <v>0</v>
      </c>
      <c r="Y281" s="146">
        <v>0</v>
      </c>
      <c r="Z281" s="146">
        <v>0</v>
      </c>
      <c r="AA281" s="146">
        <v>0</v>
      </c>
      <c r="AB281" s="146">
        <v>42</v>
      </c>
      <c r="AC281" s="146">
        <v>42</v>
      </c>
      <c r="AD281" s="146">
        <v>0</v>
      </c>
      <c r="AE281" s="146">
        <v>0</v>
      </c>
      <c r="AF281" s="146">
        <v>0</v>
      </c>
      <c r="AG281" s="146">
        <v>0</v>
      </c>
      <c r="AH281" s="146">
        <v>1</v>
      </c>
      <c r="AI281" s="146">
        <v>1</v>
      </c>
      <c r="AJ281" s="146">
        <v>0</v>
      </c>
      <c r="AK281" s="146">
        <v>0</v>
      </c>
      <c r="AL281" s="146">
        <v>0</v>
      </c>
      <c r="AM281" s="146"/>
      <c r="AN281" s="146">
        <v>0</v>
      </c>
      <c r="AO281" s="146"/>
      <c r="AP281" s="146">
        <v>1</v>
      </c>
      <c r="AQ281" s="146">
        <v>1</v>
      </c>
      <c r="AR281" s="146">
        <v>0</v>
      </c>
      <c r="AS281" s="146">
        <v>0</v>
      </c>
      <c r="AT281" s="146">
        <v>1</v>
      </c>
      <c r="AU281" s="146">
        <v>1</v>
      </c>
      <c r="AV281" s="146">
        <v>0</v>
      </c>
      <c r="AW281" s="146">
        <v>0</v>
      </c>
      <c r="AX281" s="146">
        <f t="shared" si="40"/>
        <v>6064</v>
      </c>
      <c r="AY281" s="146">
        <f t="shared" si="38"/>
        <v>6064</v>
      </c>
      <c r="AZ281" s="140" t="s">
        <v>562</v>
      </c>
      <c r="BA281" s="140" t="s">
        <v>562</v>
      </c>
      <c r="BB281" s="137">
        <v>6</v>
      </c>
      <c r="BC281" s="187">
        <v>277</v>
      </c>
      <c r="BD281" s="149"/>
      <c r="BE281" s="145"/>
      <c r="BF281" s="150"/>
      <c r="BG281" s="188">
        <v>46023</v>
      </c>
      <c r="BH281" s="153" t="s">
        <v>535</v>
      </c>
      <c r="BI281" s="153" t="s">
        <v>562</v>
      </c>
      <c r="BJ281" s="16"/>
      <c r="BK281" s="16"/>
      <c r="BL281" s="16"/>
      <c r="BM281" s="16"/>
      <c r="BN281" s="16"/>
      <c r="BO281" s="16"/>
      <c r="BP281" s="16"/>
      <c r="BQ281" s="16"/>
      <c r="BR281" s="16"/>
      <c r="BS281" s="16"/>
      <c r="BT281" s="16"/>
      <c r="BU281" s="16"/>
      <c r="BV281" s="16"/>
      <c r="BW281" s="16"/>
      <c r="BX281" s="16"/>
      <c r="BY281" s="16"/>
      <c r="BZ281" s="16"/>
      <c r="CA281" s="16"/>
      <c r="CB281" s="16"/>
      <c r="CC281" s="16"/>
      <c r="CD281" s="16"/>
      <c r="CE281" s="16"/>
      <c r="CF281" s="16"/>
      <c r="CG281" s="16"/>
      <c r="CH281" s="16"/>
      <c r="CI281" s="16"/>
      <c r="CJ281" s="16"/>
      <c r="CK281" s="16"/>
      <c r="CL281" s="16"/>
      <c r="CM281" s="16"/>
      <c r="CN281" s="16"/>
      <c r="CO281" s="16"/>
      <c r="CP281" s="16"/>
      <c r="CQ281" s="16"/>
      <c r="CR281" s="16"/>
      <c r="CS281" s="16"/>
      <c r="CT281" s="16"/>
      <c r="CU281" s="16"/>
      <c r="CV281" s="16"/>
      <c r="CW281" s="16"/>
      <c r="CX281" s="16"/>
      <c r="CY281" s="16"/>
      <c r="CZ281" s="16"/>
      <c r="DA281" s="16"/>
      <c r="DB281" s="16"/>
      <c r="DC281" s="16"/>
      <c r="DD281" s="16"/>
      <c r="DE281" s="16"/>
      <c r="DF281" s="16"/>
      <c r="DG281" s="16"/>
      <c r="DH281" s="16"/>
      <c r="DI281" s="16"/>
      <c r="DJ281" s="16"/>
      <c r="DK281" s="16"/>
      <c r="DL281" s="16"/>
      <c r="DM281" s="16"/>
      <c r="DN281" s="16"/>
      <c r="DO281" s="16"/>
      <c r="DP281" s="16"/>
      <c r="DQ281" s="16"/>
      <c r="DR281" s="16"/>
      <c r="DS281" s="16"/>
      <c r="DT281" s="16"/>
      <c r="DU281" s="16"/>
      <c r="DV281" s="16"/>
      <c r="DW281" s="16"/>
      <c r="DX281" s="16"/>
      <c r="DY281" s="16"/>
      <c r="DZ281" s="16"/>
      <c r="EA281" s="16"/>
      <c r="EB281" s="16"/>
      <c r="EC281" s="16"/>
      <c r="ED281" s="16"/>
      <c r="EE281" s="16"/>
      <c r="EF281" s="16"/>
      <c r="EG281" s="16"/>
      <c r="EH281" s="16"/>
      <c r="EI281" s="16"/>
      <c r="EJ281" s="16"/>
      <c r="EK281" s="16"/>
      <c r="EL281" s="16"/>
      <c r="EM281" s="16"/>
      <c r="EN281" s="16"/>
      <c r="EO281" s="16"/>
      <c r="EP281" s="16"/>
      <c r="EQ281" s="16"/>
      <c r="ER281" s="16"/>
      <c r="ES281" s="16"/>
      <c r="ET281" s="16"/>
      <c r="EU281" s="16"/>
      <c r="EV281" s="16"/>
      <c r="EW281" s="16"/>
      <c r="EX281" s="16"/>
      <c r="EY281" s="16"/>
      <c r="EZ281" s="16"/>
      <c r="FA281" s="16"/>
      <c r="FB281" s="16"/>
      <c r="FC281" s="16"/>
      <c r="FD281" s="16"/>
      <c r="FE281" s="16"/>
      <c r="FF281" s="16"/>
      <c r="FG281" s="16"/>
      <c r="FH281" s="16"/>
      <c r="FI281" s="16"/>
      <c r="FJ281" s="16"/>
      <c r="FK281" s="16"/>
      <c r="FL281" s="16"/>
      <c r="FM281" s="16"/>
      <c r="FN281" s="16"/>
      <c r="FO281" s="16"/>
      <c r="FP281" s="16"/>
      <c r="FQ281" s="16"/>
      <c r="FR281" s="16"/>
      <c r="FS281" s="16"/>
      <c r="FT281" s="16"/>
      <c r="FU281" s="16"/>
      <c r="FV281" s="16"/>
      <c r="FW281" s="16"/>
      <c r="FX281" s="16"/>
      <c r="FY281" s="16"/>
      <c r="FZ281" s="16"/>
      <c r="GA281" s="16"/>
      <c r="GB281" s="16"/>
      <c r="GC281" s="16"/>
      <c r="GD281" s="16"/>
      <c r="GE281" s="16"/>
      <c r="GF281" s="16"/>
      <c r="GG281" s="16"/>
      <c r="GH281" s="16"/>
      <c r="GI281" s="16"/>
      <c r="GJ281" s="16"/>
      <c r="GK281" s="16"/>
      <c r="GL281" s="16"/>
      <c r="GM281" s="16"/>
      <c r="GN281" s="16"/>
      <c r="GO281" s="16"/>
      <c r="GP281" s="16"/>
      <c r="GQ281" s="16"/>
      <c r="GR281" s="16"/>
      <c r="GS281" s="16"/>
      <c r="GT281" s="16"/>
      <c r="GU281" s="16"/>
      <c r="GV281" s="16"/>
      <c r="GW281" s="16"/>
      <c r="GX281" s="16"/>
      <c r="GY281" s="16"/>
      <c r="GZ281" s="16"/>
      <c r="HA281" s="16"/>
      <c r="HB281" s="16"/>
      <c r="HC281" s="16"/>
      <c r="HD281" s="16"/>
      <c r="HE281" s="16"/>
      <c r="HF281" s="16"/>
      <c r="HG281" s="16"/>
      <c r="HH281" s="16"/>
      <c r="HI281" s="16"/>
      <c r="HJ281" s="16"/>
      <c r="HK281" s="16"/>
      <c r="HL281" s="16"/>
      <c r="HM281" s="16"/>
      <c r="HN281" s="16"/>
      <c r="HO281" s="16"/>
      <c r="HP281" s="16"/>
      <c r="HQ281" s="16"/>
      <c r="HR281" s="16"/>
      <c r="HS281" s="16"/>
      <c r="HT281" s="16"/>
      <c r="HU281" s="16"/>
      <c r="HV281" s="16"/>
      <c r="HW281" s="16"/>
      <c r="HX281" s="16"/>
      <c r="HY281" s="16"/>
      <c r="HZ281" s="16"/>
      <c r="IA281" s="16"/>
      <c r="IB281" s="16"/>
      <c r="IC281" s="16"/>
      <c r="ID281" s="16"/>
      <c r="IE281" s="16"/>
      <c r="IF281" s="16"/>
      <c r="IG281" s="16"/>
      <c r="IH281" s="16"/>
      <c r="II281" s="16"/>
      <c r="IJ281" s="16"/>
      <c r="IK281" s="16"/>
      <c r="IL281" s="16"/>
      <c r="IM281" s="16"/>
      <c r="IN281" s="16"/>
      <c r="IO281" s="16"/>
      <c r="IP281" s="16"/>
      <c r="IQ281" s="16"/>
      <c r="IR281" s="16"/>
      <c r="IS281" s="16"/>
      <c r="IT281" s="16"/>
      <c r="IU281" s="16"/>
      <c r="IV281" s="16"/>
      <c r="IW281" s="16"/>
      <c r="IX281" s="16"/>
      <c r="IY281" s="16"/>
      <c r="IZ281" s="16"/>
      <c r="JA281" s="16"/>
      <c r="JB281" s="16"/>
      <c r="JC281" s="16"/>
      <c r="JD281" s="16"/>
      <c r="JE281" s="16"/>
      <c r="JF281" s="16"/>
      <c r="JG281" s="16"/>
      <c r="JH281" s="16"/>
      <c r="JI281" s="16"/>
      <c r="JJ281" s="16"/>
      <c r="JK281" s="16"/>
      <c r="JL281" s="16"/>
      <c r="JM281" s="16"/>
      <c r="JN281" s="16"/>
      <c r="JO281" s="16"/>
      <c r="JP281" s="16"/>
      <c r="JQ281" s="16"/>
      <c r="JR281" s="16"/>
      <c r="JS281" s="16"/>
      <c r="JT281" s="16"/>
      <c r="JU281" s="16"/>
      <c r="JV281" s="16"/>
      <c r="JW281" s="16"/>
      <c r="JX281" s="16"/>
      <c r="JY281" s="16"/>
      <c r="JZ281" s="16"/>
      <c r="KA281" s="16"/>
      <c r="KB281" s="16"/>
      <c r="KC281" s="16"/>
      <c r="KD281" s="16"/>
      <c r="KE281" s="16"/>
      <c r="KF281" s="16"/>
      <c r="KG281" s="16"/>
      <c r="KH281" s="16"/>
      <c r="KI281" s="16"/>
      <c r="KJ281" s="16"/>
      <c r="KK281" s="16"/>
      <c r="KL281" s="16"/>
      <c r="KM281" s="16"/>
      <c r="KN281" s="16"/>
      <c r="KO281" s="16"/>
      <c r="KP281" s="16"/>
      <c r="KQ281" s="16"/>
      <c r="KR281" s="16"/>
      <c r="KS281" s="16"/>
      <c r="KT281" s="16"/>
      <c r="KU281" s="16"/>
      <c r="KV281" s="16"/>
      <c r="KW281" s="16"/>
      <c r="KX281" s="16"/>
      <c r="KY281" s="16"/>
      <c r="KZ281" s="16"/>
      <c r="LA281" s="16"/>
      <c r="LB281" s="16"/>
      <c r="LC281" s="16"/>
      <c r="LD281" s="16"/>
      <c r="LE281" s="16"/>
      <c r="LF281" s="16"/>
      <c r="LG281" s="16"/>
      <c r="LH281" s="16"/>
      <c r="LI281" s="16"/>
      <c r="LJ281" s="16"/>
      <c r="LK281" s="16"/>
      <c r="LL281" s="16"/>
      <c r="LM281" s="16"/>
      <c r="LN281" s="16"/>
      <c r="LO281" s="16"/>
      <c r="LP281" s="16"/>
      <c r="LQ281" s="16"/>
      <c r="LR281" s="16"/>
      <c r="LS281" s="16"/>
      <c r="LT281" s="16"/>
      <c r="LU281" s="16"/>
      <c r="LV281" s="16"/>
      <c r="LW281" s="16"/>
      <c r="LX281" s="16"/>
      <c r="LY281" s="16"/>
      <c r="LZ281" s="16"/>
      <c r="MA281" s="16"/>
      <c r="MB281" s="16"/>
      <c r="MC281" s="16"/>
      <c r="MD281" s="16"/>
      <c r="ME281" s="16"/>
      <c r="MF281" s="16"/>
      <c r="MG281" s="16"/>
      <c r="MH281" s="16"/>
      <c r="MI281" s="16"/>
      <c r="MJ281" s="16"/>
      <c r="MK281" s="16"/>
      <c r="ML281" s="16"/>
      <c r="MM281" s="16"/>
      <c r="MN281" s="16"/>
      <c r="MO281" s="16"/>
      <c r="MP281" s="16"/>
      <c r="MQ281" s="16"/>
      <c r="MR281" s="16"/>
      <c r="MS281" s="16"/>
      <c r="MT281" s="16"/>
      <c r="MU281" s="16"/>
      <c r="MV281" s="16"/>
      <c r="MW281" s="16"/>
      <c r="MX281" s="16"/>
      <c r="MY281" s="16"/>
      <c r="MZ281" s="16"/>
      <c r="NA281" s="16"/>
      <c r="NB281" s="16"/>
      <c r="NC281" s="16"/>
      <c r="ND281" s="16"/>
      <c r="NE281" s="16"/>
      <c r="NF281" s="16"/>
      <c r="NG281" s="16"/>
      <c r="NH281" s="16"/>
      <c r="NI281" s="16"/>
      <c r="NJ281" s="16"/>
      <c r="NK281" s="16"/>
      <c r="NL281" s="16"/>
      <c r="NM281" s="16"/>
      <c r="NN281" s="16"/>
      <c r="NO281" s="16"/>
      <c r="NP281" s="16"/>
      <c r="NQ281" s="16"/>
      <c r="NR281" s="16"/>
      <c r="NS281" s="16"/>
      <c r="NT281" s="16"/>
      <c r="NU281" s="16"/>
      <c r="NV281" s="16"/>
      <c r="NW281" s="16"/>
      <c r="NX281" s="16"/>
      <c r="NY281" s="16"/>
      <c r="NZ281" s="16"/>
      <c r="OA281" s="16"/>
      <c r="OB281" s="16"/>
      <c r="OC281" s="16"/>
      <c r="OD281" s="16"/>
      <c r="OE281" s="16"/>
      <c r="OF281" s="16"/>
      <c r="OG281" s="16"/>
      <c r="OH281" s="16"/>
      <c r="OI281" s="16"/>
      <c r="OJ281" s="16"/>
      <c r="OK281" s="16"/>
      <c r="OL281" s="16"/>
      <c r="OM281" s="16"/>
      <c r="ON281" s="16"/>
      <c r="OO281" s="16"/>
      <c r="OP281" s="16"/>
      <c r="OQ281" s="16"/>
      <c r="OR281" s="16"/>
      <c r="OS281" s="16"/>
      <c r="OT281" s="16"/>
      <c r="OU281" s="16"/>
      <c r="OV281" s="16"/>
      <c r="OW281" s="16"/>
      <c r="OX281" s="16"/>
      <c r="OY281" s="16"/>
      <c r="OZ281" s="16"/>
      <c r="PA281" s="16"/>
      <c r="PB281" s="16"/>
      <c r="PC281" s="16"/>
      <c r="PD281" s="16"/>
      <c r="PE281" s="16"/>
      <c r="PF281" s="16"/>
      <c r="PG281" s="16"/>
      <c r="PH281" s="16"/>
      <c r="PI281" s="16"/>
      <c r="PJ281" s="16"/>
      <c r="PK281" s="16"/>
      <c r="PL281" s="16"/>
      <c r="PM281" s="16"/>
      <c r="PN281" s="16"/>
      <c r="PO281" s="16"/>
      <c r="PP281" s="16"/>
      <c r="PQ281" s="16"/>
      <c r="PR281" s="16"/>
      <c r="PS281" s="16"/>
      <c r="PT281" s="16"/>
      <c r="PU281" s="16"/>
      <c r="PV281" s="16"/>
      <c r="PW281" s="16"/>
      <c r="PX281" s="16"/>
      <c r="PY281" s="16"/>
      <c r="PZ281" s="16"/>
      <c r="QA281" s="16"/>
      <c r="QB281" s="16"/>
      <c r="QC281" s="16"/>
      <c r="QD281" s="16"/>
      <c r="QE281" s="16"/>
      <c r="QF281" s="16"/>
      <c r="QG281" s="16"/>
      <c r="QH281" s="16"/>
      <c r="QI281" s="16"/>
      <c r="QJ281" s="16"/>
      <c r="QK281" s="16"/>
      <c r="QL281" s="16"/>
      <c r="QM281" s="16"/>
      <c r="QN281" s="16"/>
      <c r="QO281" s="16"/>
      <c r="QP281" s="16"/>
      <c r="QQ281" s="16"/>
      <c r="QR281" s="16"/>
      <c r="QS281" s="16"/>
      <c r="QT281" s="16"/>
      <c r="QU281" s="16"/>
      <c r="QV281" s="16"/>
      <c r="QW281" s="16"/>
      <c r="QX281" s="16"/>
      <c r="QY281" s="16"/>
      <c r="QZ281" s="16"/>
      <c r="RA281" s="16"/>
      <c r="RB281" s="16"/>
      <c r="RC281" s="16"/>
      <c r="RD281" s="16"/>
      <c r="RE281" s="16"/>
      <c r="RF281" s="16"/>
      <c r="RG281" s="16"/>
      <c r="RH281" s="16"/>
      <c r="RI281" s="16"/>
      <c r="RJ281" s="16"/>
      <c r="RK281" s="16"/>
      <c r="RL281" s="16"/>
      <c r="RM281" s="16"/>
      <c r="RN281" s="16"/>
      <c r="RO281" s="16"/>
      <c r="RP281" s="16"/>
      <c r="RQ281" s="16"/>
      <c r="RR281" s="16"/>
      <c r="RS281" s="16"/>
      <c r="RT281" s="16"/>
      <c r="RU281" s="16"/>
      <c r="RV281" s="16"/>
      <c r="RW281" s="16"/>
      <c r="RX281" s="16"/>
      <c r="RY281" s="16"/>
      <c r="RZ281" s="16"/>
      <c r="SA281" s="16"/>
      <c r="SB281" s="16"/>
      <c r="SC281" s="16"/>
      <c r="SD281" s="16"/>
      <c r="SE281" s="16"/>
      <c r="SF281" s="16"/>
      <c r="SG281" s="16"/>
      <c r="SH281" s="16"/>
      <c r="SI281" s="16"/>
      <c r="SJ281" s="16"/>
      <c r="SK281" s="16"/>
      <c r="SL281" s="16"/>
      <c r="SM281" s="16"/>
      <c r="SN281" s="16"/>
      <c r="SO281" s="16"/>
      <c r="SP281" s="16"/>
      <c r="SQ281" s="16"/>
      <c r="SR281" s="16"/>
      <c r="SS281" s="16"/>
      <c r="ST281" s="16"/>
      <c r="SU281" s="16"/>
      <c r="SV281" s="16"/>
      <c r="SW281" s="16"/>
      <c r="SX281" s="16"/>
      <c r="SY281" s="16"/>
      <c r="SZ281" s="16"/>
      <c r="TA281" s="16"/>
      <c r="TB281" s="16"/>
      <c r="TC281" s="16"/>
      <c r="TD281" s="16"/>
      <c r="TE281" s="16"/>
      <c r="TF281" s="16"/>
      <c r="TG281" s="16"/>
      <c r="TH281" s="16"/>
      <c r="TI281" s="16"/>
      <c r="TJ281" s="16"/>
      <c r="TK281" s="16"/>
      <c r="TL281" s="16"/>
      <c r="TM281" s="16"/>
      <c r="TN281" s="16"/>
      <c r="TO281" s="16"/>
      <c r="TP281" s="16"/>
      <c r="TQ281" s="16"/>
      <c r="TR281" s="16"/>
      <c r="TS281" s="16"/>
      <c r="TT281" s="16"/>
      <c r="TU281" s="16"/>
      <c r="TV281" s="16"/>
      <c r="TW281" s="16"/>
      <c r="TX281" s="16"/>
      <c r="TY281" s="16"/>
      <c r="TZ281" s="16"/>
      <c r="UA281" s="16"/>
      <c r="UB281" s="16"/>
      <c r="UC281" s="16"/>
      <c r="UD281" s="16"/>
      <c r="UE281" s="16"/>
      <c r="UF281" s="16"/>
      <c r="UG281" s="16"/>
      <c r="UH281" s="16"/>
      <c r="UI281" s="16"/>
      <c r="UJ281" s="16"/>
      <c r="UK281" s="16"/>
      <c r="UL281" s="16"/>
      <c r="UM281" s="16"/>
      <c r="UN281" s="16"/>
      <c r="UO281" s="16"/>
      <c r="UP281" s="16"/>
      <c r="UQ281" s="16"/>
      <c r="UR281" s="16"/>
      <c r="US281" s="16"/>
      <c r="UT281" s="16"/>
      <c r="UU281" s="16"/>
      <c r="UV281" s="16"/>
      <c r="UW281" s="16"/>
      <c r="UX281" s="16"/>
      <c r="UY281" s="16"/>
      <c r="UZ281" s="16"/>
      <c r="VA281" s="16"/>
      <c r="VB281" s="16"/>
      <c r="VC281" s="16"/>
      <c r="VD281" s="16"/>
      <c r="VE281" s="16"/>
      <c r="VF281" s="16"/>
      <c r="VG281" s="16"/>
      <c r="VH281" s="16"/>
      <c r="VI281" s="16"/>
      <c r="VJ281" s="16"/>
      <c r="VK281" s="16"/>
      <c r="VL281" s="16"/>
      <c r="VM281" s="16"/>
      <c r="VN281" s="16"/>
      <c r="VO281" s="16"/>
      <c r="VP281" s="16"/>
      <c r="VQ281" s="16"/>
      <c r="VR281" s="16"/>
      <c r="VS281" s="16"/>
      <c r="VT281" s="16"/>
      <c r="VU281" s="16"/>
      <c r="VV281" s="16"/>
      <c r="VW281" s="16"/>
      <c r="VX281" s="16"/>
      <c r="VY281" s="16"/>
      <c r="VZ281" s="16"/>
      <c r="WA281" s="16"/>
      <c r="WB281" s="16"/>
      <c r="WC281" s="16"/>
      <c r="WD281" s="16"/>
      <c r="WE281" s="16"/>
      <c r="WF281" s="16"/>
      <c r="WG281" s="16"/>
      <c r="WH281" s="16"/>
      <c r="WI281" s="16"/>
      <c r="WJ281" s="16"/>
      <c r="WK281" s="16"/>
      <c r="WL281" s="16"/>
      <c r="WM281" s="16"/>
      <c r="WN281" s="16"/>
      <c r="WO281" s="16"/>
      <c r="WP281" s="16"/>
      <c r="WQ281" s="16"/>
      <c r="WR281" s="16"/>
      <c r="WS281" s="16"/>
      <c r="WT281" s="16"/>
      <c r="WU281" s="16"/>
      <c r="WV281" s="16"/>
      <c r="WW281" s="16"/>
      <c r="WX281" s="16"/>
      <c r="WY281" s="16"/>
      <c r="WZ281" s="16"/>
      <c r="XA281" s="16"/>
      <c r="XB281" s="16"/>
      <c r="XC281" s="16"/>
      <c r="XD281" s="16"/>
      <c r="XE281" s="16"/>
      <c r="XF281" s="16"/>
      <c r="XG281" s="16"/>
      <c r="XH281" s="16"/>
      <c r="XI281" s="16"/>
      <c r="XJ281" s="16"/>
      <c r="XK281" s="16"/>
      <c r="XL281" s="16"/>
      <c r="XM281" s="16"/>
      <c r="XN281" s="16"/>
      <c r="XO281" s="16"/>
      <c r="XP281" s="16"/>
      <c r="XQ281" s="16"/>
      <c r="XR281" s="16"/>
      <c r="XS281" s="16"/>
      <c r="XT281" s="16"/>
      <c r="XU281" s="16"/>
      <c r="XV281" s="16"/>
      <c r="XW281" s="16"/>
      <c r="XX281" s="16"/>
      <c r="XY281" s="16"/>
      <c r="XZ281" s="16"/>
      <c r="YA281" s="16"/>
      <c r="YB281" s="16"/>
      <c r="YC281" s="16"/>
      <c r="YD281" s="16"/>
      <c r="YE281" s="16"/>
      <c r="YF281" s="16"/>
      <c r="YG281" s="16"/>
      <c r="YH281" s="16"/>
      <c r="YI281" s="16"/>
      <c r="YJ281" s="16"/>
      <c r="YK281" s="16"/>
      <c r="YL281" s="16"/>
      <c r="YM281" s="16"/>
      <c r="YN281" s="16"/>
      <c r="YO281" s="16"/>
      <c r="YP281" s="16"/>
      <c r="YQ281" s="16"/>
      <c r="YR281" s="16"/>
      <c r="YS281" s="16"/>
      <c r="YT281" s="16"/>
      <c r="YU281" s="16"/>
      <c r="YV281" s="16"/>
      <c r="YW281" s="16"/>
      <c r="YX281" s="16"/>
      <c r="YY281" s="16"/>
      <c r="YZ281" s="16"/>
      <c r="ZA281" s="16"/>
      <c r="ZB281" s="16"/>
      <c r="ZC281" s="16"/>
      <c r="ZD281" s="16"/>
      <c r="ZE281" s="16"/>
      <c r="ZF281" s="16"/>
      <c r="ZG281" s="16"/>
      <c r="ZH281" s="16"/>
      <c r="ZI281" s="16"/>
      <c r="ZJ281" s="16"/>
      <c r="ZK281" s="16"/>
      <c r="ZL281" s="16"/>
      <c r="ZM281" s="16"/>
      <c r="ZN281" s="16"/>
      <c r="ZO281" s="16"/>
      <c r="ZP281" s="16"/>
      <c r="ZQ281" s="16"/>
      <c r="ZR281" s="16"/>
      <c r="ZS281" s="16"/>
      <c r="ZT281" s="16"/>
      <c r="ZU281" s="16"/>
      <c r="ZV281" s="16"/>
      <c r="ZW281" s="16"/>
      <c r="ZX281" s="16"/>
      <c r="ZY281" s="16"/>
      <c r="ZZ281" s="16"/>
      <c r="AAA281" s="16"/>
      <c r="AAB281" s="16"/>
      <c r="AAC281" s="16"/>
    </row>
    <row r="282" spans="1:705" s="16" customFormat="1" ht="44.1" customHeight="1" x14ac:dyDescent="0.3">
      <c r="A282" s="200">
        <v>278</v>
      </c>
      <c r="B282" s="62">
        <v>241801</v>
      </c>
      <c r="C282" s="62">
        <v>278</v>
      </c>
      <c r="D282" s="63">
        <v>46121</v>
      </c>
      <c r="E282" s="63">
        <f t="shared" si="36"/>
        <v>46120</v>
      </c>
      <c r="F282" s="63">
        <f t="shared" si="41"/>
        <v>46131</v>
      </c>
      <c r="G282" s="63">
        <v>46212</v>
      </c>
      <c r="H282" s="63">
        <f ca="1">TODAY()</f>
        <v>46277</v>
      </c>
      <c r="I282" s="63" t="s">
        <v>349</v>
      </c>
      <c r="J282" s="64" t="s">
        <v>663</v>
      </c>
      <c r="K282" s="65">
        <f t="shared" si="42"/>
        <v>81</v>
      </c>
      <c r="L282" s="65">
        <v>1167286</v>
      </c>
      <c r="M282" s="64" t="s">
        <v>77</v>
      </c>
      <c r="N282" s="64">
        <v>809096</v>
      </c>
      <c r="O282" s="253" t="s">
        <v>1462</v>
      </c>
      <c r="P282" s="103">
        <v>46056</v>
      </c>
      <c r="Q282" s="103">
        <v>46170</v>
      </c>
      <c r="R282" s="73" t="s">
        <v>211</v>
      </c>
      <c r="S282" s="66" t="s">
        <v>664</v>
      </c>
      <c r="T282" s="67">
        <v>1</v>
      </c>
      <c r="U282" s="75" t="s">
        <v>173</v>
      </c>
      <c r="V282" s="68">
        <v>320</v>
      </c>
      <c r="W282" s="68"/>
      <c r="X282" s="69">
        <v>1</v>
      </c>
      <c r="Y282" s="68"/>
      <c r="Z282" s="68">
        <v>0</v>
      </c>
      <c r="AA282" s="68">
        <v>0</v>
      </c>
      <c r="AB282" s="68">
        <v>0</v>
      </c>
      <c r="AC282" s="68"/>
      <c r="AD282" s="68">
        <v>0</v>
      </c>
      <c r="AE282" s="68">
        <v>0</v>
      </c>
      <c r="AF282" s="68">
        <v>0</v>
      </c>
      <c r="AG282" s="68">
        <v>0</v>
      </c>
      <c r="AH282" s="68">
        <v>1</v>
      </c>
      <c r="AI282" s="68"/>
      <c r="AJ282" s="68">
        <v>0</v>
      </c>
      <c r="AK282" s="68">
        <v>0</v>
      </c>
      <c r="AL282" s="68">
        <v>1</v>
      </c>
      <c r="AM282" s="68"/>
      <c r="AN282" s="68">
        <v>4</v>
      </c>
      <c r="AO282" s="68"/>
      <c r="AP282" s="68">
        <v>4</v>
      </c>
      <c r="AQ282" s="68"/>
      <c r="AR282" s="68">
        <v>0</v>
      </c>
      <c r="AS282" s="68">
        <v>0</v>
      </c>
      <c r="AT282" s="68">
        <v>0</v>
      </c>
      <c r="AU282" s="68">
        <v>0</v>
      </c>
      <c r="AV282" s="68">
        <v>0</v>
      </c>
      <c r="AW282" s="68">
        <v>0</v>
      </c>
      <c r="AX282" s="146">
        <f t="shared" si="40"/>
        <v>22800</v>
      </c>
      <c r="AY282" s="146">
        <f t="shared" si="38"/>
        <v>0</v>
      </c>
      <c r="AZ282" s="64" t="s">
        <v>77</v>
      </c>
      <c r="BA282" s="64" t="s">
        <v>77</v>
      </c>
      <c r="BB282" s="15" t="s">
        <v>77</v>
      </c>
      <c r="BC282" s="74">
        <v>278</v>
      </c>
      <c r="BD282" s="70"/>
      <c r="BE282" s="67"/>
      <c r="BF282" s="71"/>
      <c r="BG282" s="15"/>
      <c r="BH282" s="72" t="s">
        <v>77</v>
      </c>
      <c r="BI282" s="72" t="s">
        <v>77</v>
      </c>
    </row>
    <row r="283" spans="1:705" s="16" customFormat="1" ht="44.1" hidden="1" customHeight="1" x14ac:dyDescent="0.3">
      <c r="A283" s="200">
        <v>279</v>
      </c>
      <c r="B283" s="138">
        <v>241804</v>
      </c>
      <c r="C283" s="138">
        <v>279</v>
      </c>
      <c r="D283" s="139">
        <v>45974</v>
      </c>
      <c r="E283" s="139">
        <f t="shared" si="36"/>
        <v>45973</v>
      </c>
      <c r="F283" s="139">
        <f t="shared" si="41"/>
        <v>45984</v>
      </c>
      <c r="G283" s="139">
        <v>46066</v>
      </c>
      <c r="H283" s="139">
        <v>46026</v>
      </c>
      <c r="I283" s="139" t="s">
        <v>321</v>
      </c>
      <c r="J283" s="140" t="s">
        <v>665</v>
      </c>
      <c r="K283" s="141">
        <f t="shared" si="42"/>
        <v>82</v>
      </c>
      <c r="L283" s="141">
        <v>1167351</v>
      </c>
      <c r="M283" s="140" t="s">
        <v>15</v>
      </c>
      <c r="N283" s="140">
        <v>808892</v>
      </c>
      <c r="O283" s="137" t="s">
        <v>246</v>
      </c>
      <c r="P283" s="143">
        <v>46002</v>
      </c>
      <c r="Q283" s="143">
        <v>46170</v>
      </c>
      <c r="R283" s="185" t="s">
        <v>211</v>
      </c>
      <c r="S283" s="144" t="s">
        <v>666</v>
      </c>
      <c r="T283" s="145">
        <v>1</v>
      </c>
      <c r="U283" s="186" t="s">
        <v>82</v>
      </c>
      <c r="V283" s="146">
        <v>38</v>
      </c>
      <c r="W283" s="146">
        <v>38</v>
      </c>
      <c r="X283" s="147">
        <v>0</v>
      </c>
      <c r="Y283" s="146">
        <v>0</v>
      </c>
      <c r="Z283" s="146">
        <v>0</v>
      </c>
      <c r="AA283" s="146">
        <v>0</v>
      </c>
      <c r="AB283" s="146">
        <v>0</v>
      </c>
      <c r="AC283" s="146"/>
      <c r="AD283" s="146">
        <v>0</v>
      </c>
      <c r="AE283" s="146">
        <v>0</v>
      </c>
      <c r="AF283" s="146">
        <v>0</v>
      </c>
      <c r="AG283" s="146">
        <v>0</v>
      </c>
      <c r="AH283" s="146">
        <v>0</v>
      </c>
      <c r="AI283" s="146"/>
      <c r="AJ283" s="146">
        <v>1</v>
      </c>
      <c r="AK283" s="146">
        <v>1</v>
      </c>
      <c r="AL283" s="146">
        <v>0</v>
      </c>
      <c r="AM283" s="146"/>
      <c r="AN283" s="146">
        <v>1</v>
      </c>
      <c r="AO283" s="146">
        <v>1</v>
      </c>
      <c r="AP283" s="146">
        <v>0</v>
      </c>
      <c r="AQ283" s="146">
        <v>0</v>
      </c>
      <c r="AR283" s="146">
        <v>0</v>
      </c>
      <c r="AS283" s="146">
        <v>0</v>
      </c>
      <c r="AT283" s="146">
        <v>0</v>
      </c>
      <c r="AU283" s="146"/>
      <c r="AV283" s="146">
        <v>0</v>
      </c>
      <c r="AW283" s="146">
        <v>0</v>
      </c>
      <c r="AX283" s="146">
        <f t="shared" si="40"/>
        <v>2715</v>
      </c>
      <c r="AY283" s="146">
        <f t="shared" si="38"/>
        <v>2715</v>
      </c>
      <c r="AZ283" s="140" t="s">
        <v>562</v>
      </c>
      <c r="BA283" s="140" t="s">
        <v>562</v>
      </c>
      <c r="BB283" s="137">
        <v>7</v>
      </c>
      <c r="BC283" s="187">
        <v>279</v>
      </c>
      <c r="BD283" s="149"/>
      <c r="BE283" s="145"/>
      <c r="BF283" s="150"/>
      <c r="BG283" s="188">
        <v>46023</v>
      </c>
      <c r="BH283" s="153" t="s">
        <v>535</v>
      </c>
      <c r="BI283" s="153" t="s">
        <v>562</v>
      </c>
    </row>
    <row r="284" spans="1:705" s="16" customFormat="1" ht="44.1" hidden="1" customHeight="1" x14ac:dyDescent="0.3">
      <c r="A284" s="200">
        <v>280</v>
      </c>
      <c r="B284" s="138">
        <v>241805</v>
      </c>
      <c r="C284" s="138">
        <v>280</v>
      </c>
      <c r="D284" s="139">
        <v>45974</v>
      </c>
      <c r="E284" s="139">
        <f t="shared" si="36"/>
        <v>45973</v>
      </c>
      <c r="F284" s="139">
        <f t="shared" si="41"/>
        <v>45984</v>
      </c>
      <c r="G284" s="139">
        <v>46066</v>
      </c>
      <c r="H284" s="139">
        <v>46079</v>
      </c>
      <c r="I284" s="139" t="s">
        <v>321</v>
      </c>
      <c r="J284" s="140" t="s">
        <v>667</v>
      </c>
      <c r="K284" s="141">
        <f t="shared" si="42"/>
        <v>82</v>
      </c>
      <c r="L284" s="141">
        <v>1167352</v>
      </c>
      <c r="M284" s="140" t="s">
        <v>15</v>
      </c>
      <c r="N284" s="140">
        <v>809126</v>
      </c>
      <c r="O284" s="140" t="s">
        <v>246</v>
      </c>
      <c r="P284" s="143">
        <v>46013</v>
      </c>
      <c r="Q284" s="143">
        <v>46170</v>
      </c>
      <c r="R284" s="185" t="s">
        <v>211</v>
      </c>
      <c r="S284" s="144" t="s">
        <v>668</v>
      </c>
      <c r="T284" s="145">
        <v>1</v>
      </c>
      <c r="U284" s="186" t="s">
        <v>369</v>
      </c>
      <c r="V284" s="146">
        <v>84</v>
      </c>
      <c r="W284" s="146">
        <v>84</v>
      </c>
      <c r="X284" s="147">
        <v>0</v>
      </c>
      <c r="Y284" s="146">
        <v>0</v>
      </c>
      <c r="Z284" s="146">
        <v>0</v>
      </c>
      <c r="AA284" s="146">
        <v>0</v>
      </c>
      <c r="AB284" s="146">
        <v>84</v>
      </c>
      <c r="AC284" s="146">
        <v>84</v>
      </c>
      <c r="AD284" s="146">
        <v>0</v>
      </c>
      <c r="AE284" s="146">
        <v>0</v>
      </c>
      <c r="AF284" s="146">
        <v>0</v>
      </c>
      <c r="AG284" s="146">
        <v>0</v>
      </c>
      <c r="AH284" s="146"/>
      <c r="AI284" s="146"/>
      <c r="AJ284" s="146">
        <v>0</v>
      </c>
      <c r="AK284" s="146">
        <v>0</v>
      </c>
      <c r="AL284" s="146">
        <v>1</v>
      </c>
      <c r="AM284" s="146">
        <v>1</v>
      </c>
      <c r="AN284" s="146">
        <v>1</v>
      </c>
      <c r="AO284" s="146">
        <v>1</v>
      </c>
      <c r="AP284" s="146"/>
      <c r="AQ284" s="146"/>
      <c r="AR284" s="146">
        <v>0</v>
      </c>
      <c r="AS284" s="146">
        <v>0</v>
      </c>
      <c r="AT284" s="146"/>
      <c r="AU284" s="146"/>
      <c r="AV284" s="146">
        <v>0</v>
      </c>
      <c r="AW284" s="146">
        <v>0</v>
      </c>
      <c r="AX284" s="146">
        <f t="shared" si="40"/>
        <v>10478</v>
      </c>
      <c r="AY284" s="146">
        <f t="shared" si="38"/>
        <v>10478</v>
      </c>
      <c r="AZ284" s="137" t="s">
        <v>562</v>
      </c>
      <c r="BA284" s="137" t="s">
        <v>562</v>
      </c>
      <c r="BB284" s="137">
        <v>11</v>
      </c>
      <c r="BC284" s="187">
        <v>280</v>
      </c>
      <c r="BD284" s="149"/>
      <c r="BE284" s="145"/>
      <c r="BF284" s="150"/>
      <c r="BG284" s="188">
        <v>46054</v>
      </c>
      <c r="BH284" s="153" t="s">
        <v>535</v>
      </c>
      <c r="BI284" s="153" t="s">
        <v>562</v>
      </c>
      <c r="BK284" s="238"/>
    </row>
    <row r="285" spans="1:705" s="135" customFormat="1" ht="44.1" hidden="1" customHeight="1" x14ac:dyDescent="0.3">
      <c r="A285" s="26">
        <v>281</v>
      </c>
      <c r="B285" s="138">
        <v>241806</v>
      </c>
      <c r="C285" s="138">
        <v>281</v>
      </c>
      <c r="D285" s="139">
        <v>45977</v>
      </c>
      <c r="E285" s="139">
        <f t="shared" si="36"/>
        <v>45976</v>
      </c>
      <c r="F285" s="139">
        <f t="shared" si="41"/>
        <v>45987</v>
      </c>
      <c r="G285" s="139">
        <v>46068</v>
      </c>
      <c r="H285" s="139">
        <v>46034</v>
      </c>
      <c r="I285" s="139" t="s">
        <v>349</v>
      </c>
      <c r="J285" s="140" t="s">
        <v>669</v>
      </c>
      <c r="K285" s="141">
        <f t="shared" si="42"/>
        <v>81</v>
      </c>
      <c r="L285" s="141">
        <v>1167681</v>
      </c>
      <c r="M285" s="140" t="s">
        <v>15</v>
      </c>
      <c r="N285" s="140">
        <v>810030</v>
      </c>
      <c r="O285" s="140" t="s">
        <v>246</v>
      </c>
      <c r="P285" s="143">
        <v>46015</v>
      </c>
      <c r="Q285" s="143">
        <v>46177</v>
      </c>
      <c r="R285" s="185" t="s">
        <v>211</v>
      </c>
      <c r="S285" s="144" t="s">
        <v>670</v>
      </c>
      <c r="T285" s="145">
        <v>1</v>
      </c>
      <c r="U285" s="186" t="s">
        <v>81</v>
      </c>
      <c r="V285" s="146">
        <v>5</v>
      </c>
      <c r="W285" s="146">
        <v>5</v>
      </c>
      <c r="X285" s="147"/>
      <c r="Y285" s="146"/>
      <c r="Z285" s="146">
        <v>0</v>
      </c>
      <c r="AA285" s="146">
        <v>0</v>
      </c>
      <c r="AB285" s="146">
        <v>0</v>
      </c>
      <c r="AC285" s="146"/>
      <c r="AD285" s="146">
        <v>0</v>
      </c>
      <c r="AE285" s="146">
        <v>0</v>
      </c>
      <c r="AF285" s="146">
        <v>0</v>
      </c>
      <c r="AG285" s="146">
        <v>0</v>
      </c>
      <c r="AH285" s="146">
        <v>0</v>
      </c>
      <c r="AI285" s="146"/>
      <c r="AJ285" s="146">
        <v>0</v>
      </c>
      <c r="AK285" s="146">
        <v>0</v>
      </c>
      <c r="AL285" s="146">
        <v>1</v>
      </c>
      <c r="AM285" s="146">
        <v>1</v>
      </c>
      <c r="AN285" s="146">
        <v>1</v>
      </c>
      <c r="AO285" s="146">
        <v>1</v>
      </c>
      <c r="AP285" s="146">
        <v>0</v>
      </c>
      <c r="AQ285" s="146"/>
      <c r="AR285" s="146">
        <v>0</v>
      </c>
      <c r="AS285" s="146">
        <v>0</v>
      </c>
      <c r="AT285" s="146">
        <v>0</v>
      </c>
      <c r="AU285" s="146">
        <v>0</v>
      </c>
      <c r="AV285" s="146">
        <v>0</v>
      </c>
      <c r="AW285" s="146">
        <v>0</v>
      </c>
      <c r="AX285" s="146">
        <f t="shared" si="40"/>
        <v>950</v>
      </c>
      <c r="AY285" s="146">
        <f t="shared" si="38"/>
        <v>950</v>
      </c>
      <c r="AZ285" s="140" t="s">
        <v>562</v>
      </c>
      <c r="BA285" s="140" t="s">
        <v>562</v>
      </c>
      <c r="BB285" s="137">
        <v>7</v>
      </c>
      <c r="BC285" s="187">
        <v>281</v>
      </c>
      <c r="BD285" s="149"/>
      <c r="BE285" s="145"/>
      <c r="BF285" s="150"/>
      <c r="BG285" s="188">
        <v>46023</v>
      </c>
      <c r="BH285" s="153" t="s">
        <v>15</v>
      </c>
      <c r="BI285" s="153" t="s">
        <v>562</v>
      </c>
      <c r="BJ285" s="16"/>
      <c r="BK285" s="16"/>
      <c r="BL285" s="16"/>
      <c r="BM285" s="16"/>
      <c r="BN285" s="16"/>
      <c r="BO285" s="16"/>
      <c r="BP285" s="16"/>
      <c r="BQ285" s="16"/>
      <c r="BR285" s="16"/>
      <c r="BS285" s="16"/>
      <c r="BT285" s="16"/>
      <c r="BU285" s="16"/>
      <c r="BV285" s="16"/>
      <c r="BW285" s="16"/>
      <c r="BX285" s="16"/>
      <c r="BY285" s="16"/>
      <c r="BZ285" s="16"/>
      <c r="CA285" s="16"/>
      <c r="CB285" s="16"/>
      <c r="CC285" s="16"/>
      <c r="CD285" s="16"/>
      <c r="CE285" s="16"/>
      <c r="CF285" s="16"/>
      <c r="CG285" s="16"/>
      <c r="CH285" s="16"/>
      <c r="CI285" s="16"/>
      <c r="CJ285" s="16"/>
      <c r="CK285" s="16"/>
      <c r="CL285" s="16"/>
      <c r="CM285" s="16"/>
      <c r="CN285" s="16"/>
      <c r="CO285" s="16"/>
      <c r="CP285" s="16"/>
      <c r="CQ285" s="16"/>
      <c r="CR285" s="16"/>
      <c r="CS285" s="16"/>
      <c r="CT285" s="16"/>
      <c r="CU285" s="16"/>
      <c r="CV285" s="16"/>
      <c r="CW285" s="16"/>
      <c r="CX285" s="16"/>
      <c r="CY285" s="16"/>
      <c r="CZ285" s="16"/>
      <c r="DA285" s="16"/>
      <c r="DB285" s="16"/>
      <c r="DC285" s="16"/>
      <c r="DD285" s="16"/>
      <c r="DE285" s="16"/>
      <c r="DF285" s="16"/>
      <c r="DG285" s="16"/>
      <c r="DH285" s="16"/>
      <c r="DI285" s="16"/>
      <c r="DJ285" s="16"/>
      <c r="DK285" s="16"/>
      <c r="DL285" s="16"/>
      <c r="DM285" s="16"/>
      <c r="DN285" s="16"/>
      <c r="DO285" s="16"/>
      <c r="DP285" s="16"/>
      <c r="DQ285" s="16"/>
      <c r="DR285" s="16"/>
      <c r="DS285" s="16"/>
      <c r="DT285" s="16"/>
      <c r="DU285" s="16"/>
      <c r="DV285" s="16"/>
      <c r="DW285" s="16"/>
      <c r="DX285" s="16"/>
      <c r="DY285" s="16"/>
      <c r="DZ285" s="16"/>
      <c r="EA285" s="16"/>
      <c r="EB285" s="16"/>
      <c r="EC285" s="16"/>
      <c r="ED285" s="16"/>
      <c r="EE285" s="16"/>
      <c r="EF285" s="16"/>
      <c r="EG285" s="16"/>
      <c r="EH285" s="16"/>
      <c r="EI285" s="16"/>
      <c r="EJ285" s="16"/>
      <c r="EK285" s="16"/>
      <c r="EL285" s="16"/>
      <c r="EM285" s="16"/>
      <c r="EN285" s="16"/>
      <c r="EO285" s="16"/>
      <c r="EP285" s="16"/>
      <c r="EQ285" s="16"/>
      <c r="ER285" s="16"/>
      <c r="ES285" s="16"/>
      <c r="ET285" s="16"/>
      <c r="EU285" s="16"/>
      <c r="EV285" s="16"/>
      <c r="EW285" s="16"/>
      <c r="EX285" s="16"/>
      <c r="EY285" s="16"/>
      <c r="EZ285" s="16"/>
      <c r="FA285" s="16"/>
      <c r="FB285" s="16"/>
      <c r="FC285" s="16"/>
      <c r="FD285" s="16"/>
      <c r="FE285" s="16"/>
      <c r="FF285" s="16"/>
      <c r="FG285" s="16"/>
      <c r="FH285" s="16"/>
      <c r="FI285" s="16"/>
      <c r="FJ285" s="16"/>
      <c r="FK285" s="16"/>
      <c r="FL285" s="16"/>
      <c r="FM285" s="16"/>
      <c r="FN285" s="16"/>
      <c r="FO285" s="16"/>
      <c r="FP285" s="16"/>
      <c r="FQ285" s="16"/>
      <c r="FR285" s="16"/>
      <c r="FS285" s="16"/>
      <c r="FT285" s="16"/>
      <c r="FU285" s="16"/>
      <c r="FV285" s="16"/>
      <c r="FW285" s="16"/>
      <c r="FX285" s="16"/>
      <c r="FY285" s="16"/>
      <c r="FZ285" s="16"/>
      <c r="GA285" s="16"/>
      <c r="GB285" s="16"/>
      <c r="GC285" s="16"/>
      <c r="GD285" s="16"/>
      <c r="GE285" s="16"/>
      <c r="GF285" s="16"/>
      <c r="GG285" s="16"/>
      <c r="GH285" s="16"/>
      <c r="GI285" s="16"/>
      <c r="GJ285" s="16"/>
      <c r="GK285" s="16"/>
      <c r="GL285" s="16"/>
      <c r="GM285" s="16"/>
      <c r="GN285" s="16"/>
      <c r="GO285" s="16"/>
      <c r="GP285" s="16"/>
      <c r="GQ285" s="16"/>
      <c r="GR285" s="16"/>
      <c r="GS285" s="16"/>
      <c r="GT285" s="16"/>
      <c r="GU285" s="16"/>
      <c r="GV285" s="16"/>
      <c r="GW285" s="16"/>
      <c r="GX285" s="16"/>
      <c r="GY285" s="16"/>
      <c r="GZ285" s="16"/>
      <c r="HA285" s="16"/>
      <c r="HB285" s="16"/>
      <c r="HC285" s="16"/>
      <c r="HD285" s="16"/>
      <c r="HE285" s="16"/>
      <c r="HF285" s="16"/>
      <c r="HG285" s="16"/>
      <c r="HH285" s="16"/>
      <c r="HI285" s="16"/>
      <c r="HJ285" s="16"/>
      <c r="HK285" s="16"/>
      <c r="HL285" s="16"/>
      <c r="HM285" s="16"/>
      <c r="HN285" s="16"/>
      <c r="HO285" s="16"/>
      <c r="HP285" s="16"/>
      <c r="HQ285" s="16"/>
      <c r="HR285" s="16"/>
      <c r="HS285" s="16"/>
      <c r="HT285" s="16"/>
      <c r="HU285" s="16"/>
      <c r="HV285" s="16"/>
      <c r="HW285" s="16"/>
      <c r="HX285" s="16"/>
      <c r="HY285" s="16"/>
      <c r="HZ285" s="16"/>
      <c r="IA285" s="16"/>
      <c r="IB285" s="16"/>
      <c r="IC285" s="16"/>
      <c r="ID285" s="16"/>
      <c r="IE285" s="16"/>
      <c r="IF285" s="16"/>
      <c r="IG285" s="16"/>
      <c r="IH285" s="16"/>
      <c r="II285" s="16"/>
      <c r="IJ285" s="16"/>
      <c r="IK285" s="16"/>
      <c r="IL285" s="16"/>
      <c r="IM285" s="16"/>
      <c r="IN285" s="16"/>
      <c r="IO285" s="16"/>
      <c r="IP285" s="16"/>
      <c r="IQ285" s="16"/>
      <c r="IR285" s="16"/>
      <c r="IS285" s="16"/>
      <c r="IT285" s="16"/>
      <c r="IU285" s="16"/>
      <c r="IV285" s="16"/>
      <c r="IW285" s="16"/>
      <c r="IX285" s="16"/>
      <c r="IY285" s="16"/>
      <c r="IZ285" s="16"/>
      <c r="JA285" s="16"/>
      <c r="JB285" s="16"/>
      <c r="JC285" s="16"/>
      <c r="JD285" s="16"/>
      <c r="JE285" s="16"/>
      <c r="JF285" s="16"/>
      <c r="JG285" s="16"/>
      <c r="JH285" s="16"/>
      <c r="JI285" s="16"/>
      <c r="JJ285" s="16"/>
      <c r="JK285" s="16"/>
      <c r="JL285" s="16"/>
      <c r="JM285" s="16"/>
      <c r="JN285" s="16"/>
      <c r="JO285" s="16"/>
      <c r="JP285" s="16"/>
      <c r="JQ285" s="16"/>
      <c r="JR285" s="16"/>
      <c r="JS285" s="16"/>
      <c r="JT285" s="16"/>
      <c r="JU285" s="16"/>
      <c r="JV285" s="16"/>
      <c r="JW285" s="16"/>
      <c r="JX285" s="16"/>
      <c r="JY285" s="16"/>
      <c r="JZ285" s="16"/>
      <c r="KA285" s="16"/>
      <c r="KB285" s="16"/>
      <c r="KC285" s="16"/>
      <c r="KD285" s="16"/>
      <c r="KE285" s="16"/>
      <c r="KF285" s="16"/>
      <c r="KG285" s="16"/>
      <c r="KH285" s="16"/>
      <c r="KI285" s="16"/>
      <c r="KJ285" s="16"/>
      <c r="KK285" s="16"/>
      <c r="KL285" s="16"/>
      <c r="KM285" s="16"/>
      <c r="KN285" s="16"/>
      <c r="KO285" s="16"/>
      <c r="KP285" s="16"/>
      <c r="KQ285" s="16"/>
      <c r="KR285" s="16"/>
      <c r="KS285" s="16"/>
      <c r="KT285" s="16"/>
      <c r="KU285" s="16"/>
      <c r="KV285" s="16"/>
      <c r="KW285" s="16"/>
      <c r="KX285" s="16"/>
      <c r="KY285" s="16"/>
      <c r="KZ285" s="16"/>
      <c r="LA285" s="16"/>
      <c r="LB285" s="16"/>
      <c r="LC285" s="16"/>
      <c r="LD285" s="16"/>
      <c r="LE285" s="16"/>
      <c r="LF285" s="16"/>
      <c r="LG285" s="16"/>
      <c r="LH285" s="16"/>
      <c r="LI285" s="16"/>
      <c r="LJ285" s="16"/>
      <c r="LK285" s="16"/>
      <c r="LL285" s="16"/>
      <c r="LM285" s="16"/>
      <c r="LN285" s="16"/>
      <c r="LO285" s="16"/>
      <c r="LP285" s="16"/>
      <c r="LQ285" s="16"/>
      <c r="LR285" s="16"/>
      <c r="LS285" s="16"/>
      <c r="LT285" s="16"/>
      <c r="LU285" s="16"/>
      <c r="LV285" s="16"/>
      <c r="LW285" s="16"/>
      <c r="LX285" s="16"/>
      <c r="LY285" s="16"/>
      <c r="LZ285" s="16"/>
      <c r="MA285" s="16"/>
      <c r="MB285" s="16"/>
      <c r="MC285" s="16"/>
      <c r="MD285" s="16"/>
      <c r="ME285" s="16"/>
      <c r="MF285" s="16"/>
      <c r="MG285" s="16"/>
      <c r="MH285" s="16"/>
      <c r="MI285" s="16"/>
      <c r="MJ285" s="16"/>
      <c r="MK285" s="16"/>
      <c r="ML285" s="16"/>
      <c r="MM285" s="16"/>
      <c r="MN285" s="16"/>
      <c r="MO285" s="16"/>
      <c r="MP285" s="16"/>
      <c r="MQ285" s="16"/>
      <c r="MR285" s="16"/>
      <c r="MS285" s="16"/>
      <c r="MT285" s="16"/>
      <c r="MU285" s="16"/>
      <c r="MV285" s="16"/>
      <c r="MW285" s="16"/>
      <c r="MX285" s="16"/>
      <c r="MY285" s="16"/>
      <c r="MZ285" s="16"/>
      <c r="NA285" s="16"/>
      <c r="NB285" s="16"/>
      <c r="NC285" s="16"/>
      <c r="ND285" s="16"/>
      <c r="NE285" s="16"/>
      <c r="NF285" s="16"/>
      <c r="NG285" s="16"/>
      <c r="NH285" s="16"/>
      <c r="NI285" s="16"/>
      <c r="NJ285" s="16"/>
      <c r="NK285" s="16"/>
      <c r="NL285" s="16"/>
      <c r="NM285" s="16"/>
      <c r="NN285" s="16"/>
      <c r="NO285" s="16"/>
      <c r="NP285" s="16"/>
      <c r="NQ285" s="16"/>
      <c r="NR285" s="16"/>
      <c r="NS285" s="16"/>
      <c r="NT285" s="16"/>
      <c r="NU285" s="16"/>
      <c r="NV285" s="16"/>
      <c r="NW285" s="16"/>
      <c r="NX285" s="16"/>
      <c r="NY285" s="16"/>
      <c r="NZ285" s="16"/>
      <c r="OA285" s="16"/>
      <c r="OB285" s="16"/>
      <c r="OC285" s="16"/>
      <c r="OD285" s="16"/>
      <c r="OE285" s="16"/>
      <c r="OF285" s="16"/>
      <c r="OG285" s="16"/>
      <c r="OH285" s="16"/>
      <c r="OI285" s="16"/>
      <c r="OJ285" s="16"/>
      <c r="OK285" s="16"/>
      <c r="OL285" s="16"/>
      <c r="OM285" s="16"/>
      <c r="ON285" s="16"/>
      <c r="OO285" s="16"/>
      <c r="OP285" s="16"/>
      <c r="OQ285" s="16"/>
      <c r="OR285" s="16"/>
      <c r="OS285" s="16"/>
      <c r="OT285" s="16"/>
      <c r="OU285" s="16"/>
      <c r="OV285" s="16"/>
      <c r="OW285" s="16"/>
      <c r="OX285" s="16"/>
      <c r="OY285" s="16"/>
      <c r="OZ285" s="16"/>
      <c r="PA285" s="16"/>
      <c r="PB285" s="16"/>
      <c r="PC285" s="16"/>
      <c r="PD285" s="16"/>
      <c r="PE285" s="16"/>
      <c r="PF285" s="16"/>
      <c r="PG285" s="16"/>
      <c r="PH285" s="16"/>
      <c r="PI285" s="16"/>
      <c r="PJ285" s="16"/>
      <c r="PK285" s="16"/>
      <c r="PL285" s="16"/>
      <c r="PM285" s="16"/>
      <c r="PN285" s="16"/>
      <c r="PO285" s="16"/>
      <c r="PP285" s="16"/>
      <c r="PQ285" s="16"/>
      <c r="PR285" s="16"/>
      <c r="PS285" s="16"/>
      <c r="PT285" s="16"/>
      <c r="PU285" s="16"/>
      <c r="PV285" s="16"/>
      <c r="PW285" s="16"/>
      <c r="PX285" s="16"/>
      <c r="PY285" s="16"/>
      <c r="PZ285" s="16"/>
      <c r="QA285" s="16"/>
      <c r="QB285" s="16"/>
      <c r="QC285" s="16"/>
      <c r="QD285" s="16"/>
      <c r="QE285" s="16"/>
      <c r="QF285" s="16"/>
      <c r="QG285" s="16"/>
      <c r="QH285" s="16"/>
      <c r="QI285" s="16"/>
      <c r="QJ285" s="16"/>
      <c r="QK285" s="16"/>
      <c r="QL285" s="16"/>
      <c r="QM285" s="16"/>
      <c r="QN285" s="16"/>
      <c r="QO285" s="16"/>
      <c r="QP285" s="16"/>
      <c r="QQ285" s="16"/>
      <c r="QR285" s="16"/>
      <c r="QS285" s="16"/>
      <c r="QT285" s="16"/>
      <c r="QU285" s="16"/>
      <c r="QV285" s="16"/>
      <c r="QW285" s="16"/>
      <c r="QX285" s="16"/>
      <c r="QY285" s="16"/>
      <c r="QZ285" s="16"/>
      <c r="RA285" s="16"/>
      <c r="RB285" s="16"/>
      <c r="RC285" s="16"/>
      <c r="RD285" s="16"/>
      <c r="RE285" s="16"/>
      <c r="RF285" s="16"/>
      <c r="RG285" s="16"/>
      <c r="RH285" s="16"/>
      <c r="RI285" s="16"/>
      <c r="RJ285" s="16"/>
      <c r="RK285" s="16"/>
      <c r="RL285" s="16"/>
      <c r="RM285" s="16"/>
      <c r="RN285" s="16"/>
      <c r="RO285" s="16"/>
      <c r="RP285" s="16"/>
      <c r="RQ285" s="16"/>
      <c r="RR285" s="16"/>
      <c r="RS285" s="16"/>
      <c r="RT285" s="16"/>
      <c r="RU285" s="16"/>
      <c r="RV285" s="16"/>
      <c r="RW285" s="16"/>
      <c r="RX285" s="16"/>
      <c r="RY285" s="16"/>
      <c r="RZ285" s="16"/>
      <c r="SA285" s="16"/>
      <c r="SB285" s="16"/>
      <c r="SC285" s="16"/>
      <c r="SD285" s="16"/>
      <c r="SE285" s="16"/>
      <c r="SF285" s="16"/>
      <c r="SG285" s="16"/>
      <c r="SH285" s="16"/>
      <c r="SI285" s="16"/>
      <c r="SJ285" s="16"/>
      <c r="SK285" s="16"/>
      <c r="SL285" s="16"/>
      <c r="SM285" s="16"/>
      <c r="SN285" s="16"/>
      <c r="SO285" s="16"/>
      <c r="SP285" s="16"/>
      <c r="SQ285" s="16"/>
      <c r="SR285" s="16"/>
      <c r="SS285" s="16"/>
      <c r="ST285" s="16"/>
      <c r="SU285" s="16"/>
      <c r="SV285" s="16"/>
      <c r="SW285" s="16"/>
      <c r="SX285" s="16"/>
      <c r="SY285" s="16"/>
      <c r="SZ285" s="16"/>
      <c r="TA285" s="16"/>
      <c r="TB285" s="16"/>
      <c r="TC285" s="16"/>
      <c r="TD285" s="16"/>
      <c r="TE285" s="16"/>
      <c r="TF285" s="16"/>
      <c r="TG285" s="16"/>
      <c r="TH285" s="16"/>
      <c r="TI285" s="16"/>
      <c r="TJ285" s="16"/>
      <c r="TK285" s="16"/>
      <c r="TL285" s="16"/>
      <c r="TM285" s="16"/>
      <c r="TN285" s="16"/>
      <c r="TO285" s="16"/>
      <c r="TP285" s="16"/>
      <c r="TQ285" s="16"/>
      <c r="TR285" s="16"/>
      <c r="TS285" s="16"/>
      <c r="TT285" s="16"/>
      <c r="TU285" s="16"/>
      <c r="TV285" s="16"/>
      <c r="TW285" s="16"/>
      <c r="TX285" s="16"/>
      <c r="TY285" s="16"/>
      <c r="TZ285" s="16"/>
      <c r="UA285" s="16"/>
      <c r="UB285" s="16"/>
      <c r="UC285" s="16"/>
      <c r="UD285" s="16"/>
      <c r="UE285" s="16"/>
      <c r="UF285" s="16"/>
      <c r="UG285" s="16"/>
      <c r="UH285" s="16"/>
      <c r="UI285" s="16"/>
      <c r="UJ285" s="16"/>
      <c r="UK285" s="16"/>
      <c r="UL285" s="16"/>
      <c r="UM285" s="16"/>
      <c r="UN285" s="16"/>
      <c r="UO285" s="16"/>
      <c r="UP285" s="16"/>
      <c r="UQ285" s="16"/>
      <c r="UR285" s="16"/>
      <c r="US285" s="16"/>
      <c r="UT285" s="16"/>
      <c r="UU285" s="16"/>
      <c r="UV285" s="16"/>
      <c r="UW285" s="16"/>
      <c r="UX285" s="16"/>
      <c r="UY285" s="16"/>
      <c r="UZ285" s="16"/>
      <c r="VA285" s="16"/>
      <c r="VB285" s="16"/>
      <c r="VC285" s="16"/>
      <c r="VD285" s="16"/>
      <c r="VE285" s="16"/>
      <c r="VF285" s="16"/>
      <c r="VG285" s="16"/>
      <c r="VH285" s="16"/>
      <c r="VI285" s="16"/>
      <c r="VJ285" s="16"/>
      <c r="VK285" s="16"/>
      <c r="VL285" s="16"/>
      <c r="VM285" s="16"/>
      <c r="VN285" s="16"/>
      <c r="VO285" s="16"/>
      <c r="VP285" s="16"/>
      <c r="VQ285" s="16"/>
      <c r="VR285" s="16"/>
      <c r="VS285" s="16"/>
      <c r="VT285" s="16"/>
      <c r="VU285" s="16"/>
      <c r="VV285" s="16"/>
      <c r="VW285" s="16"/>
      <c r="VX285" s="16"/>
      <c r="VY285" s="16"/>
      <c r="VZ285" s="16"/>
      <c r="WA285" s="16"/>
      <c r="WB285" s="16"/>
      <c r="WC285" s="16"/>
      <c r="WD285" s="16"/>
      <c r="WE285" s="16"/>
      <c r="WF285" s="16"/>
      <c r="WG285" s="16"/>
      <c r="WH285" s="16"/>
      <c r="WI285" s="16"/>
      <c r="WJ285" s="16"/>
      <c r="WK285" s="16"/>
      <c r="WL285" s="16"/>
      <c r="WM285" s="16"/>
      <c r="WN285" s="16"/>
      <c r="WO285" s="16"/>
      <c r="WP285" s="16"/>
      <c r="WQ285" s="16"/>
      <c r="WR285" s="16"/>
      <c r="WS285" s="16"/>
      <c r="WT285" s="16"/>
      <c r="WU285" s="16"/>
      <c r="WV285" s="16"/>
      <c r="WW285" s="16"/>
      <c r="WX285" s="16"/>
      <c r="WY285" s="16"/>
      <c r="WZ285" s="16"/>
      <c r="XA285" s="16"/>
      <c r="XB285" s="16"/>
      <c r="XC285" s="16"/>
      <c r="XD285" s="16"/>
      <c r="XE285" s="16"/>
      <c r="XF285" s="16"/>
      <c r="XG285" s="16"/>
      <c r="XH285" s="16"/>
      <c r="XI285" s="16"/>
      <c r="XJ285" s="16"/>
      <c r="XK285" s="16"/>
      <c r="XL285" s="16"/>
      <c r="XM285" s="16"/>
      <c r="XN285" s="16"/>
      <c r="XO285" s="16"/>
      <c r="XP285" s="16"/>
      <c r="XQ285" s="16"/>
      <c r="XR285" s="16"/>
      <c r="XS285" s="16"/>
      <c r="XT285" s="16"/>
      <c r="XU285" s="16"/>
      <c r="XV285" s="16"/>
      <c r="XW285" s="16"/>
      <c r="XX285" s="16"/>
      <c r="XY285" s="16"/>
      <c r="XZ285" s="16"/>
      <c r="YA285" s="16"/>
      <c r="YB285" s="16"/>
      <c r="YC285" s="16"/>
      <c r="YD285" s="16"/>
      <c r="YE285" s="16"/>
      <c r="YF285" s="16"/>
      <c r="YG285" s="16"/>
      <c r="YH285" s="16"/>
      <c r="YI285" s="16"/>
      <c r="YJ285" s="16"/>
      <c r="YK285" s="16"/>
      <c r="YL285" s="16"/>
      <c r="YM285" s="16"/>
      <c r="YN285" s="16"/>
      <c r="YO285" s="16"/>
      <c r="YP285" s="16"/>
      <c r="YQ285" s="16"/>
      <c r="YR285" s="16"/>
      <c r="YS285" s="16"/>
      <c r="YT285" s="16"/>
      <c r="YU285" s="16"/>
      <c r="YV285" s="16"/>
      <c r="YW285" s="16"/>
      <c r="YX285" s="16"/>
      <c r="YY285" s="16"/>
      <c r="YZ285" s="16"/>
      <c r="ZA285" s="16"/>
      <c r="ZB285" s="16"/>
      <c r="ZC285" s="16"/>
      <c r="ZD285" s="16"/>
      <c r="ZE285" s="16"/>
      <c r="ZF285" s="16"/>
      <c r="ZG285" s="16"/>
      <c r="ZH285" s="16"/>
      <c r="ZI285" s="16"/>
      <c r="ZJ285" s="16"/>
      <c r="ZK285" s="16"/>
      <c r="ZL285" s="16"/>
      <c r="ZM285" s="16"/>
      <c r="ZN285" s="16"/>
      <c r="ZO285" s="16"/>
      <c r="ZP285" s="16"/>
      <c r="ZQ285" s="16"/>
      <c r="ZR285" s="16"/>
      <c r="ZS285" s="16"/>
      <c r="ZT285" s="16"/>
      <c r="ZU285" s="16"/>
      <c r="ZV285" s="16"/>
      <c r="ZW285" s="16"/>
      <c r="ZX285" s="16"/>
      <c r="ZY285" s="16"/>
      <c r="ZZ285" s="16"/>
      <c r="AAA285" s="16"/>
      <c r="AAB285" s="16"/>
      <c r="AAC285" s="16"/>
    </row>
    <row r="286" spans="1:705" s="16" customFormat="1" ht="44.1" hidden="1" customHeight="1" x14ac:dyDescent="0.3">
      <c r="A286" s="200">
        <v>282</v>
      </c>
      <c r="B286" s="138">
        <v>241841</v>
      </c>
      <c r="C286" s="138">
        <v>282</v>
      </c>
      <c r="D286" s="139">
        <v>45977</v>
      </c>
      <c r="E286" s="139">
        <f t="shared" si="36"/>
        <v>45976</v>
      </c>
      <c r="F286" s="139">
        <f t="shared" si="41"/>
        <v>45987</v>
      </c>
      <c r="G286" s="139">
        <v>46068</v>
      </c>
      <c r="H286" s="139">
        <v>46167</v>
      </c>
      <c r="I286" s="139" t="s">
        <v>349</v>
      </c>
      <c r="J286" s="140" t="s">
        <v>671</v>
      </c>
      <c r="K286" s="141">
        <f t="shared" si="42"/>
        <v>81</v>
      </c>
      <c r="L286" s="141">
        <v>1168251</v>
      </c>
      <c r="M286" s="140" t="s">
        <v>15</v>
      </c>
      <c r="N286" s="140">
        <v>809096</v>
      </c>
      <c r="O286" s="140" t="s">
        <v>246</v>
      </c>
      <c r="P286" s="143">
        <v>46056</v>
      </c>
      <c r="Q286" s="143">
        <v>46170</v>
      </c>
      <c r="R286" s="185" t="s">
        <v>1234</v>
      </c>
      <c r="S286" s="144" t="s">
        <v>672</v>
      </c>
      <c r="T286" s="145">
        <v>1</v>
      </c>
      <c r="U286" s="186" t="s">
        <v>173</v>
      </c>
      <c r="V286" s="146">
        <v>89</v>
      </c>
      <c r="W286" s="146">
        <v>89</v>
      </c>
      <c r="X286" s="147">
        <v>0</v>
      </c>
      <c r="Y286" s="146">
        <v>0</v>
      </c>
      <c r="Z286" s="146">
        <v>0</v>
      </c>
      <c r="AA286" s="146">
        <v>0</v>
      </c>
      <c r="AB286" s="146">
        <v>85</v>
      </c>
      <c r="AC286" s="146">
        <v>85</v>
      </c>
      <c r="AD286" s="146">
        <v>4</v>
      </c>
      <c r="AE286" s="146">
        <v>4</v>
      </c>
      <c r="AF286" s="146">
        <v>0</v>
      </c>
      <c r="AG286" s="146">
        <v>0</v>
      </c>
      <c r="AH286" s="146">
        <v>0</v>
      </c>
      <c r="AI286" s="146">
        <v>0</v>
      </c>
      <c r="AJ286" s="146">
        <v>0</v>
      </c>
      <c r="AK286" s="146">
        <v>0</v>
      </c>
      <c r="AL286" s="146">
        <v>1</v>
      </c>
      <c r="AM286" s="146">
        <v>1</v>
      </c>
      <c r="AN286" s="146">
        <v>2</v>
      </c>
      <c r="AO286" s="146">
        <v>2</v>
      </c>
      <c r="AP286" s="146">
        <v>1</v>
      </c>
      <c r="AQ286" s="146">
        <v>1</v>
      </c>
      <c r="AR286" s="146">
        <v>0</v>
      </c>
      <c r="AS286" s="146">
        <v>0</v>
      </c>
      <c r="AT286" s="146">
        <v>0</v>
      </c>
      <c r="AU286" s="146">
        <v>0</v>
      </c>
      <c r="AV286" s="146">
        <v>0</v>
      </c>
      <c r="AW286" s="146">
        <v>0</v>
      </c>
      <c r="AX286" s="146">
        <f t="shared" si="40"/>
        <v>11825</v>
      </c>
      <c r="AY286" s="146">
        <f t="shared" si="38"/>
        <v>11825</v>
      </c>
      <c r="AZ286" s="140" t="s">
        <v>562</v>
      </c>
      <c r="BA286" s="140" t="s">
        <v>562</v>
      </c>
      <c r="BB286" s="137">
        <v>12</v>
      </c>
      <c r="BC286" s="187">
        <v>282</v>
      </c>
      <c r="BD286" s="149"/>
      <c r="BE286" s="145"/>
      <c r="BF286" s="150"/>
      <c r="BG286" s="188">
        <v>46162</v>
      </c>
      <c r="BH286" s="153" t="s">
        <v>535</v>
      </c>
      <c r="BI286" s="153" t="s">
        <v>562</v>
      </c>
      <c r="BK286" s="238"/>
    </row>
    <row r="287" spans="1:705" s="16" customFormat="1" ht="44.1" customHeight="1" x14ac:dyDescent="0.3">
      <c r="A287" s="200">
        <v>283</v>
      </c>
      <c r="B287" s="62">
        <v>241846</v>
      </c>
      <c r="C287" s="62">
        <v>283</v>
      </c>
      <c r="D287" s="63">
        <v>45978</v>
      </c>
      <c r="E287" s="63">
        <f t="shared" si="36"/>
        <v>45977</v>
      </c>
      <c r="F287" s="63">
        <f t="shared" si="41"/>
        <v>45988</v>
      </c>
      <c r="G287" s="63">
        <v>46069</v>
      </c>
      <c r="H287" s="63">
        <f ca="1">TODAY()</f>
        <v>46277</v>
      </c>
      <c r="I287" s="63" t="s">
        <v>349</v>
      </c>
      <c r="J287" s="64" t="s">
        <v>673</v>
      </c>
      <c r="K287" s="65">
        <f t="shared" si="42"/>
        <v>81</v>
      </c>
      <c r="L287" s="65">
        <v>1168413</v>
      </c>
      <c r="M287" s="64" t="s">
        <v>77</v>
      </c>
      <c r="N287" s="64">
        <v>809096</v>
      </c>
      <c r="O287" s="253" t="s">
        <v>1462</v>
      </c>
      <c r="P287" s="103">
        <v>46056</v>
      </c>
      <c r="Q287" s="103">
        <v>46170</v>
      </c>
      <c r="R287" s="73" t="s">
        <v>211</v>
      </c>
      <c r="S287" s="66" t="s">
        <v>674</v>
      </c>
      <c r="T287" s="67">
        <v>1</v>
      </c>
      <c r="U287" s="75" t="s">
        <v>173</v>
      </c>
      <c r="V287" s="68">
        <v>141</v>
      </c>
      <c r="W287" s="68"/>
      <c r="X287" s="69">
        <v>1</v>
      </c>
      <c r="Y287" s="68"/>
      <c r="Z287" s="68">
        <v>0</v>
      </c>
      <c r="AA287" s="68">
        <v>0</v>
      </c>
      <c r="AB287" s="68">
        <v>0</v>
      </c>
      <c r="AC287" s="68"/>
      <c r="AD287" s="68">
        <v>0</v>
      </c>
      <c r="AE287" s="68">
        <v>0</v>
      </c>
      <c r="AF287" s="68">
        <v>0</v>
      </c>
      <c r="AG287" s="68">
        <v>0</v>
      </c>
      <c r="AH287" s="68">
        <v>0</v>
      </c>
      <c r="AI287" s="68">
        <v>0</v>
      </c>
      <c r="AJ287" s="68">
        <v>1</v>
      </c>
      <c r="AK287" s="68"/>
      <c r="AL287" s="68">
        <v>2</v>
      </c>
      <c r="AM287" s="68"/>
      <c r="AN287" s="68">
        <v>3</v>
      </c>
      <c r="AO287" s="68"/>
      <c r="AP287" s="68">
        <v>3</v>
      </c>
      <c r="AQ287" s="68"/>
      <c r="AR287" s="68">
        <v>0</v>
      </c>
      <c r="AS287" s="68">
        <v>0</v>
      </c>
      <c r="AT287" s="68">
        <v>0</v>
      </c>
      <c r="AU287" s="68">
        <v>0</v>
      </c>
      <c r="AV287" s="68">
        <v>0</v>
      </c>
      <c r="AW287" s="68">
        <v>0</v>
      </c>
      <c r="AX287" s="146">
        <f t="shared" si="40"/>
        <v>12165</v>
      </c>
      <c r="AY287" s="146">
        <f t="shared" si="38"/>
        <v>0</v>
      </c>
      <c r="AZ287" s="64" t="s">
        <v>77</v>
      </c>
      <c r="BA287" s="64" t="s">
        <v>77</v>
      </c>
      <c r="BB287" s="15" t="s">
        <v>77</v>
      </c>
      <c r="BC287" s="74">
        <v>283</v>
      </c>
      <c r="BD287" s="70"/>
      <c r="BE287" s="67"/>
      <c r="BF287" s="71"/>
      <c r="BG287" s="15"/>
      <c r="BH287" s="72" t="s">
        <v>77</v>
      </c>
      <c r="BI287" s="72" t="s">
        <v>77</v>
      </c>
    </row>
    <row r="288" spans="1:705" s="16" customFormat="1" ht="44.1" hidden="1" customHeight="1" x14ac:dyDescent="0.3">
      <c r="A288" s="26">
        <v>284</v>
      </c>
      <c r="B288" s="138">
        <v>241850</v>
      </c>
      <c r="C288" s="138">
        <v>284</v>
      </c>
      <c r="D288" s="139">
        <v>45978</v>
      </c>
      <c r="E288" s="139">
        <f t="shared" si="36"/>
        <v>45977</v>
      </c>
      <c r="F288" s="139">
        <f t="shared" si="41"/>
        <v>45988</v>
      </c>
      <c r="G288" s="139">
        <v>46039</v>
      </c>
      <c r="H288" s="139">
        <v>46033</v>
      </c>
      <c r="I288" s="139" t="s">
        <v>123</v>
      </c>
      <c r="J288" s="140" t="s">
        <v>675</v>
      </c>
      <c r="K288" s="141">
        <f t="shared" si="42"/>
        <v>51</v>
      </c>
      <c r="L288" s="141">
        <v>1168665</v>
      </c>
      <c r="M288" s="140" t="s">
        <v>15</v>
      </c>
      <c r="N288" s="140">
        <v>809353</v>
      </c>
      <c r="O288" s="137" t="s">
        <v>246</v>
      </c>
      <c r="P288" s="143">
        <v>46012</v>
      </c>
      <c r="Q288" s="143">
        <v>46170</v>
      </c>
      <c r="R288" s="185" t="s">
        <v>211</v>
      </c>
      <c r="S288" s="144" t="s">
        <v>676</v>
      </c>
      <c r="T288" s="145">
        <v>1</v>
      </c>
      <c r="U288" s="186" t="s">
        <v>82</v>
      </c>
      <c r="V288" s="146">
        <v>25</v>
      </c>
      <c r="W288" s="146">
        <v>25</v>
      </c>
      <c r="X288" s="147">
        <v>0</v>
      </c>
      <c r="Y288" s="146">
        <v>0</v>
      </c>
      <c r="Z288" s="146">
        <v>0</v>
      </c>
      <c r="AA288" s="146">
        <v>0</v>
      </c>
      <c r="AB288" s="146">
        <v>25</v>
      </c>
      <c r="AC288" s="146">
        <v>25</v>
      </c>
      <c r="AD288" s="146">
        <v>0</v>
      </c>
      <c r="AE288" s="146">
        <v>0</v>
      </c>
      <c r="AF288" s="146">
        <v>0</v>
      </c>
      <c r="AG288" s="146">
        <v>0</v>
      </c>
      <c r="AH288" s="146">
        <v>2</v>
      </c>
      <c r="AI288" s="146">
        <v>2</v>
      </c>
      <c r="AJ288" s="146">
        <v>0</v>
      </c>
      <c r="AK288" s="146">
        <v>0</v>
      </c>
      <c r="AL288" s="146">
        <v>0</v>
      </c>
      <c r="AM288" s="146"/>
      <c r="AN288" s="146">
        <v>2</v>
      </c>
      <c r="AO288" s="146">
        <v>2</v>
      </c>
      <c r="AP288" s="146">
        <v>3</v>
      </c>
      <c r="AQ288" s="146">
        <v>3</v>
      </c>
      <c r="AR288" s="146">
        <v>0</v>
      </c>
      <c r="AS288" s="146">
        <v>0</v>
      </c>
      <c r="AT288" s="146">
        <v>1</v>
      </c>
      <c r="AU288" s="146">
        <v>1</v>
      </c>
      <c r="AV288" s="146">
        <v>0</v>
      </c>
      <c r="AW288" s="146">
        <v>0</v>
      </c>
      <c r="AX288" s="146">
        <f t="shared" si="40"/>
        <v>5625</v>
      </c>
      <c r="AY288" s="146">
        <f t="shared" si="38"/>
        <v>5625</v>
      </c>
      <c r="AZ288" s="140" t="s">
        <v>562</v>
      </c>
      <c r="BA288" s="140" t="s">
        <v>562</v>
      </c>
      <c r="BB288" s="137">
        <v>6</v>
      </c>
      <c r="BC288" s="187">
        <v>284</v>
      </c>
      <c r="BD288" s="149"/>
      <c r="BE288" s="145"/>
      <c r="BF288" s="150"/>
      <c r="BG288" s="188">
        <v>46023</v>
      </c>
      <c r="BH288" s="153" t="s">
        <v>15</v>
      </c>
      <c r="BI288" s="153" t="s">
        <v>562</v>
      </c>
    </row>
    <row r="289" spans="1:705" s="16" customFormat="1" ht="44.1" hidden="1" customHeight="1" x14ac:dyDescent="0.3">
      <c r="A289" s="200">
        <v>285</v>
      </c>
      <c r="B289" s="138">
        <v>241851</v>
      </c>
      <c r="C289" s="138">
        <v>285</v>
      </c>
      <c r="D289" s="139">
        <v>46013</v>
      </c>
      <c r="E289" s="139">
        <f t="shared" si="36"/>
        <v>46012</v>
      </c>
      <c r="F289" s="139">
        <f t="shared" si="41"/>
        <v>46023</v>
      </c>
      <c r="G289" s="139">
        <v>46074</v>
      </c>
      <c r="H289" s="139">
        <v>46033</v>
      </c>
      <c r="I289" s="139" t="s">
        <v>123</v>
      </c>
      <c r="J289" s="140" t="s">
        <v>854</v>
      </c>
      <c r="K289" s="141">
        <f t="shared" si="42"/>
        <v>51</v>
      </c>
      <c r="L289" s="141">
        <v>1168692</v>
      </c>
      <c r="M289" s="140" t="s">
        <v>15</v>
      </c>
      <c r="N289" s="140">
        <v>809353</v>
      </c>
      <c r="O289" s="137" t="s">
        <v>246</v>
      </c>
      <c r="P289" s="143">
        <v>46012</v>
      </c>
      <c r="Q289" s="143">
        <v>46170</v>
      </c>
      <c r="R289" s="185" t="s">
        <v>211</v>
      </c>
      <c r="S289" s="144" t="s">
        <v>447</v>
      </c>
      <c r="T289" s="145">
        <v>2</v>
      </c>
      <c r="U289" s="186" t="s">
        <v>82</v>
      </c>
      <c r="V289" s="146">
        <v>80</v>
      </c>
      <c r="W289" s="146">
        <v>80</v>
      </c>
      <c r="X289" s="147">
        <v>0</v>
      </c>
      <c r="Y289" s="146">
        <v>0</v>
      </c>
      <c r="Z289" s="146">
        <v>0</v>
      </c>
      <c r="AA289" s="146">
        <v>0</v>
      </c>
      <c r="AB289" s="146">
        <v>0</v>
      </c>
      <c r="AC289" s="146"/>
      <c r="AD289" s="146">
        <v>0</v>
      </c>
      <c r="AE289" s="146">
        <v>0</v>
      </c>
      <c r="AF289" s="146">
        <v>0</v>
      </c>
      <c r="AG289" s="146">
        <v>0</v>
      </c>
      <c r="AH289" s="146">
        <v>2</v>
      </c>
      <c r="AI289" s="146">
        <v>2</v>
      </c>
      <c r="AJ289" s="146">
        <v>0</v>
      </c>
      <c r="AK289" s="146">
        <v>0</v>
      </c>
      <c r="AL289" s="146">
        <v>0</v>
      </c>
      <c r="AM289" s="146"/>
      <c r="AN289" s="146">
        <v>1</v>
      </c>
      <c r="AO289" s="146">
        <v>1</v>
      </c>
      <c r="AP289" s="146">
        <v>3</v>
      </c>
      <c r="AQ289" s="146">
        <v>3</v>
      </c>
      <c r="AR289" s="146">
        <v>0</v>
      </c>
      <c r="AS289" s="146">
        <v>0</v>
      </c>
      <c r="AT289" s="146">
        <v>2</v>
      </c>
      <c r="AU289" s="146">
        <v>2</v>
      </c>
      <c r="AV289" s="146">
        <v>0</v>
      </c>
      <c r="AW289" s="146">
        <v>0</v>
      </c>
      <c r="AX289" s="146">
        <f t="shared" si="40"/>
        <v>7790</v>
      </c>
      <c r="AY289" s="146">
        <f t="shared" si="38"/>
        <v>7790</v>
      </c>
      <c r="AZ289" s="140" t="s">
        <v>562</v>
      </c>
      <c r="BA289" s="140" t="s">
        <v>562</v>
      </c>
      <c r="BB289" s="137">
        <v>6</v>
      </c>
      <c r="BC289" s="187">
        <v>285</v>
      </c>
      <c r="BD289" s="149"/>
      <c r="BE289" s="145"/>
      <c r="BF289" s="150"/>
      <c r="BG289" s="188">
        <v>46023</v>
      </c>
      <c r="BH289" s="153" t="s">
        <v>535</v>
      </c>
      <c r="BI289" s="153" t="s">
        <v>562</v>
      </c>
    </row>
    <row r="290" spans="1:705" s="16" customFormat="1" ht="44.1" hidden="1" customHeight="1" x14ac:dyDescent="0.3">
      <c r="A290" s="200">
        <v>286</v>
      </c>
      <c r="B290" s="138">
        <v>241899</v>
      </c>
      <c r="C290" s="138">
        <v>286</v>
      </c>
      <c r="D290" s="139">
        <v>45978</v>
      </c>
      <c r="E290" s="139">
        <f t="shared" si="36"/>
        <v>45977</v>
      </c>
      <c r="F290" s="139">
        <f t="shared" si="41"/>
        <v>45988</v>
      </c>
      <c r="G290" s="139">
        <v>46070</v>
      </c>
      <c r="H290" s="139">
        <v>46022</v>
      </c>
      <c r="I290" s="139" t="s">
        <v>321</v>
      </c>
      <c r="J290" s="140" t="s">
        <v>677</v>
      </c>
      <c r="K290" s="141">
        <f t="shared" si="42"/>
        <v>82</v>
      </c>
      <c r="L290" s="141">
        <v>1168842</v>
      </c>
      <c r="M290" s="140" t="s">
        <v>15</v>
      </c>
      <c r="N290" s="140">
        <v>809354</v>
      </c>
      <c r="O290" s="137" t="s">
        <v>246</v>
      </c>
      <c r="P290" s="143">
        <v>46002</v>
      </c>
      <c r="Q290" s="143">
        <v>46170</v>
      </c>
      <c r="R290" s="185" t="s">
        <v>211</v>
      </c>
      <c r="S290" s="144" t="s">
        <v>577</v>
      </c>
      <c r="T290" s="145">
        <v>1</v>
      </c>
      <c r="U290" s="186" t="s">
        <v>82</v>
      </c>
      <c r="V290" s="146">
        <v>168</v>
      </c>
      <c r="W290" s="146">
        <v>168</v>
      </c>
      <c r="X290" s="147">
        <v>0</v>
      </c>
      <c r="Y290" s="146">
        <v>0</v>
      </c>
      <c r="Z290" s="146">
        <v>0</v>
      </c>
      <c r="AA290" s="146">
        <v>0</v>
      </c>
      <c r="AB290" s="146">
        <v>54</v>
      </c>
      <c r="AC290" s="146">
        <v>54</v>
      </c>
      <c r="AD290" s="146">
        <v>0</v>
      </c>
      <c r="AE290" s="146">
        <v>0</v>
      </c>
      <c r="AF290" s="146">
        <v>0</v>
      </c>
      <c r="AG290" s="146">
        <v>0</v>
      </c>
      <c r="AH290" s="146">
        <v>2</v>
      </c>
      <c r="AI290" s="146">
        <v>2</v>
      </c>
      <c r="AJ290" s="146">
        <v>0</v>
      </c>
      <c r="AK290" s="146">
        <v>0</v>
      </c>
      <c r="AL290" s="146">
        <v>1</v>
      </c>
      <c r="AM290" s="146">
        <v>1</v>
      </c>
      <c r="AN290" s="146">
        <v>4</v>
      </c>
      <c r="AO290" s="146">
        <v>4</v>
      </c>
      <c r="AP290" s="146">
        <v>3</v>
      </c>
      <c r="AQ290" s="146">
        <v>3</v>
      </c>
      <c r="AR290" s="146">
        <v>0</v>
      </c>
      <c r="AS290" s="146">
        <v>0</v>
      </c>
      <c r="AT290" s="146">
        <v>2</v>
      </c>
      <c r="AU290" s="146">
        <v>2</v>
      </c>
      <c r="AV290" s="146">
        <v>0</v>
      </c>
      <c r="AW290" s="146">
        <v>0</v>
      </c>
      <c r="AX290" s="146">
        <f t="shared" si="40"/>
        <v>16918</v>
      </c>
      <c r="AY290" s="146">
        <f t="shared" si="38"/>
        <v>16918</v>
      </c>
      <c r="AZ290" s="140" t="s">
        <v>562</v>
      </c>
      <c r="BA290" s="140" t="s">
        <v>562</v>
      </c>
      <c r="BB290" s="137">
        <v>7</v>
      </c>
      <c r="BC290" s="187">
        <v>286</v>
      </c>
      <c r="BD290" s="149"/>
      <c r="BE290" s="145"/>
      <c r="BF290" s="150"/>
      <c r="BG290" s="188">
        <v>45992</v>
      </c>
      <c r="BH290" s="153" t="s">
        <v>15</v>
      </c>
      <c r="BI290" s="153" t="s">
        <v>562</v>
      </c>
    </row>
    <row r="291" spans="1:705" s="16" customFormat="1" ht="44.1" customHeight="1" x14ac:dyDescent="0.3">
      <c r="A291" s="200">
        <v>287</v>
      </c>
      <c r="B291" s="62">
        <v>241909</v>
      </c>
      <c r="C291" s="62">
        <v>287</v>
      </c>
      <c r="D291" s="63">
        <v>45979</v>
      </c>
      <c r="E291" s="63">
        <f t="shared" si="36"/>
        <v>45978</v>
      </c>
      <c r="F291" s="63">
        <f t="shared" si="41"/>
        <v>45989</v>
      </c>
      <c r="G291" s="63">
        <v>46071</v>
      </c>
      <c r="H291" s="63">
        <f ca="1">TODAY()</f>
        <v>46277</v>
      </c>
      <c r="I291" s="63" t="s">
        <v>321</v>
      </c>
      <c r="J291" s="64" t="s">
        <v>678</v>
      </c>
      <c r="K291" s="65">
        <f t="shared" si="42"/>
        <v>82</v>
      </c>
      <c r="L291" s="65">
        <v>1169156</v>
      </c>
      <c r="M291" s="183" t="s">
        <v>77</v>
      </c>
      <c r="N291" s="64">
        <v>837394</v>
      </c>
      <c r="O291" s="80" t="s">
        <v>246</v>
      </c>
      <c r="P291" s="103">
        <v>46257</v>
      </c>
      <c r="Q291" s="103">
        <v>46422</v>
      </c>
      <c r="R291" s="73" t="s">
        <v>211</v>
      </c>
      <c r="S291" s="66" t="s">
        <v>679</v>
      </c>
      <c r="T291" s="67">
        <v>1</v>
      </c>
      <c r="U291" s="75" t="s">
        <v>186</v>
      </c>
      <c r="V291" s="68">
        <v>251</v>
      </c>
      <c r="W291" s="68"/>
      <c r="X291" s="69">
        <v>0</v>
      </c>
      <c r="Y291" s="68">
        <v>0</v>
      </c>
      <c r="Z291" s="68">
        <v>0</v>
      </c>
      <c r="AA291" s="68">
        <v>0</v>
      </c>
      <c r="AB291" s="68">
        <v>1</v>
      </c>
      <c r="AC291" s="68"/>
      <c r="AD291" s="68">
        <v>0</v>
      </c>
      <c r="AE291" s="68">
        <v>0</v>
      </c>
      <c r="AF291" s="68">
        <v>0</v>
      </c>
      <c r="AG291" s="68">
        <v>0</v>
      </c>
      <c r="AH291" s="68">
        <v>1</v>
      </c>
      <c r="AI291" s="68"/>
      <c r="AJ291" s="68">
        <v>0</v>
      </c>
      <c r="AK291" s="68">
        <v>0</v>
      </c>
      <c r="AL291" s="68">
        <v>1</v>
      </c>
      <c r="AM291" s="68"/>
      <c r="AN291" s="68">
        <v>1</v>
      </c>
      <c r="AO291" s="68"/>
      <c r="AP291" s="68">
        <v>1</v>
      </c>
      <c r="AQ291" s="68"/>
      <c r="AR291" s="68">
        <v>0</v>
      </c>
      <c r="AS291" s="68">
        <v>0</v>
      </c>
      <c r="AT291" s="68">
        <v>1</v>
      </c>
      <c r="AU291" s="68"/>
      <c r="AV291" s="68">
        <v>0</v>
      </c>
      <c r="AW291" s="68">
        <v>0</v>
      </c>
      <c r="AX291" s="146">
        <f t="shared" si="40"/>
        <v>16917</v>
      </c>
      <c r="AY291" s="146">
        <f t="shared" si="38"/>
        <v>0</v>
      </c>
      <c r="AZ291" s="64" t="s">
        <v>77</v>
      </c>
      <c r="BA291" s="64" t="s">
        <v>77</v>
      </c>
      <c r="BB291" s="15" t="s">
        <v>77</v>
      </c>
      <c r="BC291" s="74">
        <v>287</v>
      </c>
      <c r="BD291" s="70"/>
      <c r="BE291" s="67"/>
      <c r="BF291" s="71"/>
      <c r="BG291" s="15"/>
      <c r="BH291" s="72" t="s">
        <v>77</v>
      </c>
      <c r="BI291" s="72" t="s">
        <v>77</v>
      </c>
    </row>
    <row r="292" spans="1:705" s="16" customFormat="1" ht="44.1" hidden="1" customHeight="1" x14ac:dyDescent="0.3">
      <c r="A292" s="200">
        <v>288</v>
      </c>
      <c r="B292" s="138">
        <v>241924</v>
      </c>
      <c r="C292" s="138">
        <v>288</v>
      </c>
      <c r="D292" s="139">
        <v>45979</v>
      </c>
      <c r="E292" s="139">
        <f t="shared" si="36"/>
        <v>45978</v>
      </c>
      <c r="F292" s="139">
        <f t="shared" si="41"/>
        <v>45989</v>
      </c>
      <c r="G292" s="139">
        <v>46071</v>
      </c>
      <c r="H292" s="139">
        <v>46021</v>
      </c>
      <c r="I292" s="139" t="s">
        <v>321</v>
      </c>
      <c r="J292" s="140" t="s">
        <v>680</v>
      </c>
      <c r="K292" s="141">
        <f t="shared" si="42"/>
        <v>82</v>
      </c>
      <c r="L292" s="141">
        <v>1169214</v>
      </c>
      <c r="M292" s="140" t="s">
        <v>15</v>
      </c>
      <c r="N292" s="140">
        <v>810031</v>
      </c>
      <c r="O292" s="137" t="s">
        <v>246</v>
      </c>
      <c r="P292" s="143">
        <v>46002</v>
      </c>
      <c r="Q292" s="143">
        <v>46177</v>
      </c>
      <c r="R292" s="185" t="s">
        <v>211</v>
      </c>
      <c r="S292" s="144" t="s">
        <v>681</v>
      </c>
      <c r="T292" s="145">
        <v>1</v>
      </c>
      <c r="U292" s="186" t="s">
        <v>81</v>
      </c>
      <c r="V292" s="146">
        <v>40</v>
      </c>
      <c r="W292" s="146">
        <v>40</v>
      </c>
      <c r="X292" s="147">
        <v>0</v>
      </c>
      <c r="Y292" s="146">
        <v>0</v>
      </c>
      <c r="Z292" s="146">
        <v>0</v>
      </c>
      <c r="AA292" s="146">
        <v>0</v>
      </c>
      <c r="AB292" s="146">
        <v>38</v>
      </c>
      <c r="AC292" s="146">
        <v>38</v>
      </c>
      <c r="AD292" s="146">
        <v>0</v>
      </c>
      <c r="AE292" s="146">
        <v>0</v>
      </c>
      <c r="AF292" s="146">
        <v>0</v>
      </c>
      <c r="AG292" s="146">
        <v>0</v>
      </c>
      <c r="AH292" s="146">
        <v>0</v>
      </c>
      <c r="AI292" s="146"/>
      <c r="AJ292" s="146">
        <v>0</v>
      </c>
      <c r="AK292" s="146">
        <v>0</v>
      </c>
      <c r="AL292" s="146">
        <v>1</v>
      </c>
      <c r="AM292" s="146">
        <v>1</v>
      </c>
      <c r="AN292" s="146">
        <v>1</v>
      </c>
      <c r="AO292" s="146">
        <v>1</v>
      </c>
      <c r="AP292" s="146">
        <v>0</v>
      </c>
      <c r="AQ292" s="146"/>
      <c r="AR292" s="146">
        <v>0</v>
      </c>
      <c r="AS292" s="146">
        <v>0</v>
      </c>
      <c r="AT292" s="146">
        <v>0</v>
      </c>
      <c r="AU292" s="146"/>
      <c r="AV292" s="146">
        <v>0</v>
      </c>
      <c r="AW292" s="146">
        <v>0</v>
      </c>
      <c r="AX292" s="146">
        <f t="shared" si="40"/>
        <v>5216</v>
      </c>
      <c r="AY292" s="146">
        <f t="shared" si="38"/>
        <v>5216</v>
      </c>
      <c r="AZ292" s="140" t="s">
        <v>562</v>
      </c>
      <c r="BA292" s="140" t="s">
        <v>562</v>
      </c>
      <c r="BB292" s="137">
        <v>7</v>
      </c>
      <c r="BC292" s="187">
        <v>288</v>
      </c>
      <c r="BD292" s="149"/>
      <c r="BE292" s="145"/>
      <c r="BF292" s="150"/>
      <c r="BG292" s="188">
        <v>45992</v>
      </c>
      <c r="BH292" s="153" t="s">
        <v>15</v>
      </c>
      <c r="BI292" s="153" t="s">
        <v>562</v>
      </c>
    </row>
    <row r="293" spans="1:705" s="16" customFormat="1" ht="44.1" customHeight="1" x14ac:dyDescent="0.3">
      <c r="A293" s="200">
        <v>289</v>
      </c>
      <c r="B293" s="62">
        <v>241937</v>
      </c>
      <c r="C293" s="62">
        <v>289</v>
      </c>
      <c r="D293" s="63">
        <v>45979</v>
      </c>
      <c r="E293" s="63">
        <f t="shared" si="36"/>
        <v>45978</v>
      </c>
      <c r="F293" s="63">
        <f t="shared" si="41"/>
        <v>45989</v>
      </c>
      <c r="G293" s="63">
        <v>46071</v>
      </c>
      <c r="H293" s="63">
        <f ca="1">TODAY()</f>
        <v>46277</v>
      </c>
      <c r="I293" s="63" t="s">
        <v>321</v>
      </c>
      <c r="J293" s="64" t="s">
        <v>682</v>
      </c>
      <c r="K293" s="65">
        <f t="shared" si="42"/>
        <v>82</v>
      </c>
      <c r="L293" s="65">
        <v>1169236</v>
      </c>
      <c r="M293" s="183" t="s">
        <v>77</v>
      </c>
      <c r="N293" s="64">
        <v>811741</v>
      </c>
      <c r="O293" s="253" t="s">
        <v>1462</v>
      </c>
      <c r="P293" s="103">
        <v>46030</v>
      </c>
      <c r="Q293" s="103">
        <v>46198</v>
      </c>
      <c r="R293" s="73" t="s">
        <v>211</v>
      </c>
      <c r="S293" s="66" t="s">
        <v>683</v>
      </c>
      <c r="T293" s="67">
        <v>1</v>
      </c>
      <c r="U293" s="75" t="s">
        <v>684</v>
      </c>
      <c r="V293" s="68">
        <v>61</v>
      </c>
      <c r="W293" s="68"/>
      <c r="X293" s="69">
        <v>0</v>
      </c>
      <c r="Y293" s="68">
        <v>0</v>
      </c>
      <c r="Z293" s="68">
        <v>0</v>
      </c>
      <c r="AA293" s="68">
        <v>0</v>
      </c>
      <c r="AB293" s="68">
        <v>0</v>
      </c>
      <c r="AC293" s="68"/>
      <c r="AD293" s="68">
        <v>0</v>
      </c>
      <c r="AE293" s="68">
        <v>0</v>
      </c>
      <c r="AF293" s="68">
        <v>0</v>
      </c>
      <c r="AG293" s="68">
        <v>0</v>
      </c>
      <c r="AH293" s="68">
        <v>0</v>
      </c>
      <c r="AI293" s="68"/>
      <c r="AJ293" s="68">
        <v>0</v>
      </c>
      <c r="AK293" s="68">
        <v>0</v>
      </c>
      <c r="AL293" s="68">
        <v>1</v>
      </c>
      <c r="AM293" s="68"/>
      <c r="AN293" s="68">
        <v>1</v>
      </c>
      <c r="AO293" s="68"/>
      <c r="AP293" s="68">
        <v>1</v>
      </c>
      <c r="AQ293" s="68"/>
      <c r="AR293" s="68">
        <v>0</v>
      </c>
      <c r="AS293" s="68">
        <v>0</v>
      </c>
      <c r="AT293" s="68">
        <v>0</v>
      </c>
      <c r="AU293" s="68"/>
      <c r="AV293" s="68">
        <v>0</v>
      </c>
      <c r="AW293" s="68">
        <v>0</v>
      </c>
      <c r="AX293" s="146">
        <f t="shared" si="40"/>
        <v>4940</v>
      </c>
      <c r="AY293" s="146">
        <f t="shared" si="38"/>
        <v>0</v>
      </c>
      <c r="AZ293" s="64" t="s">
        <v>77</v>
      </c>
      <c r="BA293" s="64" t="s">
        <v>77</v>
      </c>
      <c r="BB293" s="15" t="s">
        <v>77</v>
      </c>
      <c r="BC293" s="74">
        <v>289</v>
      </c>
      <c r="BD293" s="70"/>
      <c r="BE293" s="67"/>
      <c r="BF293" s="71"/>
      <c r="BG293" s="15"/>
      <c r="BH293" s="72" t="s">
        <v>77</v>
      </c>
      <c r="BI293" s="72" t="s">
        <v>77</v>
      </c>
    </row>
    <row r="294" spans="1:705" s="16" customFormat="1" ht="44.1" customHeight="1" x14ac:dyDescent="0.3">
      <c r="A294" s="200">
        <v>290</v>
      </c>
      <c r="B294" s="62">
        <v>241940</v>
      </c>
      <c r="C294" s="62">
        <v>290</v>
      </c>
      <c r="D294" s="63">
        <v>45979</v>
      </c>
      <c r="E294" s="63">
        <f t="shared" si="36"/>
        <v>45978</v>
      </c>
      <c r="F294" s="63">
        <f t="shared" si="41"/>
        <v>45989</v>
      </c>
      <c r="G294" s="63">
        <v>46070</v>
      </c>
      <c r="H294" s="63">
        <f ca="1">TODAY()</f>
        <v>46277</v>
      </c>
      <c r="I294" s="63" t="s">
        <v>349</v>
      </c>
      <c r="J294" s="64" t="s">
        <v>685</v>
      </c>
      <c r="K294" s="65">
        <f t="shared" si="42"/>
        <v>81</v>
      </c>
      <c r="L294" s="65">
        <v>1169240</v>
      </c>
      <c r="M294" s="64" t="s">
        <v>77</v>
      </c>
      <c r="N294" s="64">
        <v>810030</v>
      </c>
      <c r="O294" s="253" t="s">
        <v>1462</v>
      </c>
      <c r="P294" s="103">
        <v>46015</v>
      </c>
      <c r="Q294" s="103">
        <v>46177</v>
      </c>
      <c r="R294" s="73" t="s">
        <v>211</v>
      </c>
      <c r="S294" s="66" t="s">
        <v>686</v>
      </c>
      <c r="T294" s="67">
        <v>1</v>
      </c>
      <c r="U294" s="75" t="s">
        <v>81</v>
      </c>
      <c r="V294" s="68">
        <v>80</v>
      </c>
      <c r="W294" s="68">
        <v>0</v>
      </c>
      <c r="X294" s="69">
        <v>1</v>
      </c>
      <c r="Y294" s="68"/>
      <c r="Z294" s="68">
        <v>0</v>
      </c>
      <c r="AA294" s="68">
        <v>0</v>
      </c>
      <c r="AB294" s="68">
        <v>0</v>
      </c>
      <c r="AC294" s="68">
        <v>0</v>
      </c>
      <c r="AD294" s="68">
        <v>0</v>
      </c>
      <c r="AE294" s="68">
        <v>0</v>
      </c>
      <c r="AF294" s="68">
        <v>0</v>
      </c>
      <c r="AG294" s="68">
        <v>0</v>
      </c>
      <c r="AH294" s="68">
        <v>1</v>
      </c>
      <c r="AI294" s="68"/>
      <c r="AJ294" s="68">
        <v>0</v>
      </c>
      <c r="AK294" s="68">
        <v>0</v>
      </c>
      <c r="AL294" s="68">
        <v>1</v>
      </c>
      <c r="AM294" s="68"/>
      <c r="AN294" s="68">
        <v>1</v>
      </c>
      <c r="AO294" s="68"/>
      <c r="AP294" s="68">
        <v>1</v>
      </c>
      <c r="AQ294" s="68"/>
      <c r="AR294" s="68">
        <v>0</v>
      </c>
      <c r="AS294" s="68">
        <v>0</v>
      </c>
      <c r="AT294" s="68">
        <v>0</v>
      </c>
      <c r="AU294" s="68">
        <v>0</v>
      </c>
      <c r="AV294" s="68">
        <v>0</v>
      </c>
      <c r="AW294" s="68">
        <v>0</v>
      </c>
      <c r="AX294" s="146">
        <f t="shared" si="40"/>
        <v>6330</v>
      </c>
      <c r="AY294" s="146">
        <f t="shared" si="38"/>
        <v>0</v>
      </c>
      <c r="AZ294" s="64" t="s">
        <v>77</v>
      </c>
      <c r="BA294" s="64" t="s">
        <v>77</v>
      </c>
      <c r="BB294" s="15" t="s">
        <v>77</v>
      </c>
      <c r="BC294" s="74">
        <v>290</v>
      </c>
      <c r="BD294" s="70"/>
      <c r="BE294" s="67"/>
      <c r="BF294" s="71"/>
      <c r="BG294" s="15"/>
      <c r="BH294" s="72" t="s">
        <v>77</v>
      </c>
      <c r="BI294" s="72" t="s">
        <v>77</v>
      </c>
    </row>
    <row r="295" spans="1:705" s="16" customFormat="1" ht="44.1" customHeight="1" x14ac:dyDescent="0.3">
      <c r="A295" s="200">
        <v>291</v>
      </c>
      <c r="B295" s="62">
        <v>241951</v>
      </c>
      <c r="C295" s="62">
        <v>291</v>
      </c>
      <c r="D295" s="63">
        <v>46105</v>
      </c>
      <c r="E295" s="63">
        <f t="shared" si="36"/>
        <v>46104</v>
      </c>
      <c r="F295" s="63">
        <f t="shared" si="41"/>
        <v>46115</v>
      </c>
      <c r="G295" s="63">
        <v>46195</v>
      </c>
      <c r="H295" s="63">
        <f ca="1">TODAY()</f>
        <v>46277</v>
      </c>
      <c r="I295" s="63" t="s">
        <v>349</v>
      </c>
      <c r="J295" s="64" t="s">
        <v>687</v>
      </c>
      <c r="K295" s="65">
        <f t="shared" si="42"/>
        <v>80</v>
      </c>
      <c r="L295" s="65">
        <v>1169276</v>
      </c>
      <c r="M295" s="64" t="s">
        <v>77</v>
      </c>
      <c r="N295" s="64">
        <v>814351</v>
      </c>
      <c r="O295" s="253" t="s">
        <v>1462</v>
      </c>
      <c r="P295" s="103">
        <v>46072</v>
      </c>
      <c r="Q295" s="103">
        <v>46226</v>
      </c>
      <c r="R295" s="73" t="s">
        <v>211</v>
      </c>
      <c r="S295" s="66" t="s">
        <v>688</v>
      </c>
      <c r="T295" s="67">
        <v>1</v>
      </c>
      <c r="U295" s="75" t="s">
        <v>186</v>
      </c>
      <c r="V295" s="68">
        <v>90</v>
      </c>
      <c r="W295" s="68"/>
      <c r="X295" s="69">
        <v>1</v>
      </c>
      <c r="Y295" s="68"/>
      <c r="Z295" s="68">
        <v>0</v>
      </c>
      <c r="AA295" s="68">
        <v>0</v>
      </c>
      <c r="AB295" s="68">
        <v>0</v>
      </c>
      <c r="AC295" s="68"/>
      <c r="AD295" s="68">
        <v>0</v>
      </c>
      <c r="AE295" s="68">
        <v>0</v>
      </c>
      <c r="AF295" s="68">
        <v>0</v>
      </c>
      <c r="AG295" s="68">
        <v>0</v>
      </c>
      <c r="AH295" s="68">
        <v>1</v>
      </c>
      <c r="AI295" s="68"/>
      <c r="AJ295" s="68">
        <v>0</v>
      </c>
      <c r="AK295" s="68">
        <v>0</v>
      </c>
      <c r="AL295" s="68">
        <v>1</v>
      </c>
      <c r="AM295" s="68"/>
      <c r="AN295" s="68">
        <v>1</v>
      </c>
      <c r="AO295" s="68"/>
      <c r="AP295" s="68">
        <v>1</v>
      </c>
      <c r="AQ295" s="68"/>
      <c r="AR295" s="68">
        <v>0</v>
      </c>
      <c r="AS295" s="68">
        <v>0</v>
      </c>
      <c r="AT295" s="68">
        <v>0</v>
      </c>
      <c r="AU295" s="68">
        <v>0</v>
      </c>
      <c r="AV295" s="68">
        <v>0</v>
      </c>
      <c r="AW295" s="68">
        <v>0</v>
      </c>
      <c r="AX295" s="146">
        <f t="shared" si="40"/>
        <v>6930</v>
      </c>
      <c r="AY295" s="146">
        <f t="shared" si="38"/>
        <v>0</v>
      </c>
      <c r="AZ295" s="64" t="s">
        <v>77</v>
      </c>
      <c r="BA295" s="64" t="s">
        <v>77</v>
      </c>
      <c r="BB295" s="15" t="s">
        <v>77</v>
      </c>
      <c r="BC295" s="74">
        <v>291</v>
      </c>
      <c r="BD295" s="70"/>
      <c r="BE295" s="67"/>
      <c r="BF295" s="71"/>
      <c r="BG295" s="15"/>
      <c r="BH295" s="72" t="s">
        <v>77</v>
      </c>
      <c r="BI295" s="72" t="s">
        <v>77</v>
      </c>
    </row>
    <row r="296" spans="1:705" s="16" customFormat="1" ht="44.1" hidden="1" customHeight="1" x14ac:dyDescent="0.3">
      <c r="A296" s="200">
        <v>292</v>
      </c>
      <c r="B296" s="138">
        <v>241960</v>
      </c>
      <c r="C296" s="138">
        <v>292</v>
      </c>
      <c r="D296" s="139">
        <v>45980</v>
      </c>
      <c r="E296" s="139">
        <f t="shared" si="36"/>
        <v>45979</v>
      </c>
      <c r="F296" s="139">
        <f t="shared" si="41"/>
        <v>45990</v>
      </c>
      <c r="G296" s="139">
        <v>46072</v>
      </c>
      <c r="H296" s="139">
        <v>46025</v>
      </c>
      <c r="I296" s="139" t="s">
        <v>321</v>
      </c>
      <c r="J296" s="140" t="s">
        <v>689</v>
      </c>
      <c r="K296" s="141">
        <f t="shared" si="42"/>
        <v>82</v>
      </c>
      <c r="L296" s="141">
        <v>1169516</v>
      </c>
      <c r="M296" s="140" t="s">
        <v>15</v>
      </c>
      <c r="N296" s="140">
        <v>810031</v>
      </c>
      <c r="O296" s="137" t="s">
        <v>246</v>
      </c>
      <c r="P296" s="143">
        <v>46002</v>
      </c>
      <c r="Q296" s="143">
        <v>46177</v>
      </c>
      <c r="R296" s="185" t="s">
        <v>211</v>
      </c>
      <c r="S296" s="144" t="s">
        <v>690</v>
      </c>
      <c r="T296" s="145">
        <v>1</v>
      </c>
      <c r="U296" s="186" t="s">
        <v>81</v>
      </c>
      <c r="V296" s="146">
        <v>88</v>
      </c>
      <c r="W296" s="146">
        <v>88</v>
      </c>
      <c r="X296" s="147">
        <v>0</v>
      </c>
      <c r="Y296" s="146">
        <v>0</v>
      </c>
      <c r="Z296" s="146">
        <v>0</v>
      </c>
      <c r="AA296" s="146">
        <v>0</v>
      </c>
      <c r="AB296" s="146">
        <v>0</v>
      </c>
      <c r="AC296" s="146"/>
      <c r="AD296" s="146">
        <v>0</v>
      </c>
      <c r="AE296" s="146">
        <v>0</v>
      </c>
      <c r="AF296" s="146">
        <v>0</v>
      </c>
      <c r="AG296" s="146">
        <v>0</v>
      </c>
      <c r="AH296" s="146">
        <v>0</v>
      </c>
      <c r="AI296" s="146"/>
      <c r="AJ296" s="146">
        <v>0</v>
      </c>
      <c r="AK296" s="146">
        <v>0</v>
      </c>
      <c r="AL296" s="146">
        <v>2</v>
      </c>
      <c r="AM296" s="146">
        <v>2</v>
      </c>
      <c r="AN296" s="146">
        <v>1</v>
      </c>
      <c r="AO296" s="146">
        <v>1</v>
      </c>
      <c r="AP296" s="146">
        <v>0</v>
      </c>
      <c r="AQ296" s="146"/>
      <c r="AR296" s="146">
        <v>0</v>
      </c>
      <c r="AS296" s="146">
        <v>0</v>
      </c>
      <c r="AT296" s="146">
        <v>0</v>
      </c>
      <c r="AU296" s="146"/>
      <c r="AV296" s="146">
        <v>0</v>
      </c>
      <c r="AW296" s="146">
        <v>0</v>
      </c>
      <c r="AX296" s="146">
        <f t="shared" si="40"/>
        <v>6520</v>
      </c>
      <c r="AY296" s="146">
        <f t="shared" si="38"/>
        <v>6520</v>
      </c>
      <c r="AZ296" s="140" t="s">
        <v>562</v>
      </c>
      <c r="BA296" s="140" t="s">
        <v>562</v>
      </c>
      <c r="BB296" s="137">
        <v>6</v>
      </c>
      <c r="BC296" s="187">
        <v>292</v>
      </c>
      <c r="BD296" s="149"/>
      <c r="BE296" s="145"/>
      <c r="BF296" s="150"/>
      <c r="BG296" s="188">
        <v>46023</v>
      </c>
      <c r="BH296" s="153" t="s">
        <v>15</v>
      </c>
      <c r="BI296" s="153" t="s">
        <v>562</v>
      </c>
    </row>
    <row r="297" spans="1:705" s="16" customFormat="1" ht="44.1" hidden="1" customHeight="1" x14ac:dyDescent="0.3">
      <c r="A297" s="200">
        <v>293</v>
      </c>
      <c r="B297" s="138">
        <v>241983</v>
      </c>
      <c r="C297" s="138">
        <v>293</v>
      </c>
      <c r="D297" s="139">
        <v>45980</v>
      </c>
      <c r="E297" s="139">
        <f t="shared" si="36"/>
        <v>45979</v>
      </c>
      <c r="F297" s="139">
        <f t="shared" si="41"/>
        <v>45990</v>
      </c>
      <c r="G297" s="139">
        <v>46072</v>
      </c>
      <c r="H297" s="139">
        <v>46125</v>
      </c>
      <c r="I297" s="139" t="s">
        <v>321</v>
      </c>
      <c r="J297" s="140" t="s">
        <v>691</v>
      </c>
      <c r="K297" s="141">
        <f t="shared" si="42"/>
        <v>82</v>
      </c>
      <c r="L297" s="141">
        <v>1169604</v>
      </c>
      <c r="M297" s="140" t="s">
        <v>15</v>
      </c>
      <c r="N297" s="140">
        <v>816323</v>
      </c>
      <c r="O297" s="140" t="s">
        <v>246</v>
      </c>
      <c r="P297" s="143">
        <v>46072</v>
      </c>
      <c r="Q297" s="143">
        <v>46247</v>
      </c>
      <c r="R297" s="185" t="s">
        <v>211</v>
      </c>
      <c r="S297" s="144" t="s">
        <v>692</v>
      </c>
      <c r="T297" s="145">
        <v>1</v>
      </c>
      <c r="U297" s="186" t="s">
        <v>82</v>
      </c>
      <c r="V297" s="146">
        <v>63</v>
      </c>
      <c r="W297" s="146">
        <v>63</v>
      </c>
      <c r="X297" s="147">
        <v>0</v>
      </c>
      <c r="Y297" s="146">
        <v>0</v>
      </c>
      <c r="Z297" s="146">
        <v>0</v>
      </c>
      <c r="AA297" s="146">
        <v>0</v>
      </c>
      <c r="AB297" s="146">
        <v>63</v>
      </c>
      <c r="AC297" s="146">
        <v>63</v>
      </c>
      <c r="AD297" s="146">
        <v>0</v>
      </c>
      <c r="AE297" s="146">
        <v>0</v>
      </c>
      <c r="AF297" s="146">
        <v>0</v>
      </c>
      <c r="AG297" s="146">
        <v>0</v>
      </c>
      <c r="AH297" s="146">
        <v>2</v>
      </c>
      <c r="AI297" s="146">
        <v>2</v>
      </c>
      <c r="AJ297" s="146">
        <v>0</v>
      </c>
      <c r="AK297" s="146">
        <v>0</v>
      </c>
      <c r="AL297" s="146">
        <v>1</v>
      </c>
      <c r="AM297" s="146">
        <v>1</v>
      </c>
      <c r="AN297" s="146">
        <v>4</v>
      </c>
      <c r="AO297" s="146">
        <v>4</v>
      </c>
      <c r="AP297" s="146">
        <v>2</v>
      </c>
      <c r="AQ297" s="146">
        <v>2</v>
      </c>
      <c r="AR297" s="146">
        <v>0</v>
      </c>
      <c r="AS297" s="146">
        <v>0</v>
      </c>
      <c r="AT297" s="146">
        <v>0</v>
      </c>
      <c r="AU297" s="146">
        <v>0</v>
      </c>
      <c r="AV297" s="146">
        <v>0</v>
      </c>
      <c r="AW297" s="146">
        <v>0</v>
      </c>
      <c r="AX297" s="146">
        <f t="shared" si="40"/>
        <v>9801</v>
      </c>
      <c r="AY297" s="146">
        <f t="shared" si="38"/>
        <v>9801</v>
      </c>
      <c r="AZ297" s="140" t="s">
        <v>562</v>
      </c>
      <c r="BA297" s="140" t="s">
        <v>562</v>
      </c>
      <c r="BB297" s="137">
        <v>10</v>
      </c>
      <c r="BC297" s="187">
        <v>293</v>
      </c>
      <c r="BD297" s="149"/>
      <c r="BE297" s="145"/>
      <c r="BF297" s="150"/>
      <c r="BG297" s="188">
        <v>46121</v>
      </c>
      <c r="BH297" s="153" t="s">
        <v>15</v>
      </c>
      <c r="BI297" s="153" t="s">
        <v>562</v>
      </c>
    </row>
    <row r="298" spans="1:705" s="16" customFormat="1" ht="44.1" customHeight="1" x14ac:dyDescent="0.3">
      <c r="A298" s="200">
        <v>294</v>
      </c>
      <c r="B298" s="62">
        <v>242002</v>
      </c>
      <c r="C298" s="62">
        <v>294</v>
      </c>
      <c r="D298" s="63">
        <v>45981</v>
      </c>
      <c r="E298" s="63">
        <f t="shared" si="36"/>
        <v>45980</v>
      </c>
      <c r="F298" s="63">
        <f t="shared" si="41"/>
        <v>45991</v>
      </c>
      <c r="G298" s="63">
        <v>46042</v>
      </c>
      <c r="H298" s="63">
        <f ca="1">TODAY()</f>
        <v>46277</v>
      </c>
      <c r="I298" s="63" t="s">
        <v>123</v>
      </c>
      <c r="J298" s="64" t="s">
        <v>694</v>
      </c>
      <c r="K298" s="65">
        <f t="shared" si="42"/>
        <v>51</v>
      </c>
      <c r="L298" s="65">
        <v>1170066</v>
      </c>
      <c r="M298" s="64" t="s">
        <v>1563</v>
      </c>
      <c r="N298" s="64">
        <v>810033</v>
      </c>
      <c r="O298" s="183" t="s">
        <v>246</v>
      </c>
      <c r="P298" s="103">
        <v>46001</v>
      </c>
      <c r="Q298" s="103">
        <v>46177</v>
      </c>
      <c r="R298" s="73" t="s">
        <v>211</v>
      </c>
      <c r="S298" s="66" t="s">
        <v>695</v>
      </c>
      <c r="T298" s="67">
        <v>1</v>
      </c>
      <c r="U298" s="75" t="s">
        <v>173</v>
      </c>
      <c r="V298" s="68">
        <v>20</v>
      </c>
      <c r="W298" s="68"/>
      <c r="X298" s="69">
        <v>0</v>
      </c>
      <c r="Y298" s="68">
        <v>0</v>
      </c>
      <c r="Z298" s="68">
        <v>0</v>
      </c>
      <c r="AA298" s="68">
        <v>0</v>
      </c>
      <c r="AB298" s="68">
        <v>0</v>
      </c>
      <c r="AC298" s="68"/>
      <c r="AD298" s="68">
        <v>0</v>
      </c>
      <c r="AE298" s="68">
        <v>0</v>
      </c>
      <c r="AF298" s="68">
        <v>0</v>
      </c>
      <c r="AG298" s="68">
        <v>0</v>
      </c>
      <c r="AH298" s="68">
        <v>1</v>
      </c>
      <c r="AI298" s="68"/>
      <c r="AJ298" s="68">
        <v>0</v>
      </c>
      <c r="AK298" s="68">
        <v>0</v>
      </c>
      <c r="AL298" s="68">
        <v>1</v>
      </c>
      <c r="AM298" s="68"/>
      <c r="AN298" s="68">
        <v>1</v>
      </c>
      <c r="AO298" s="68"/>
      <c r="AP298" s="68">
        <v>1</v>
      </c>
      <c r="AQ298" s="68"/>
      <c r="AR298" s="68">
        <v>0</v>
      </c>
      <c r="AS298" s="68">
        <v>0</v>
      </c>
      <c r="AT298" s="68">
        <v>1</v>
      </c>
      <c r="AU298" s="68"/>
      <c r="AV298" s="68">
        <v>0</v>
      </c>
      <c r="AW298" s="68">
        <v>0</v>
      </c>
      <c r="AX298" s="68">
        <f t="shared" si="40"/>
        <v>3000</v>
      </c>
      <c r="AY298" s="68">
        <f t="shared" si="38"/>
        <v>0</v>
      </c>
      <c r="AZ298" s="64" t="s">
        <v>77</v>
      </c>
      <c r="BA298" s="64" t="s">
        <v>77</v>
      </c>
      <c r="BB298" s="15" t="s">
        <v>77</v>
      </c>
      <c r="BC298" s="74">
        <v>294</v>
      </c>
      <c r="BD298" s="70"/>
      <c r="BE298" s="67"/>
      <c r="BF298" s="71"/>
      <c r="BG298" s="15"/>
      <c r="BH298" s="72" t="s">
        <v>77</v>
      </c>
      <c r="BI298" s="72" t="s">
        <v>77</v>
      </c>
    </row>
    <row r="299" spans="1:705" s="16" customFormat="1" ht="44.1" hidden="1" customHeight="1" x14ac:dyDescent="0.3">
      <c r="A299" s="200">
        <v>295</v>
      </c>
      <c r="B299" s="138">
        <v>242051</v>
      </c>
      <c r="C299" s="138">
        <v>295</v>
      </c>
      <c r="D299" s="139">
        <v>45984</v>
      </c>
      <c r="E299" s="139">
        <f t="shared" si="36"/>
        <v>45983</v>
      </c>
      <c r="F299" s="139">
        <f t="shared" si="41"/>
        <v>45994</v>
      </c>
      <c r="G299" s="139">
        <v>46076</v>
      </c>
      <c r="H299" s="139">
        <v>46114</v>
      </c>
      <c r="I299" s="139" t="s">
        <v>321</v>
      </c>
      <c r="J299" s="140" t="s">
        <v>696</v>
      </c>
      <c r="K299" s="141">
        <f t="shared" si="42"/>
        <v>82</v>
      </c>
      <c r="L299" s="141">
        <v>1170952</v>
      </c>
      <c r="M299" s="140" t="s">
        <v>15</v>
      </c>
      <c r="N299" s="140" t="s">
        <v>1031</v>
      </c>
      <c r="O299" s="137" t="s">
        <v>246</v>
      </c>
      <c r="P299" s="143">
        <v>46033</v>
      </c>
      <c r="Q299" s="143">
        <v>46198</v>
      </c>
      <c r="R299" s="185" t="s">
        <v>211</v>
      </c>
      <c r="S299" s="144" t="s">
        <v>697</v>
      </c>
      <c r="T299" s="145">
        <v>1</v>
      </c>
      <c r="U299" s="186" t="s">
        <v>82</v>
      </c>
      <c r="V299" s="146">
        <v>40</v>
      </c>
      <c r="W299" s="146">
        <v>40</v>
      </c>
      <c r="X299" s="147">
        <v>32</v>
      </c>
      <c r="Y299" s="146">
        <v>32</v>
      </c>
      <c r="Z299" s="146">
        <v>0</v>
      </c>
      <c r="AA299" s="146">
        <v>0</v>
      </c>
      <c r="AB299" s="146">
        <v>0</v>
      </c>
      <c r="AC299" s="146">
        <v>0</v>
      </c>
      <c r="AD299" s="146">
        <v>0</v>
      </c>
      <c r="AE299" s="146">
        <v>0</v>
      </c>
      <c r="AF299" s="146">
        <v>40</v>
      </c>
      <c r="AG299" s="146">
        <v>40</v>
      </c>
      <c r="AH299" s="146">
        <v>0</v>
      </c>
      <c r="AI299" s="146">
        <v>0</v>
      </c>
      <c r="AJ299" s="146">
        <v>0</v>
      </c>
      <c r="AK299" s="146">
        <v>0</v>
      </c>
      <c r="AL299" s="146">
        <v>0</v>
      </c>
      <c r="AM299" s="146">
        <v>0</v>
      </c>
      <c r="AN299" s="146">
        <v>1</v>
      </c>
      <c r="AO299" s="146">
        <v>1</v>
      </c>
      <c r="AP299" s="146">
        <v>1</v>
      </c>
      <c r="AQ299" s="146">
        <v>1</v>
      </c>
      <c r="AR299" s="146">
        <v>0</v>
      </c>
      <c r="AS299" s="146">
        <v>0</v>
      </c>
      <c r="AT299" s="146">
        <v>0</v>
      </c>
      <c r="AU299" s="146">
        <v>0</v>
      </c>
      <c r="AV299" s="146">
        <v>0</v>
      </c>
      <c r="AW299" s="146">
        <v>0</v>
      </c>
      <c r="AX299" s="146">
        <f t="shared" si="40"/>
        <v>11850</v>
      </c>
      <c r="AY299" s="146">
        <f t="shared" si="38"/>
        <v>11850</v>
      </c>
      <c r="AZ299" s="140" t="s">
        <v>562</v>
      </c>
      <c r="BA299" s="140" t="s">
        <v>562</v>
      </c>
      <c r="BB299" s="137">
        <v>10</v>
      </c>
      <c r="BC299" s="187">
        <v>295</v>
      </c>
      <c r="BD299" s="149"/>
      <c r="BE299" s="145"/>
      <c r="BF299" s="150"/>
      <c r="BG299" s="188">
        <v>46107</v>
      </c>
      <c r="BH299" s="153" t="s">
        <v>15</v>
      </c>
      <c r="BI299" s="153" t="s">
        <v>562</v>
      </c>
    </row>
    <row r="300" spans="1:705" s="235" customFormat="1" ht="44.1" hidden="1" customHeight="1" x14ac:dyDescent="0.3">
      <c r="A300" s="26">
        <v>296</v>
      </c>
      <c r="B300" s="138">
        <v>242117</v>
      </c>
      <c r="C300" s="138">
        <v>296</v>
      </c>
      <c r="D300" s="139">
        <v>45985</v>
      </c>
      <c r="E300" s="139">
        <f t="shared" si="36"/>
        <v>45984</v>
      </c>
      <c r="F300" s="139">
        <f t="shared" si="41"/>
        <v>45995</v>
      </c>
      <c r="G300" s="139">
        <v>46077</v>
      </c>
      <c r="H300" s="139">
        <v>46093</v>
      </c>
      <c r="I300" s="139" t="s">
        <v>321</v>
      </c>
      <c r="J300" s="140" t="s">
        <v>698</v>
      </c>
      <c r="K300" s="141">
        <f t="shared" si="42"/>
        <v>82</v>
      </c>
      <c r="L300" s="141">
        <v>1171621</v>
      </c>
      <c r="M300" s="140" t="s">
        <v>15</v>
      </c>
      <c r="N300" s="140">
        <v>810952</v>
      </c>
      <c r="O300" s="137" t="s">
        <v>246</v>
      </c>
      <c r="P300" s="143">
        <v>46033</v>
      </c>
      <c r="Q300" s="143">
        <v>46198</v>
      </c>
      <c r="R300" s="185" t="s">
        <v>211</v>
      </c>
      <c r="S300" s="144" t="s">
        <v>699</v>
      </c>
      <c r="T300" s="145">
        <v>2</v>
      </c>
      <c r="U300" s="186" t="s">
        <v>82</v>
      </c>
      <c r="V300" s="146">
        <v>295</v>
      </c>
      <c r="W300" s="146">
        <v>295</v>
      </c>
      <c r="X300" s="147">
        <v>0</v>
      </c>
      <c r="Y300" s="146">
        <v>0</v>
      </c>
      <c r="Z300" s="146">
        <v>0</v>
      </c>
      <c r="AA300" s="146">
        <v>0</v>
      </c>
      <c r="AB300" s="146">
        <v>0</v>
      </c>
      <c r="AC300" s="146">
        <v>0</v>
      </c>
      <c r="AD300" s="146">
        <v>0</v>
      </c>
      <c r="AE300" s="146">
        <v>0</v>
      </c>
      <c r="AF300" s="146">
        <v>0</v>
      </c>
      <c r="AG300" s="146">
        <v>0</v>
      </c>
      <c r="AH300" s="146">
        <v>0</v>
      </c>
      <c r="AI300" s="146">
        <v>0</v>
      </c>
      <c r="AJ300" s="146">
        <v>0</v>
      </c>
      <c r="AK300" s="146">
        <v>0</v>
      </c>
      <c r="AL300" s="146">
        <v>2</v>
      </c>
      <c r="AM300" s="146">
        <v>2</v>
      </c>
      <c r="AN300" s="146">
        <v>1</v>
      </c>
      <c r="AO300" s="146">
        <v>1</v>
      </c>
      <c r="AP300" s="146">
        <v>0</v>
      </c>
      <c r="AQ300" s="146">
        <v>0</v>
      </c>
      <c r="AR300" s="146">
        <v>0</v>
      </c>
      <c r="AS300" s="146">
        <v>0</v>
      </c>
      <c r="AT300" s="146">
        <v>0</v>
      </c>
      <c r="AU300" s="146">
        <v>0</v>
      </c>
      <c r="AV300" s="146"/>
      <c r="AW300" s="146"/>
      <c r="AX300" s="146">
        <f t="shared" si="40"/>
        <v>18940</v>
      </c>
      <c r="AY300" s="146">
        <f t="shared" si="38"/>
        <v>18940</v>
      </c>
      <c r="AZ300" s="140" t="s">
        <v>562</v>
      </c>
      <c r="BA300" s="140" t="s">
        <v>562</v>
      </c>
      <c r="BB300" s="137">
        <v>10</v>
      </c>
      <c r="BC300" s="187">
        <v>296</v>
      </c>
      <c r="BD300" s="149"/>
      <c r="BE300" s="145"/>
      <c r="BF300" s="150"/>
      <c r="BG300" s="188">
        <v>46054</v>
      </c>
      <c r="BH300" s="153" t="s">
        <v>535</v>
      </c>
      <c r="BI300" s="153" t="s">
        <v>562</v>
      </c>
      <c r="BJ300" s="16"/>
      <c r="BK300" s="16"/>
      <c r="BL300" s="16"/>
      <c r="BM300" s="16"/>
      <c r="BN300" s="16"/>
      <c r="BO300" s="16"/>
      <c r="BP300" s="16"/>
      <c r="BQ300" s="16"/>
      <c r="BR300" s="16"/>
      <c r="BS300" s="16"/>
      <c r="BT300" s="16"/>
      <c r="BU300" s="16"/>
      <c r="BV300" s="16"/>
      <c r="BW300" s="16"/>
      <c r="BX300" s="16"/>
      <c r="BY300" s="16"/>
      <c r="BZ300" s="16"/>
      <c r="CA300" s="16"/>
      <c r="CB300" s="16"/>
      <c r="CC300" s="16"/>
      <c r="CD300" s="16"/>
      <c r="CE300" s="16"/>
      <c r="CF300" s="16"/>
      <c r="CG300" s="16"/>
      <c r="CH300" s="16"/>
      <c r="CI300" s="16"/>
      <c r="CJ300" s="16"/>
      <c r="CK300" s="16"/>
      <c r="CL300" s="16"/>
      <c r="CM300" s="16"/>
      <c r="CN300" s="16"/>
      <c r="CO300" s="16"/>
      <c r="CP300" s="16"/>
      <c r="CQ300" s="16"/>
      <c r="CR300" s="16"/>
      <c r="CS300" s="16"/>
      <c r="CT300" s="16"/>
      <c r="CU300" s="16"/>
      <c r="CV300" s="16"/>
      <c r="CW300" s="16"/>
      <c r="CX300" s="16"/>
      <c r="CY300" s="16"/>
      <c r="CZ300" s="16"/>
      <c r="DA300" s="16"/>
      <c r="DB300" s="16"/>
      <c r="DC300" s="16"/>
      <c r="DD300" s="16"/>
      <c r="DE300" s="16"/>
      <c r="DF300" s="16"/>
      <c r="DG300" s="16"/>
      <c r="DH300" s="16"/>
      <c r="DI300" s="16"/>
      <c r="DJ300" s="16"/>
      <c r="DK300" s="16"/>
      <c r="DL300" s="16"/>
      <c r="DM300" s="16"/>
      <c r="DN300" s="16"/>
      <c r="DO300" s="16"/>
      <c r="DP300" s="16"/>
      <c r="DQ300" s="16"/>
      <c r="DR300" s="16"/>
      <c r="DS300" s="16"/>
      <c r="DT300" s="16"/>
      <c r="DU300" s="16"/>
      <c r="DV300" s="16"/>
      <c r="DW300" s="16"/>
      <c r="DX300" s="16"/>
      <c r="DY300" s="16"/>
      <c r="DZ300" s="16"/>
      <c r="EA300" s="16"/>
      <c r="EB300" s="16"/>
      <c r="EC300" s="16"/>
      <c r="ED300" s="16"/>
      <c r="EE300" s="16"/>
      <c r="EF300" s="16"/>
      <c r="EG300" s="16"/>
      <c r="EH300" s="16"/>
      <c r="EI300" s="16"/>
      <c r="EJ300" s="16"/>
      <c r="EK300" s="16"/>
      <c r="EL300" s="16"/>
      <c r="EM300" s="16"/>
      <c r="EN300" s="16"/>
      <c r="EO300" s="16"/>
      <c r="EP300" s="16"/>
      <c r="EQ300" s="16"/>
      <c r="ER300" s="16"/>
      <c r="ES300" s="16"/>
      <c r="ET300" s="16"/>
      <c r="EU300" s="16"/>
      <c r="EV300" s="16"/>
      <c r="EW300" s="16"/>
      <c r="EX300" s="16"/>
      <c r="EY300" s="16"/>
      <c r="EZ300" s="16"/>
      <c r="FA300" s="16"/>
      <c r="FB300" s="16"/>
      <c r="FC300" s="16"/>
      <c r="FD300" s="16"/>
      <c r="FE300" s="16"/>
      <c r="FF300" s="16"/>
      <c r="FG300" s="16"/>
      <c r="FH300" s="16"/>
      <c r="FI300" s="16"/>
      <c r="FJ300" s="16"/>
      <c r="FK300" s="16"/>
      <c r="FL300" s="16"/>
      <c r="FM300" s="16"/>
      <c r="FN300" s="16"/>
      <c r="FO300" s="16"/>
      <c r="FP300" s="16"/>
      <c r="FQ300" s="16"/>
      <c r="FR300" s="16"/>
      <c r="FS300" s="16"/>
      <c r="FT300" s="16"/>
      <c r="FU300" s="16"/>
      <c r="FV300" s="16"/>
      <c r="FW300" s="16"/>
      <c r="FX300" s="16"/>
      <c r="FY300" s="16"/>
      <c r="FZ300" s="16"/>
      <c r="GA300" s="16"/>
      <c r="GB300" s="16"/>
      <c r="GC300" s="16"/>
      <c r="GD300" s="16"/>
      <c r="GE300" s="16"/>
      <c r="GF300" s="16"/>
      <c r="GG300" s="16"/>
      <c r="GH300" s="16"/>
      <c r="GI300" s="16"/>
      <c r="GJ300" s="16"/>
      <c r="GK300" s="16"/>
      <c r="GL300" s="16"/>
      <c r="GM300" s="16"/>
      <c r="GN300" s="16"/>
      <c r="GO300" s="16"/>
      <c r="GP300" s="16"/>
      <c r="GQ300" s="16"/>
      <c r="GR300" s="16"/>
      <c r="GS300" s="16"/>
      <c r="GT300" s="16"/>
      <c r="GU300" s="16"/>
      <c r="GV300" s="16"/>
      <c r="GW300" s="16"/>
      <c r="GX300" s="16"/>
      <c r="GY300" s="16"/>
      <c r="GZ300" s="16"/>
      <c r="HA300" s="16"/>
      <c r="HB300" s="16"/>
      <c r="HC300" s="16"/>
      <c r="HD300" s="16"/>
      <c r="HE300" s="16"/>
      <c r="HF300" s="16"/>
      <c r="HG300" s="16"/>
      <c r="HH300" s="16"/>
      <c r="HI300" s="16"/>
      <c r="HJ300" s="16"/>
      <c r="HK300" s="16"/>
      <c r="HL300" s="16"/>
      <c r="HM300" s="16"/>
      <c r="HN300" s="16"/>
      <c r="HO300" s="16"/>
      <c r="HP300" s="16"/>
      <c r="HQ300" s="16"/>
      <c r="HR300" s="16"/>
      <c r="HS300" s="16"/>
      <c r="HT300" s="16"/>
      <c r="HU300" s="16"/>
      <c r="HV300" s="16"/>
      <c r="HW300" s="16"/>
      <c r="HX300" s="16"/>
      <c r="HY300" s="16"/>
      <c r="HZ300" s="16"/>
      <c r="IA300" s="16"/>
      <c r="IB300" s="16"/>
      <c r="IC300" s="16"/>
      <c r="ID300" s="16"/>
      <c r="IE300" s="16"/>
      <c r="IF300" s="16"/>
      <c r="IG300" s="16"/>
      <c r="IH300" s="16"/>
      <c r="II300" s="16"/>
      <c r="IJ300" s="16"/>
      <c r="IK300" s="16"/>
      <c r="IL300" s="16"/>
      <c r="IM300" s="16"/>
      <c r="IN300" s="16"/>
      <c r="IO300" s="16"/>
      <c r="IP300" s="16"/>
      <c r="IQ300" s="16"/>
      <c r="IR300" s="16"/>
      <c r="IS300" s="16"/>
      <c r="IT300" s="16"/>
      <c r="IU300" s="16"/>
      <c r="IV300" s="16"/>
      <c r="IW300" s="16"/>
      <c r="IX300" s="16"/>
      <c r="IY300" s="16"/>
      <c r="IZ300" s="16"/>
      <c r="JA300" s="16"/>
      <c r="JB300" s="16"/>
      <c r="JC300" s="16"/>
      <c r="JD300" s="16"/>
      <c r="JE300" s="16"/>
      <c r="JF300" s="16"/>
      <c r="JG300" s="16"/>
      <c r="JH300" s="16"/>
      <c r="JI300" s="16"/>
      <c r="JJ300" s="16"/>
      <c r="JK300" s="16"/>
      <c r="JL300" s="16"/>
      <c r="JM300" s="16"/>
      <c r="JN300" s="16"/>
      <c r="JO300" s="16"/>
      <c r="JP300" s="16"/>
      <c r="JQ300" s="16"/>
      <c r="JR300" s="16"/>
      <c r="JS300" s="16"/>
      <c r="JT300" s="16"/>
      <c r="JU300" s="16"/>
      <c r="JV300" s="16"/>
      <c r="JW300" s="16"/>
      <c r="JX300" s="16"/>
      <c r="JY300" s="16"/>
      <c r="JZ300" s="16"/>
      <c r="KA300" s="16"/>
      <c r="KB300" s="16"/>
      <c r="KC300" s="16"/>
      <c r="KD300" s="16"/>
      <c r="KE300" s="16"/>
      <c r="KF300" s="16"/>
      <c r="KG300" s="16"/>
      <c r="KH300" s="16"/>
      <c r="KI300" s="16"/>
      <c r="KJ300" s="16"/>
      <c r="KK300" s="16"/>
      <c r="KL300" s="16"/>
      <c r="KM300" s="16"/>
      <c r="KN300" s="16"/>
      <c r="KO300" s="16"/>
      <c r="KP300" s="16"/>
      <c r="KQ300" s="16"/>
      <c r="KR300" s="16"/>
      <c r="KS300" s="16"/>
      <c r="KT300" s="16"/>
      <c r="KU300" s="16"/>
      <c r="KV300" s="16"/>
      <c r="KW300" s="16"/>
      <c r="KX300" s="16"/>
      <c r="KY300" s="16"/>
      <c r="KZ300" s="16"/>
      <c r="LA300" s="16"/>
      <c r="LB300" s="16"/>
      <c r="LC300" s="16"/>
      <c r="LD300" s="16"/>
      <c r="LE300" s="16"/>
      <c r="LF300" s="16"/>
      <c r="LG300" s="16"/>
      <c r="LH300" s="16"/>
      <c r="LI300" s="16"/>
      <c r="LJ300" s="16"/>
      <c r="LK300" s="16"/>
      <c r="LL300" s="16"/>
      <c r="LM300" s="16"/>
      <c r="LN300" s="16"/>
      <c r="LO300" s="16"/>
      <c r="LP300" s="16"/>
      <c r="LQ300" s="16"/>
      <c r="LR300" s="16"/>
      <c r="LS300" s="16"/>
      <c r="LT300" s="16"/>
      <c r="LU300" s="16"/>
      <c r="LV300" s="16"/>
      <c r="LW300" s="16"/>
      <c r="LX300" s="16"/>
      <c r="LY300" s="16"/>
      <c r="LZ300" s="16"/>
      <c r="MA300" s="16"/>
      <c r="MB300" s="16"/>
      <c r="MC300" s="16"/>
      <c r="MD300" s="16"/>
      <c r="ME300" s="16"/>
      <c r="MF300" s="16"/>
      <c r="MG300" s="16"/>
      <c r="MH300" s="16"/>
      <c r="MI300" s="16"/>
      <c r="MJ300" s="16"/>
      <c r="MK300" s="16"/>
      <c r="ML300" s="16"/>
      <c r="MM300" s="16"/>
      <c r="MN300" s="16"/>
      <c r="MO300" s="16"/>
      <c r="MP300" s="16"/>
      <c r="MQ300" s="16"/>
      <c r="MR300" s="16"/>
      <c r="MS300" s="16"/>
      <c r="MT300" s="16"/>
      <c r="MU300" s="16"/>
      <c r="MV300" s="16"/>
      <c r="MW300" s="16"/>
      <c r="MX300" s="16"/>
      <c r="MY300" s="16"/>
      <c r="MZ300" s="16"/>
      <c r="NA300" s="16"/>
      <c r="NB300" s="16"/>
      <c r="NC300" s="16"/>
      <c r="ND300" s="16"/>
      <c r="NE300" s="16"/>
      <c r="NF300" s="16"/>
      <c r="NG300" s="16"/>
      <c r="NH300" s="16"/>
      <c r="NI300" s="16"/>
      <c r="NJ300" s="16"/>
      <c r="NK300" s="16"/>
      <c r="NL300" s="16"/>
      <c r="NM300" s="16"/>
      <c r="NN300" s="16"/>
      <c r="NO300" s="16"/>
      <c r="NP300" s="16"/>
      <c r="NQ300" s="16"/>
      <c r="NR300" s="16"/>
      <c r="NS300" s="16"/>
      <c r="NT300" s="16"/>
      <c r="NU300" s="16"/>
      <c r="NV300" s="16"/>
      <c r="NW300" s="16"/>
      <c r="NX300" s="16"/>
      <c r="NY300" s="16"/>
      <c r="NZ300" s="16"/>
      <c r="OA300" s="16"/>
      <c r="OB300" s="16"/>
      <c r="OC300" s="16"/>
      <c r="OD300" s="16"/>
      <c r="OE300" s="16"/>
      <c r="OF300" s="16"/>
      <c r="OG300" s="16"/>
      <c r="OH300" s="16"/>
      <c r="OI300" s="16"/>
      <c r="OJ300" s="16"/>
      <c r="OK300" s="16"/>
      <c r="OL300" s="16"/>
      <c r="OM300" s="16"/>
      <c r="ON300" s="16"/>
      <c r="OO300" s="16"/>
      <c r="OP300" s="16"/>
      <c r="OQ300" s="16"/>
      <c r="OR300" s="16"/>
      <c r="OS300" s="16"/>
      <c r="OT300" s="16"/>
      <c r="OU300" s="16"/>
      <c r="OV300" s="16"/>
      <c r="OW300" s="16"/>
      <c r="OX300" s="16"/>
      <c r="OY300" s="16"/>
      <c r="OZ300" s="16"/>
      <c r="PA300" s="16"/>
      <c r="PB300" s="16"/>
      <c r="PC300" s="16"/>
      <c r="PD300" s="16"/>
      <c r="PE300" s="16"/>
      <c r="PF300" s="16"/>
      <c r="PG300" s="16"/>
      <c r="PH300" s="16"/>
      <c r="PI300" s="16"/>
      <c r="PJ300" s="16"/>
      <c r="PK300" s="16"/>
      <c r="PL300" s="16"/>
      <c r="PM300" s="16"/>
      <c r="PN300" s="16"/>
      <c r="PO300" s="16"/>
      <c r="PP300" s="16"/>
      <c r="PQ300" s="16"/>
      <c r="PR300" s="16"/>
      <c r="PS300" s="16"/>
      <c r="PT300" s="16"/>
      <c r="PU300" s="16"/>
      <c r="PV300" s="16"/>
      <c r="PW300" s="16"/>
      <c r="PX300" s="16"/>
      <c r="PY300" s="16"/>
      <c r="PZ300" s="16"/>
      <c r="QA300" s="16"/>
      <c r="QB300" s="16"/>
      <c r="QC300" s="16"/>
      <c r="QD300" s="16"/>
      <c r="QE300" s="16"/>
      <c r="QF300" s="16"/>
      <c r="QG300" s="16"/>
      <c r="QH300" s="16"/>
      <c r="QI300" s="16"/>
      <c r="QJ300" s="16"/>
      <c r="QK300" s="16"/>
      <c r="QL300" s="16"/>
      <c r="QM300" s="16"/>
      <c r="QN300" s="16"/>
      <c r="QO300" s="16"/>
      <c r="QP300" s="16"/>
      <c r="QQ300" s="16"/>
      <c r="QR300" s="16"/>
      <c r="QS300" s="16"/>
      <c r="QT300" s="16"/>
      <c r="QU300" s="16"/>
      <c r="QV300" s="16"/>
      <c r="QW300" s="16"/>
      <c r="QX300" s="16"/>
      <c r="QY300" s="16"/>
      <c r="QZ300" s="16"/>
      <c r="RA300" s="16"/>
      <c r="RB300" s="16"/>
      <c r="RC300" s="16"/>
      <c r="RD300" s="16"/>
      <c r="RE300" s="16"/>
      <c r="RF300" s="16"/>
      <c r="RG300" s="16"/>
      <c r="RH300" s="16"/>
      <c r="RI300" s="16"/>
      <c r="RJ300" s="16"/>
      <c r="RK300" s="16"/>
      <c r="RL300" s="16"/>
      <c r="RM300" s="16"/>
      <c r="RN300" s="16"/>
      <c r="RO300" s="16"/>
      <c r="RP300" s="16"/>
      <c r="RQ300" s="16"/>
      <c r="RR300" s="16"/>
      <c r="RS300" s="16"/>
      <c r="RT300" s="16"/>
      <c r="RU300" s="16"/>
      <c r="RV300" s="16"/>
      <c r="RW300" s="16"/>
      <c r="RX300" s="16"/>
      <c r="RY300" s="16"/>
      <c r="RZ300" s="16"/>
      <c r="SA300" s="16"/>
      <c r="SB300" s="16"/>
      <c r="SC300" s="16"/>
      <c r="SD300" s="16"/>
      <c r="SE300" s="16"/>
      <c r="SF300" s="16"/>
      <c r="SG300" s="16"/>
      <c r="SH300" s="16"/>
      <c r="SI300" s="16"/>
      <c r="SJ300" s="16"/>
      <c r="SK300" s="16"/>
      <c r="SL300" s="16"/>
      <c r="SM300" s="16"/>
      <c r="SN300" s="16"/>
      <c r="SO300" s="16"/>
      <c r="SP300" s="16"/>
      <c r="SQ300" s="16"/>
      <c r="SR300" s="16"/>
      <c r="SS300" s="16"/>
      <c r="ST300" s="16"/>
      <c r="SU300" s="16"/>
      <c r="SV300" s="16"/>
      <c r="SW300" s="16"/>
      <c r="SX300" s="16"/>
      <c r="SY300" s="16"/>
      <c r="SZ300" s="16"/>
      <c r="TA300" s="16"/>
      <c r="TB300" s="16"/>
      <c r="TC300" s="16"/>
      <c r="TD300" s="16"/>
      <c r="TE300" s="16"/>
      <c r="TF300" s="16"/>
      <c r="TG300" s="16"/>
      <c r="TH300" s="16"/>
      <c r="TI300" s="16"/>
      <c r="TJ300" s="16"/>
      <c r="TK300" s="16"/>
      <c r="TL300" s="16"/>
      <c r="TM300" s="16"/>
      <c r="TN300" s="16"/>
      <c r="TO300" s="16"/>
      <c r="TP300" s="16"/>
      <c r="TQ300" s="16"/>
      <c r="TR300" s="16"/>
      <c r="TS300" s="16"/>
      <c r="TT300" s="16"/>
      <c r="TU300" s="16"/>
      <c r="TV300" s="16"/>
      <c r="TW300" s="16"/>
      <c r="TX300" s="16"/>
      <c r="TY300" s="16"/>
      <c r="TZ300" s="16"/>
      <c r="UA300" s="16"/>
      <c r="UB300" s="16"/>
      <c r="UC300" s="16"/>
      <c r="UD300" s="16"/>
      <c r="UE300" s="16"/>
      <c r="UF300" s="16"/>
      <c r="UG300" s="16"/>
      <c r="UH300" s="16"/>
      <c r="UI300" s="16"/>
      <c r="UJ300" s="16"/>
      <c r="UK300" s="16"/>
      <c r="UL300" s="16"/>
      <c r="UM300" s="16"/>
      <c r="UN300" s="16"/>
      <c r="UO300" s="16"/>
      <c r="UP300" s="16"/>
      <c r="UQ300" s="16"/>
      <c r="UR300" s="16"/>
      <c r="US300" s="16"/>
      <c r="UT300" s="16"/>
      <c r="UU300" s="16"/>
      <c r="UV300" s="16"/>
      <c r="UW300" s="16"/>
      <c r="UX300" s="16"/>
      <c r="UY300" s="16"/>
      <c r="UZ300" s="16"/>
      <c r="VA300" s="16"/>
      <c r="VB300" s="16"/>
      <c r="VC300" s="16"/>
      <c r="VD300" s="16"/>
      <c r="VE300" s="16"/>
      <c r="VF300" s="16"/>
      <c r="VG300" s="16"/>
      <c r="VH300" s="16"/>
      <c r="VI300" s="16"/>
      <c r="VJ300" s="16"/>
      <c r="VK300" s="16"/>
      <c r="VL300" s="16"/>
      <c r="VM300" s="16"/>
      <c r="VN300" s="16"/>
      <c r="VO300" s="16"/>
      <c r="VP300" s="16"/>
      <c r="VQ300" s="16"/>
      <c r="VR300" s="16"/>
      <c r="VS300" s="16"/>
      <c r="VT300" s="16"/>
      <c r="VU300" s="16"/>
      <c r="VV300" s="16"/>
      <c r="VW300" s="16"/>
      <c r="VX300" s="16"/>
      <c r="VY300" s="16"/>
      <c r="VZ300" s="16"/>
      <c r="WA300" s="16"/>
      <c r="WB300" s="16"/>
      <c r="WC300" s="16"/>
      <c r="WD300" s="16"/>
      <c r="WE300" s="16"/>
      <c r="WF300" s="16"/>
      <c r="WG300" s="16"/>
      <c r="WH300" s="16"/>
      <c r="WI300" s="16"/>
      <c r="WJ300" s="16"/>
      <c r="WK300" s="16"/>
      <c r="WL300" s="16"/>
      <c r="WM300" s="16"/>
      <c r="WN300" s="16"/>
      <c r="WO300" s="16"/>
      <c r="WP300" s="16"/>
      <c r="WQ300" s="16"/>
      <c r="WR300" s="16"/>
      <c r="WS300" s="16"/>
      <c r="WT300" s="16"/>
      <c r="WU300" s="16"/>
      <c r="WV300" s="16"/>
      <c r="WW300" s="16"/>
      <c r="WX300" s="16"/>
      <c r="WY300" s="16"/>
      <c r="WZ300" s="16"/>
      <c r="XA300" s="16"/>
      <c r="XB300" s="16"/>
      <c r="XC300" s="16"/>
      <c r="XD300" s="16"/>
      <c r="XE300" s="16"/>
      <c r="XF300" s="16"/>
      <c r="XG300" s="16"/>
      <c r="XH300" s="16"/>
      <c r="XI300" s="16"/>
      <c r="XJ300" s="16"/>
      <c r="XK300" s="16"/>
      <c r="XL300" s="16"/>
      <c r="XM300" s="16"/>
      <c r="XN300" s="16"/>
      <c r="XO300" s="16"/>
      <c r="XP300" s="16"/>
      <c r="XQ300" s="16"/>
      <c r="XR300" s="16"/>
      <c r="XS300" s="16"/>
      <c r="XT300" s="16"/>
      <c r="XU300" s="16"/>
      <c r="XV300" s="16"/>
      <c r="XW300" s="16"/>
      <c r="XX300" s="16"/>
      <c r="XY300" s="16"/>
      <c r="XZ300" s="16"/>
      <c r="YA300" s="16"/>
      <c r="YB300" s="16"/>
      <c r="YC300" s="16"/>
      <c r="YD300" s="16"/>
      <c r="YE300" s="16"/>
      <c r="YF300" s="16"/>
      <c r="YG300" s="16"/>
      <c r="YH300" s="16"/>
      <c r="YI300" s="16"/>
      <c r="YJ300" s="16"/>
      <c r="YK300" s="16"/>
      <c r="YL300" s="16"/>
      <c r="YM300" s="16"/>
      <c r="YN300" s="16"/>
      <c r="YO300" s="16"/>
      <c r="YP300" s="16"/>
      <c r="YQ300" s="16"/>
      <c r="YR300" s="16"/>
      <c r="YS300" s="16"/>
      <c r="YT300" s="16"/>
      <c r="YU300" s="16"/>
      <c r="YV300" s="16"/>
      <c r="YW300" s="16"/>
      <c r="YX300" s="16"/>
      <c r="YY300" s="16"/>
      <c r="YZ300" s="16"/>
      <c r="ZA300" s="16"/>
      <c r="ZB300" s="16"/>
      <c r="ZC300" s="16"/>
      <c r="ZD300" s="16"/>
      <c r="ZE300" s="16"/>
      <c r="ZF300" s="16"/>
      <c r="ZG300" s="16"/>
      <c r="ZH300" s="16"/>
      <c r="ZI300" s="16"/>
      <c r="ZJ300" s="16"/>
      <c r="ZK300" s="16"/>
      <c r="ZL300" s="16"/>
      <c r="ZM300" s="16"/>
      <c r="ZN300" s="16"/>
      <c r="ZO300" s="16"/>
      <c r="ZP300" s="16"/>
      <c r="ZQ300" s="16"/>
      <c r="ZR300" s="16"/>
      <c r="ZS300" s="16"/>
      <c r="ZT300" s="16"/>
      <c r="ZU300" s="16"/>
      <c r="ZV300" s="16"/>
      <c r="ZW300" s="16"/>
      <c r="ZX300" s="16"/>
      <c r="ZY300" s="16"/>
      <c r="ZZ300" s="16"/>
      <c r="AAA300" s="16"/>
      <c r="AAB300" s="16"/>
      <c r="AAC300" s="16"/>
    </row>
    <row r="301" spans="1:705" s="16" customFormat="1" ht="44.1" hidden="1" customHeight="1" x14ac:dyDescent="0.3">
      <c r="A301" s="200">
        <v>297</v>
      </c>
      <c r="B301" s="90">
        <v>242171</v>
      </c>
      <c r="C301" s="90">
        <v>297</v>
      </c>
      <c r="D301" s="91">
        <v>45985</v>
      </c>
      <c r="E301" s="91">
        <f t="shared" si="36"/>
        <v>45984</v>
      </c>
      <c r="F301" s="91">
        <f t="shared" si="41"/>
        <v>45995</v>
      </c>
      <c r="G301" s="91">
        <v>46077</v>
      </c>
      <c r="H301" s="91">
        <f ca="1">TODAY()</f>
        <v>46277</v>
      </c>
      <c r="I301" s="91" t="s">
        <v>321</v>
      </c>
      <c r="J301" s="92" t="s">
        <v>700</v>
      </c>
      <c r="K301" s="93">
        <f t="shared" si="42"/>
        <v>82</v>
      </c>
      <c r="L301" s="93">
        <v>1171830</v>
      </c>
      <c r="M301" s="92" t="s">
        <v>212</v>
      </c>
      <c r="N301" s="92" t="s">
        <v>213</v>
      </c>
      <c r="O301" s="92" t="s">
        <v>213</v>
      </c>
      <c r="P301" s="126" t="s">
        <v>212</v>
      </c>
      <c r="Q301" s="126" t="s">
        <v>212</v>
      </c>
      <c r="R301" s="158" t="s">
        <v>1235</v>
      </c>
      <c r="S301" s="94" t="s">
        <v>398</v>
      </c>
      <c r="T301" s="95">
        <v>1</v>
      </c>
      <c r="U301" s="159" t="s">
        <v>82</v>
      </c>
      <c r="V301" s="96">
        <v>140</v>
      </c>
      <c r="W301" s="96">
        <v>0</v>
      </c>
      <c r="X301" s="97">
        <v>0</v>
      </c>
      <c r="Y301" s="96">
        <v>0</v>
      </c>
      <c r="Z301" s="96">
        <v>0</v>
      </c>
      <c r="AA301" s="96">
        <v>0</v>
      </c>
      <c r="AB301" s="96">
        <v>0</v>
      </c>
      <c r="AC301" s="96">
        <v>0</v>
      </c>
      <c r="AD301" s="96">
        <v>0</v>
      </c>
      <c r="AE301" s="96">
        <v>0</v>
      </c>
      <c r="AF301" s="96">
        <v>0</v>
      </c>
      <c r="AG301" s="96">
        <v>0</v>
      </c>
      <c r="AH301" s="96">
        <v>1</v>
      </c>
      <c r="AI301" s="96">
        <v>0</v>
      </c>
      <c r="AJ301" s="96">
        <v>0</v>
      </c>
      <c r="AK301" s="96">
        <v>0</v>
      </c>
      <c r="AL301" s="96">
        <v>1</v>
      </c>
      <c r="AM301" s="96">
        <v>0</v>
      </c>
      <c r="AN301" s="96">
        <v>1</v>
      </c>
      <c r="AO301" s="96">
        <v>0</v>
      </c>
      <c r="AP301" s="96">
        <v>1</v>
      </c>
      <c r="AQ301" s="96">
        <v>0</v>
      </c>
      <c r="AR301" s="96">
        <v>0</v>
      </c>
      <c r="AS301" s="96">
        <v>0</v>
      </c>
      <c r="AT301" s="96">
        <v>1</v>
      </c>
      <c r="AU301" s="96">
        <v>0</v>
      </c>
      <c r="AV301" s="96">
        <v>1</v>
      </c>
      <c r="AW301" s="96">
        <v>0</v>
      </c>
      <c r="AX301" s="146">
        <f t="shared" si="40"/>
        <v>11150</v>
      </c>
      <c r="AY301" s="146">
        <f t="shared" si="38"/>
        <v>0</v>
      </c>
      <c r="AZ301" s="92" t="s">
        <v>212</v>
      </c>
      <c r="BA301" s="92" t="s">
        <v>212</v>
      </c>
      <c r="BB301" s="89" t="s">
        <v>212</v>
      </c>
      <c r="BC301" s="160">
        <v>297</v>
      </c>
      <c r="BD301" s="100"/>
      <c r="BE301" s="95"/>
      <c r="BF301" s="101"/>
      <c r="BG301" s="89"/>
      <c r="BH301" s="102" t="s">
        <v>212</v>
      </c>
      <c r="BI301" s="102" t="s">
        <v>212</v>
      </c>
    </row>
    <row r="302" spans="1:705" s="16" customFormat="1" ht="44.1" hidden="1" customHeight="1" x14ac:dyDescent="0.3">
      <c r="A302" s="200">
        <v>298</v>
      </c>
      <c r="B302" s="138">
        <v>242173</v>
      </c>
      <c r="C302" s="138">
        <v>298</v>
      </c>
      <c r="D302" s="139">
        <v>45985</v>
      </c>
      <c r="E302" s="139">
        <f t="shared" ref="E302:E365" si="43">D302-1</f>
        <v>45984</v>
      </c>
      <c r="F302" s="139">
        <f t="shared" si="41"/>
        <v>45995</v>
      </c>
      <c r="G302" s="139">
        <v>46077</v>
      </c>
      <c r="H302" s="139">
        <v>46091</v>
      </c>
      <c r="I302" s="139" t="s">
        <v>321</v>
      </c>
      <c r="J302" s="140" t="s">
        <v>701</v>
      </c>
      <c r="K302" s="141">
        <f t="shared" si="42"/>
        <v>82</v>
      </c>
      <c r="L302" s="141">
        <v>1171833</v>
      </c>
      <c r="M302" s="140" t="s">
        <v>15</v>
      </c>
      <c r="N302" s="140">
        <v>810949</v>
      </c>
      <c r="O302" s="137" t="s">
        <v>246</v>
      </c>
      <c r="P302" s="143">
        <v>46029</v>
      </c>
      <c r="Q302" s="143">
        <v>46198</v>
      </c>
      <c r="R302" s="185" t="s">
        <v>211</v>
      </c>
      <c r="S302" s="144" t="s">
        <v>702</v>
      </c>
      <c r="T302" s="145">
        <v>1</v>
      </c>
      <c r="U302" s="186" t="s">
        <v>106</v>
      </c>
      <c r="V302" s="146">
        <v>172</v>
      </c>
      <c r="W302" s="146">
        <v>172</v>
      </c>
      <c r="X302" s="147">
        <v>0</v>
      </c>
      <c r="Y302" s="146">
        <v>0</v>
      </c>
      <c r="Z302" s="146">
        <v>0</v>
      </c>
      <c r="AA302" s="146">
        <v>0</v>
      </c>
      <c r="AB302" s="146">
        <v>172</v>
      </c>
      <c r="AC302" s="146">
        <v>172</v>
      </c>
      <c r="AD302" s="146">
        <v>0</v>
      </c>
      <c r="AE302" s="146">
        <v>0</v>
      </c>
      <c r="AF302" s="146">
        <v>0</v>
      </c>
      <c r="AG302" s="146">
        <v>0</v>
      </c>
      <c r="AH302" s="146"/>
      <c r="AI302" s="146"/>
      <c r="AJ302" s="146">
        <v>0</v>
      </c>
      <c r="AK302" s="146">
        <v>0</v>
      </c>
      <c r="AL302" s="146"/>
      <c r="AM302" s="146"/>
      <c r="AN302" s="146">
        <v>1</v>
      </c>
      <c r="AO302" s="146">
        <v>1</v>
      </c>
      <c r="AP302" s="146">
        <v>1</v>
      </c>
      <c r="AQ302" s="146">
        <v>1</v>
      </c>
      <c r="AR302" s="146">
        <v>0</v>
      </c>
      <c r="AS302" s="146">
        <v>0</v>
      </c>
      <c r="AT302" s="146"/>
      <c r="AU302" s="146"/>
      <c r="AV302" s="146">
        <v>0</v>
      </c>
      <c r="AW302" s="146">
        <v>0</v>
      </c>
      <c r="AX302" s="146">
        <f t="shared" si="40"/>
        <v>20814</v>
      </c>
      <c r="AY302" s="146">
        <f t="shared" si="38"/>
        <v>20814</v>
      </c>
      <c r="AZ302" s="140" t="s">
        <v>562</v>
      </c>
      <c r="BA302" s="140" t="s">
        <v>562</v>
      </c>
      <c r="BB302" s="137">
        <v>9</v>
      </c>
      <c r="BC302" s="187">
        <v>298</v>
      </c>
      <c r="BD302" s="149"/>
      <c r="BE302" s="145"/>
      <c r="BF302" s="150"/>
      <c r="BG302" s="188">
        <v>46085</v>
      </c>
      <c r="BH302" s="153" t="s">
        <v>15</v>
      </c>
      <c r="BI302" s="153" t="s">
        <v>562</v>
      </c>
    </row>
    <row r="303" spans="1:705" s="16" customFormat="1" ht="44.1" customHeight="1" x14ac:dyDescent="0.3">
      <c r="A303" s="200">
        <v>299</v>
      </c>
      <c r="B303" s="62">
        <v>242197</v>
      </c>
      <c r="C303" s="62">
        <v>299</v>
      </c>
      <c r="D303" s="63">
        <v>45986</v>
      </c>
      <c r="E303" s="63">
        <f t="shared" si="43"/>
        <v>45985</v>
      </c>
      <c r="F303" s="63">
        <f t="shared" si="41"/>
        <v>45996</v>
      </c>
      <c r="G303" s="63">
        <v>46078</v>
      </c>
      <c r="H303" s="63">
        <f ca="1">TODAY()</f>
        <v>46277</v>
      </c>
      <c r="I303" s="63" t="s">
        <v>321</v>
      </c>
      <c r="J303" s="64" t="s">
        <v>703</v>
      </c>
      <c r="K303" s="65">
        <f t="shared" si="42"/>
        <v>82</v>
      </c>
      <c r="L303" s="65">
        <v>1172171</v>
      </c>
      <c r="M303" s="64" t="s">
        <v>77</v>
      </c>
      <c r="N303" s="64">
        <v>810564</v>
      </c>
      <c r="O303" s="253" t="s">
        <v>1462</v>
      </c>
      <c r="P303" s="103">
        <v>46005</v>
      </c>
      <c r="Q303" s="103">
        <v>46184</v>
      </c>
      <c r="R303" s="73" t="s">
        <v>211</v>
      </c>
      <c r="S303" s="66" t="s">
        <v>704</v>
      </c>
      <c r="T303" s="67">
        <v>1</v>
      </c>
      <c r="U303" s="75" t="s">
        <v>173</v>
      </c>
      <c r="V303" s="68">
        <v>293</v>
      </c>
      <c r="W303" s="68"/>
      <c r="X303" s="69">
        <v>0</v>
      </c>
      <c r="Y303" s="68">
        <v>0</v>
      </c>
      <c r="Z303" s="68">
        <v>0</v>
      </c>
      <c r="AA303" s="68">
        <v>0</v>
      </c>
      <c r="AB303" s="68">
        <v>0</v>
      </c>
      <c r="AC303" s="68"/>
      <c r="AD303" s="68">
        <v>0</v>
      </c>
      <c r="AE303" s="68">
        <v>0</v>
      </c>
      <c r="AF303" s="68">
        <v>0</v>
      </c>
      <c r="AG303" s="68">
        <v>0</v>
      </c>
      <c r="AH303" s="68">
        <v>0</v>
      </c>
      <c r="AI303" s="68"/>
      <c r="AJ303" s="68">
        <v>0</v>
      </c>
      <c r="AK303" s="68">
        <v>0</v>
      </c>
      <c r="AL303" s="68">
        <v>1</v>
      </c>
      <c r="AM303" s="68"/>
      <c r="AN303" s="68">
        <v>1</v>
      </c>
      <c r="AO303" s="68"/>
      <c r="AP303" s="68">
        <v>1</v>
      </c>
      <c r="AQ303" s="68"/>
      <c r="AR303" s="68">
        <v>0</v>
      </c>
      <c r="AS303" s="68">
        <v>0</v>
      </c>
      <c r="AT303" s="68">
        <v>0</v>
      </c>
      <c r="AU303" s="68"/>
      <c r="AV303" s="68">
        <v>0</v>
      </c>
      <c r="AW303" s="68">
        <v>0</v>
      </c>
      <c r="AX303" s="146">
        <f t="shared" si="40"/>
        <v>18860</v>
      </c>
      <c r="AY303" s="146">
        <f t="shared" si="38"/>
        <v>0</v>
      </c>
      <c r="AZ303" s="64" t="s">
        <v>77</v>
      </c>
      <c r="BA303" s="64" t="s">
        <v>77</v>
      </c>
      <c r="BB303" s="15" t="s">
        <v>77</v>
      </c>
      <c r="BC303" s="74">
        <v>299</v>
      </c>
      <c r="BD303" s="70"/>
      <c r="BE303" s="67"/>
      <c r="BF303" s="71"/>
      <c r="BG303" s="15"/>
      <c r="BH303" s="72" t="s">
        <v>77</v>
      </c>
      <c r="BI303" s="72" t="s">
        <v>77</v>
      </c>
    </row>
    <row r="304" spans="1:705" s="16" customFormat="1" ht="44.1" hidden="1" customHeight="1" x14ac:dyDescent="0.3">
      <c r="A304" s="200">
        <v>300</v>
      </c>
      <c r="B304" s="138">
        <v>242199</v>
      </c>
      <c r="C304" s="138">
        <v>300</v>
      </c>
      <c r="D304" s="139">
        <v>45986</v>
      </c>
      <c r="E304" s="139">
        <f t="shared" si="43"/>
        <v>45985</v>
      </c>
      <c r="F304" s="139">
        <f t="shared" si="41"/>
        <v>45996</v>
      </c>
      <c r="G304" s="139">
        <v>46078</v>
      </c>
      <c r="H304" s="139">
        <v>46046</v>
      </c>
      <c r="I304" s="139" t="s">
        <v>321</v>
      </c>
      <c r="J304" s="140" t="s">
        <v>705</v>
      </c>
      <c r="K304" s="141">
        <f t="shared" si="42"/>
        <v>82</v>
      </c>
      <c r="L304" s="141">
        <v>1172173</v>
      </c>
      <c r="M304" s="140" t="s">
        <v>15</v>
      </c>
      <c r="N304" s="140">
        <v>810950</v>
      </c>
      <c r="O304" s="140" t="s">
        <v>246</v>
      </c>
      <c r="P304" s="143">
        <v>46021</v>
      </c>
      <c r="Q304" s="143">
        <v>46198</v>
      </c>
      <c r="R304" s="185" t="s">
        <v>211</v>
      </c>
      <c r="S304" s="144" t="s">
        <v>706</v>
      </c>
      <c r="T304" s="145">
        <v>1</v>
      </c>
      <c r="U304" s="186" t="s">
        <v>82</v>
      </c>
      <c r="V304" s="146">
        <v>93</v>
      </c>
      <c r="W304" s="146">
        <v>93</v>
      </c>
      <c r="X304" s="147">
        <v>0</v>
      </c>
      <c r="Y304" s="146">
        <v>0</v>
      </c>
      <c r="Z304" s="146">
        <v>0</v>
      </c>
      <c r="AA304" s="146">
        <v>0</v>
      </c>
      <c r="AB304" s="146">
        <v>0</v>
      </c>
      <c r="AC304" s="146"/>
      <c r="AD304" s="146">
        <v>0</v>
      </c>
      <c r="AE304" s="146">
        <v>0</v>
      </c>
      <c r="AF304" s="146">
        <v>0</v>
      </c>
      <c r="AG304" s="146">
        <v>0</v>
      </c>
      <c r="AH304" s="146">
        <v>0</v>
      </c>
      <c r="AI304" s="146"/>
      <c r="AJ304" s="146">
        <v>0</v>
      </c>
      <c r="AK304" s="146">
        <v>0</v>
      </c>
      <c r="AL304" s="146">
        <v>1</v>
      </c>
      <c r="AM304" s="146">
        <v>1</v>
      </c>
      <c r="AN304" s="146">
        <v>1</v>
      </c>
      <c r="AO304" s="146">
        <v>1</v>
      </c>
      <c r="AP304" s="146">
        <v>0</v>
      </c>
      <c r="AQ304" s="146"/>
      <c r="AR304" s="146">
        <v>0</v>
      </c>
      <c r="AS304" s="146">
        <v>0</v>
      </c>
      <c r="AT304" s="146">
        <v>0</v>
      </c>
      <c r="AU304" s="146"/>
      <c r="AV304" s="146">
        <v>0</v>
      </c>
      <c r="AW304" s="146">
        <v>0</v>
      </c>
      <c r="AX304" s="146">
        <f t="shared" si="40"/>
        <v>6230</v>
      </c>
      <c r="AY304" s="146">
        <f t="shared" si="38"/>
        <v>6230</v>
      </c>
      <c r="AZ304" s="140" t="s">
        <v>562</v>
      </c>
      <c r="BA304" s="140" t="s">
        <v>562</v>
      </c>
      <c r="BB304" s="137">
        <v>7</v>
      </c>
      <c r="BC304" s="187">
        <v>300</v>
      </c>
      <c r="BD304" s="149"/>
      <c r="BE304" s="145"/>
      <c r="BF304" s="150"/>
      <c r="BG304" s="188">
        <v>46023</v>
      </c>
      <c r="BH304" s="153" t="s">
        <v>15</v>
      </c>
      <c r="BI304" s="153" t="s">
        <v>562</v>
      </c>
    </row>
    <row r="305" spans="1:705" s="16" customFormat="1" ht="44.1" customHeight="1" x14ac:dyDescent="0.3">
      <c r="A305" s="200">
        <v>301</v>
      </c>
      <c r="B305" s="90">
        <v>242229</v>
      </c>
      <c r="C305" s="90">
        <v>301</v>
      </c>
      <c r="D305" s="91">
        <v>45987</v>
      </c>
      <c r="E305" s="91">
        <f t="shared" si="43"/>
        <v>45986</v>
      </c>
      <c r="F305" s="91">
        <f t="shared" si="41"/>
        <v>45997</v>
      </c>
      <c r="G305" s="91">
        <v>46079</v>
      </c>
      <c r="H305" s="91">
        <v>46193</v>
      </c>
      <c r="I305" s="91" t="s">
        <v>321</v>
      </c>
      <c r="J305" s="92" t="s">
        <v>707</v>
      </c>
      <c r="K305" s="93">
        <f t="shared" si="42"/>
        <v>82</v>
      </c>
      <c r="L305" s="93">
        <v>1172453</v>
      </c>
      <c r="M305" s="92" t="s">
        <v>212</v>
      </c>
      <c r="N305" s="92">
        <v>810953</v>
      </c>
      <c r="O305" s="92" t="s">
        <v>246</v>
      </c>
      <c r="P305" s="126">
        <v>46034</v>
      </c>
      <c r="Q305" s="126">
        <v>46198</v>
      </c>
      <c r="R305" s="158" t="s">
        <v>211</v>
      </c>
      <c r="S305" s="94" t="s">
        <v>708</v>
      </c>
      <c r="T305" s="95">
        <v>1</v>
      </c>
      <c r="U305" s="159" t="s">
        <v>82</v>
      </c>
      <c r="V305" s="96">
        <v>118</v>
      </c>
      <c r="W305" s="96">
        <v>0</v>
      </c>
      <c r="X305" s="97">
        <v>0</v>
      </c>
      <c r="Y305" s="96">
        <v>0</v>
      </c>
      <c r="Z305" s="96">
        <v>0</v>
      </c>
      <c r="AA305" s="96">
        <v>0</v>
      </c>
      <c r="AB305" s="96">
        <v>0</v>
      </c>
      <c r="AC305" s="96">
        <v>0</v>
      </c>
      <c r="AD305" s="96">
        <v>0</v>
      </c>
      <c r="AE305" s="96">
        <v>0</v>
      </c>
      <c r="AF305" s="96">
        <v>0</v>
      </c>
      <c r="AG305" s="96">
        <v>0</v>
      </c>
      <c r="AH305" s="96">
        <v>0</v>
      </c>
      <c r="AI305" s="96"/>
      <c r="AJ305" s="96">
        <v>0</v>
      </c>
      <c r="AK305" s="96">
        <v>0</v>
      </c>
      <c r="AL305" s="96">
        <v>1</v>
      </c>
      <c r="AM305" s="96"/>
      <c r="AN305" s="96">
        <v>1</v>
      </c>
      <c r="AO305" s="96"/>
      <c r="AP305" s="96">
        <v>1</v>
      </c>
      <c r="AQ305" s="96"/>
      <c r="AR305" s="96">
        <v>0</v>
      </c>
      <c r="AS305" s="96">
        <v>0</v>
      </c>
      <c r="AT305" s="96">
        <v>0</v>
      </c>
      <c r="AU305" s="96"/>
      <c r="AV305" s="96">
        <v>0</v>
      </c>
      <c r="AW305" s="96">
        <v>0</v>
      </c>
      <c r="AX305" s="96">
        <v>0</v>
      </c>
      <c r="AY305" s="96">
        <f t="shared" si="38"/>
        <v>0</v>
      </c>
      <c r="AZ305" s="92" t="s">
        <v>212</v>
      </c>
      <c r="BA305" s="92" t="s">
        <v>212</v>
      </c>
      <c r="BB305" s="89" t="s">
        <v>212</v>
      </c>
      <c r="BC305" s="160">
        <v>301</v>
      </c>
      <c r="BD305" s="100"/>
      <c r="BE305" s="95"/>
      <c r="BF305" s="101"/>
      <c r="BG305" s="254"/>
      <c r="BH305" s="102" t="s">
        <v>212</v>
      </c>
      <c r="BI305" s="102" t="s">
        <v>1517</v>
      </c>
    </row>
    <row r="306" spans="1:705" s="16" customFormat="1" ht="44.1" hidden="1" customHeight="1" x14ac:dyDescent="0.3">
      <c r="A306" s="200">
        <v>302</v>
      </c>
      <c r="B306" s="138">
        <v>242230</v>
      </c>
      <c r="C306" s="138">
        <v>302</v>
      </c>
      <c r="D306" s="139">
        <v>45987</v>
      </c>
      <c r="E306" s="139">
        <f t="shared" si="43"/>
        <v>45986</v>
      </c>
      <c r="F306" s="139">
        <f t="shared" si="41"/>
        <v>45997</v>
      </c>
      <c r="G306" s="139">
        <v>46079</v>
      </c>
      <c r="H306" s="139">
        <v>46188</v>
      </c>
      <c r="I306" s="139" t="s">
        <v>321</v>
      </c>
      <c r="J306" s="140" t="s">
        <v>709</v>
      </c>
      <c r="K306" s="141">
        <f t="shared" si="42"/>
        <v>82</v>
      </c>
      <c r="L306" s="141">
        <v>1172486</v>
      </c>
      <c r="M306" s="140" t="s">
        <v>15</v>
      </c>
      <c r="N306" s="140" t="s">
        <v>1032</v>
      </c>
      <c r="O306" s="137" t="s">
        <v>246</v>
      </c>
      <c r="P306" s="143">
        <v>46034</v>
      </c>
      <c r="Q306" s="143">
        <v>46198</v>
      </c>
      <c r="R306" s="185" t="s">
        <v>211</v>
      </c>
      <c r="S306" s="144" t="s">
        <v>710</v>
      </c>
      <c r="T306" s="145">
        <v>1</v>
      </c>
      <c r="U306" s="186" t="s">
        <v>82</v>
      </c>
      <c r="V306" s="146">
        <v>86</v>
      </c>
      <c r="W306" s="146">
        <v>86</v>
      </c>
      <c r="X306" s="147">
        <v>36</v>
      </c>
      <c r="Y306" s="146">
        <v>36</v>
      </c>
      <c r="Z306" s="146">
        <v>0</v>
      </c>
      <c r="AA306" s="146">
        <v>0</v>
      </c>
      <c r="AB306" s="146">
        <v>23</v>
      </c>
      <c r="AC306" s="146">
        <v>23</v>
      </c>
      <c r="AD306" s="146">
        <v>30</v>
      </c>
      <c r="AE306" s="146">
        <v>30</v>
      </c>
      <c r="AF306" s="146">
        <v>45</v>
      </c>
      <c r="AG306" s="146">
        <v>45</v>
      </c>
      <c r="AH306" s="146">
        <v>0</v>
      </c>
      <c r="AI306" s="146">
        <v>0</v>
      </c>
      <c r="AJ306" s="146">
        <v>0</v>
      </c>
      <c r="AK306" s="146">
        <v>0</v>
      </c>
      <c r="AL306" s="146">
        <v>4</v>
      </c>
      <c r="AM306" s="146">
        <v>4</v>
      </c>
      <c r="AN306" s="146">
        <v>3</v>
      </c>
      <c r="AO306" s="146">
        <v>3</v>
      </c>
      <c r="AP306" s="146">
        <v>1</v>
      </c>
      <c r="AQ306" s="146">
        <v>1</v>
      </c>
      <c r="AR306" s="146">
        <v>0</v>
      </c>
      <c r="AS306" s="146">
        <v>0</v>
      </c>
      <c r="AT306" s="146">
        <v>0</v>
      </c>
      <c r="AU306" s="146">
        <v>0</v>
      </c>
      <c r="AV306" s="146">
        <v>0</v>
      </c>
      <c r="AW306" s="146">
        <v>0</v>
      </c>
      <c r="AX306" s="146">
        <f t="shared" ref="AX306:AX337" si="44">(V306*60)+(X306*80)+(Z306*38)+(AB306*57)+(AD306*75)+(AF306*155)+(AH306*170)+(AJ306*375)+(AL306*590)+(AN306*60)+(AP306*630)+(AR306*400)+(AT306*350)+(AV306*950)</f>
        <v>21746</v>
      </c>
      <c r="AY306" s="146">
        <f t="shared" si="38"/>
        <v>21746</v>
      </c>
      <c r="AZ306" s="140" t="s">
        <v>562</v>
      </c>
      <c r="BA306" s="140" t="s">
        <v>562</v>
      </c>
      <c r="BB306" s="137">
        <v>13</v>
      </c>
      <c r="BC306" s="187">
        <v>302</v>
      </c>
      <c r="BD306" s="149"/>
      <c r="BE306" s="145"/>
      <c r="BF306" s="150"/>
      <c r="BG306" s="188">
        <v>46184</v>
      </c>
      <c r="BH306" s="153" t="s">
        <v>535</v>
      </c>
      <c r="BI306" s="153" t="s">
        <v>562</v>
      </c>
    </row>
    <row r="307" spans="1:705" s="16" customFormat="1" ht="44.1" hidden="1" customHeight="1" x14ac:dyDescent="0.3">
      <c r="A307" s="26">
        <v>303</v>
      </c>
      <c r="B307" s="138">
        <v>242247</v>
      </c>
      <c r="C307" s="138">
        <v>303</v>
      </c>
      <c r="D307" s="139">
        <v>46077</v>
      </c>
      <c r="E307" s="139">
        <f t="shared" si="43"/>
        <v>46076</v>
      </c>
      <c r="F307" s="139">
        <f t="shared" si="41"/>
        <v>46087</v>
      </c>
      <c r="G307" s="139">
        <v>46136</v>
      </c>
      <c r="H307" s="139">
        <v>46092</v>
      </c>
      <c r="I307" s="139" t="s">
        <v>123</v>
      </c>
      <c r="J307" s="140" t="s">
        <v>1116</v>
      </c>
      <c r="K307" s="141">
        <f t="shared" si="42"/>
        <v>49</v>
      </c>
      <c r="L307" s="141">
        <v>1172659</v>
      </c>
      <c r="M307" s="140" t="s">
        <v>15</v>
      </c>
      <c r="N307" s="140">
        <v>810568</v>
      </c>
      <c r="O307" s="137" t="s">
        <v>246</v>
      </c>
      <c r="P307" s="143">
        <v>46033</v>
      </c>
      <c r="Q307" s="143">
        <v>46191</v>
      </c>
      <c r="R307" s="185" t="s">
        <v>211</v>
      </c>
      <c r="S307" s="144" t="s">
        <v>711</v>
      </c>
      <c r="T307" s="145">
        <v>1</v>
      </c>
      <c r="U307" s="186" t="s">
        <v>81</v>
      </c>
      <c r="V307" s="146">
        <v>160</v>
      </c>
      <c r="W307" s="146">
        <v>160</v>
      </c>
      <c r="X307" s="147">
        <v>0</v>
      </c>
      <c r="Y307" s="146">
        <v>0</v>
      </c>
      <c r="Z307" s="146">
        <v>0</v>
      </c>
      <c r="AA307" s="146">
        <v>0</v>
      </c>
      <c r="AB307" s="146">
        <v>0</v>
      </c>
      <c r="AC307" s="146">
        <v>0</v>
      </c>
      <c r="AD307" s="146">
        <v>0</v>
      </c>
      <c r="AE307" s="146">
        <v>0</v>
      </c>
      <c r="AF307" s="146">
        <v>0</v>
      </c>
      <c r="AG307" s="146">
        <v>0</v>
      </c>
      <c r="AH307" s="146">
        <v>2</v>
      </c>
      <c r="AI307" s="146">
        <v>2</v>
      </c>
      <c r="AJ307" s="146">
        <v>0</v>
      </c>
      <c r="AK307" s="146">
        <v>0</v>
      </c>
      <c r="AL307" s="146">
        <v>2</v>
      </c>
      <c r="AM307" s="146">
        <v>2</v>
      </c>
      <c r="AN307" s="146">
        <v>2</v>
      </c>
      <c r="AO307" s="146">
        <v>2</v>
      </c>
      <c r="AP307" s="146">
        <v>2</v>
      </c>
      <c r="AQ307" s="146">
        <v>2</v>
      </c>
      <c r="AR307" s="146">
        <v>0</v>
      </c>
      <c r="AS307" s="146">
        <v>0</v>
      </c>
      <c r="AT307" s="146">
        <v>2</v>
      </c>
      <c r="AU307" s="146">
        <v>2</v>
      </c>
      <c r="AV307" s="146">
        <v>0</v>
      </c>
      <c r="AW307" s="146">
        <v>0</v>
      </c>
      <c r="AX307" s="146">
        <f t="shared" si="44"/>
        <v>13200</v>
      </c>
      <c r="AY307" s="146">
        <f t="shared" si="38"/>
        <v>13200</v>
      </c>
      <c r="AZ307" s="140" t="s">
        <v>562</v>
      </c>
      <c r="BA307" s="140" t="s">
        <v>562</v>
      </c>
      <c r="BB307" s="137">
        <v>8</v>
      </c>
      <c r="BC307" s="187">
        <v>303</v>
      </c>
      <c r="BD307" s="149"/>
      <c r="BE307" s="145"/>
      <c r="BF307" s="150"/>
      <c r="BG307" s="188">
        <v>46085</v>
      </c>
      <c r="BH307" s="153" t="s">
        <v>15</v>
      </c>
      <c r="BI307" s="153" t="s">
        <v>562</v>
      </c>
    </row>
    <row r="308" spans="1:705" s="16" customFormat="1" ht="44.1" hidden="1" customHeight="1" x14ac:dyDescent="0.3">
      <c r="A308" s="200">
        <v>304</v>
      </c>
      <c r="B308" s="138">
        <v>242248</v>
      </c>
      <c r="C308" s="138">
        <v>304</v>
      </c>
      <c r="D308" s="139">
        <v>46148</v>
      </c>
      <c r="E308" s="139">
        <f t="shared" si="43"/>
        <v>46147</v>
      </c>
      <c r="F308" s="139">
        <f t="shared" si="41"/>
        <v>46158</v>
      </c>
      <c r="G308" s="139">
        <v>46209</v>
      </c>
      <c r="H308" s="139">
        <v>46182</v>
      </c>
      <c r="I308" s="139" t="s">
        <v>123</v>
      </c>
      <c r="J308" s="140" t="s">
        <v>1246</v>
      </c>
      <c r="K308" s="141">
        <f t="shared" si="42"/>
        <v>51</v>
      </c>
      <c r="L308" s="141">
        <v>1172660</v>
      </c>
      <c r="M308" s="140" t="s">
        <v>15</v>
      </c>
      <c r="N308" s="140">
        <v>811736</v>
      </c>
      <c r="O308" s="137" t="s">
        <v>246</v>
      </c>
      <c r="P308" s="143">
        <v>46035</v>
      </c>
      <c r="Q308" s="143">
        <v>46198</v>
      </c>
      <c r="R308" s="185" t="s">
        <v>211</v>
      </c>
      <c r="S308" s="144" t="s">
        <v>712</v>
      </c>
      <c r="T308" s="145">
        <v>1</v>
      </c>
      <c r="U308" s="186" t="s">
        <v>82</v>
      </c>
      <c r="V308" s="146">
        <v>151</v>
      </c>
      <c r="W308" s="146">
        <v>151</v>
      </c>
      <c r="X308" s="147">
        <v>0</v>
      </c>
      <c r="Y308" s="146">
        <v>0</v>
      </c>
      <c r="Z308" s="146">
        <v>0</v>
      </c>
      <c r="AA308" s="146">
        <v>0</v>
      </c>
      <c r="AB308" s="146">
        <v>148</v>
      </c>
      <c r="AC308" s="146">
        <v>148</v>
      </c>
      <c r="AD308" s="146">
        <v>0</v>
      </c>
      <c r="AE308" s="146">
        <v>0</v>
      </c>
      <c r="AF308" s="146">
        <v>0</v>
      </c>
      <c r="AG308" s="146">
        <v>0</v>
      </c>
      <c r="AH308" s="146">
        <v>1</v>
      </c>
      <c r="AI308" s="146">
        <v>1</v>
      </c>
      <c r="AJ308" s="146">
        <v>0</v>
      </c>
      <c r="AK308" s="146">
        <v>0</v>
      </c>
      <c r="AL308" s="146">
        <v>1</v>
      </c>
      <c r="AM308" s="146">
        <v>1</v>
      </c>
      <c r="AN308" s="146">
        <v>1</v>
      </c>
      <c r="AO308" s="146">
        <v>1</v>
      </c>
      <c r="AP308" s="146">
        <v>1</v>
      </c>
      <c r="AQ308" s="146">
        <v>1</v>
      </c>
      <c r="AR308" s="146">
        <v>0</v>
      </c>
      <c r="AS308" s="146">
        <v>0</v>
      </c>
      <c r="AT308" s="146">
        <v>1</v>
      </c>
      <c r="AU308" s="146">
        <v>1</v>
      </c>
      <c r="AV308" s="146">
        <v>0</v>
      </c>
      <c r="AW308" s="146">
        <v>0</v>
      </c>
      <c r="AX308" s="146">
        <f t="shared" si="44"/>
        <v>19296</v>
      </c>
      <c r="AY308" s="146">
        <f t="shared" si="38"/>
        <v>19296</v>
      </c>
      <c r="AZ308" s="140" t="s">
        <v>562</v>
      </c>
      <c r="BA308" s="140" t="s">
        <v>562</v>
      </c>
      <c r="BB308" s="137">
        <v>12</v>
      </c>
      <c r="BC308" s="187">
        <v>304</v>
      </c>
      <c r="BD308" s="149"/>
      <c r="BE308" s="145"/>
      <c r="BF308" s="150"/>
      <c r="BG308" s="188">
        <v>46118</v>
      </c>
      <c r="BH308" s="153" t="s">
        <v>15</v>
      </c>
      <c r="BI308" s="153" t="s">
        <v>562</v>
      </c>
    </row>
    <row r="309" spans="1:705" s="16" customFormat="1" ht="42" hidden="1" customHeight="1" x14ac:dyDescent="0.3">
      <c r="A309" s="200">
        <v>305</v>
      </c>
      <c r="B309" s="138">
        <v>242262</v>
      </c>
      <c r="C309" s="138">
        <v>305</v>
      </c>
      <c r="D309" s="139">
        <v>46068</v>
      </c>
      <c r="E309" s="139">
        <f t="shared" si="43"/>
        <v>46067</v>
      </c>
      <c r="F309" s="139">
        <f t="shared" si="41"/>
        <v>46078</v>
      </c>
      <c r="G309" s="139">
        <v>46127</v>
      </c>
      <c r="H309" s="139">
        <v>46155</v>
      </c>
      <c r="I309" s="139" t="s">
        <v>1054</v>
      </c>
      <c r="J309" s="140" t="s">
        <v>1055</v>
      </c>
      <c r="K309" s="141">
        <f t="shared" si="42"/>
        <v>49</v>
      </c>
      <c r="L309" s="141">
        <v>1172806</v>
      </c>
      <c r="M309" s="140" t="s">
        <v>15</v>
      </c>
      <c r="N309" s="140" t="s">
        <v>1243</v>
      </c>
      <c r="O309" s="140" t="s">
        <v>246</v>
      </c>
      <c r="P309" s="143">
        <v>46091</v>
      </c>
      <c r="Q309" s="143">
        <v>46193</v>
      </c>
      <c r="R309" s="185" t="s">
        <v>1237</v>
      </c>
      <c r="S309" s="144" t="s">
        <v>713</v>
      </c>
      <c r="T309" s="145">
        <v>1</v>
      </c>
      <c r="U309" s="186" t="s">
        <v>81</v>
      </c>
      <c r="V309" s="146">
        <v>252</v>
      </c>
      <c r="W309" s="146">
        <v>252</v>
      </c>
      <c r="X309" s="147">
        <v>68</v>
      </c>
      <c r="Y309" s="146">
        <v>68</v>
      </c>
      <c r="Z309" s="146">
        <v>0</v>
      </c>
      <c r="AA309" s="146">
        <v>0</v>
      </c>
      <c r="AB309" s="146">
        <v>73</v>
      </c>
      <c r="AC309" s="146">
        <v>73</v>
      </c>
      <c r="AD309" s="146">
        <v>0</v>
      </c>
      <c r="AE309" s="146">
        <v>0</v>
      </c>
      <c r="AF309" s="146">
        <v>85</v>
      </c>
      <c r="AG309" s="146">
        <v>85</v>
      </c>
      <c r="AH309" s="146">
        <v>2</v>
      </c>
      <c r="AI309" s="146">
        <v>2</v>
      </c>
      <c r="AJ309" s="146">
        <v>0</v>
      </c>
      <c r="AK309" s="146">
        <v>0</v>
      </c>
      <c r="AL309" s="146">
        <v>2</v>
      </c>
      <c r="AM309" s="146">
        <v>2</v>
      </c>
      <c r="AN309" s="146">
        <v>7</v>
      </c>
      <c r="AO309" s="146">
        <v>7</v>
      </c>
      <c r="AP309" s="146">
        <v>7</v>
      </c>
      <c r="AQ309" s="146">
        <v>7</v>
      </c>
      <c r="AR309" s="146">
        <v>0</v>
      </c>
      <c r="AS309" s="146">
        <v>0</v>
      </c>
      <c r="AT309" s="146">
        <v>1</v>
      </c>
      <c r="AU309" s="146">
        <v>1</v>
      </c>
      <c r="AV309" s="146">
        <v>0</v>
      </c>
      <c r="AW309" s="146">
        <v>0</v>
      </c>
      <c r="AX309" s="146">
        <f t="shared" si="44"/>
        <v>44596</v>
      </c>
      <c r="AY309" s="146">
        <f t="shared" ref="AY309:AY372" si="45">(W309*60)+(Y309*80)+(AA309*38)+(AC309*57)+(AE309*75)+(AG309*155)+(AI309*170)+(AK309*375)+(AM309*590)+(AO309*60)+(AQ309*630)+(AS309*400)+(AU309*350)+(AW309*950)</f>
        <v>44596</v>
      </c>
      <c r="AZ309" s="140" t="s">
        <v>562</v>
      </c>
      <c r="BA309" s="140" t="s">
        <v>562</v>
      </c>
      <c r="BB309" s="137">
        <v>12</v>
      </c>
      <c r="BC309" s="187">
        <v>305</v>
      </c>
      <c r="BD309" s="149"/>
      <c r="BE309" s="145"/>
      <c r="BF309" s="150"/>
      <c r="BG309" s="188">
        <v>46135</v>
      </c>
      <c r="BH309" s="153" t="s">
        <v>15</v>
      </c>
      <c r="BI309" s="153" t="s">
        <v>562</v>
      </c>
    </row>
    <row r="310" spans="1:705" s="16" customFormat="1" ht="44.1" hidden="1" customHeight="1" x14ac:dyDescent="0.3">
      <c r="A310" s="200">
        <v>306</v>
      </c>
      <c r="B310" s="138">
        <v>242263</v>
      </c>
      <c r="C310" s="138">
        <v>306</v>
      </c>
      <c r="D310" s="139">
        <v>45987</v>
      </c>
      <c r="E310" s="139">
        <f t="shared" si="43"/>
        <v>45986</v>
      </c>
      <c r="F310" s="139">
        <f t="shared" si="41"/>
        <v>45997</v>
      </c>
      <c r="G310" s="139">
        <v>46079</v>
      </c>
      <c r="H310" s="139">
        <f ca="1">TODAY()</f>
        <v>46277</v>
      </c>
      <c r="I310" s="139" t="s">
        <v>321</v>
      </c>
      <c r="J310" s="140" t="s">
        <v>714</v>
      </c>
      <c r="K310" s="141">
        <f t="shared" si="42"/>
        <v>82</v>
      </c>
      <c r="L310" s="141">
        <v>1172807</v>
      </c>
      <c r="M310" s="140" t="s">
        <v>15</v>
      </c>
      <c r="N310" s="140">
        <v>811737</v>
      </c>
      <c r="O310" s="140" t="s">
        <v>246</v>
      </c>
      <c r="P310" s="143">
        <v>46016</v>
      </c>
      <c r="Q310" s="143">
        <v>46198</v>
      </c>
      <c r="R310" s="185" t="s">
        <v>211</v>
      </c>
      <c r="S310" s="144" t="s">
        <v>715</v>
      </c>
      <c r="T310" s="145">
        <v>1</v>
      </c>
      <c r="U310" s="186" t="s">
        <v>81</v>
      </c>
      <c r="V310" s="146">
        <v>6</v>
      </c>
      <c r="W310" s="146">
        <v>6</v>
      </c>
      <c r="X310" s="147">
        <v>0</v>
      </c>
      <c r="Y310" s="146">
        <v>0</v>
      </c>
      <c r="Z310" s="146">
        <v>0</v>
      </c>
      <c r="AA310" s="146">
        <v>0</v>
      </c>
      <c r="AB310" s="146">
        <v>6</v>
      </c>
      <c r="AC310" s="146">
        <v>6</v>
      </c>
      <c r="AD310" s="146">
        <v>0</v>
      </c>
      <c r="AE310" s="146">
        <v>0</v>
      </c>
      <c r="AF310" s="146">
        <v>0</v>
      </c>
      <c r="AG310" s="146">
        <v>0</v>
      </c>
      <c r="AH310" s="146">
        <v>1</v>
      </c>
      <c r="AI310" s="146">
        <v>1</v>
      </c>
      <c r="AJ310" s="146">
        <v>0</v>
      </c>
      <c r="AK310" s="146">
        <v>0</v>
      </c>
      <c r="AL310" s="146">
        <v>0</v>
      </c>
      <c r="AM310" s="146"/>
      <c r="AN310" s="146">
        <v>1</v>
      </c>
      <c r="AO310" s="146">
        <v>1</v>
      </c>
      <c r="AP310" s="146">
        <v>1</v>
      </c>
      <c r="AQ310" s="146">
        <v>1</v>
      </c>
      <c r="AR310" s="146">
        <v>0</v>
      </c>
      <c r="AS310" s="146">
        <v>0</v>
      </c>
      <c r="AT310" s="146">
        <v>1</v>
      </c>
      <c r="AU310" s="146">
        <v>1</v>
      </c>
      <c r="AV310" s="146">
        <v>0</v>
      </c>
      <c r="AW310" s="146">
        <v>0</v>
      </c>
      <c r="AX310" s="146">
        <f t="shared" si="44"/>
        <v>1912</v>
      </c>
      <c r="AY310" s="146">
        <f t="shared" si="45"/>
        <v>1912</v>
      </c>
      <c r="AZ310" s="140" t="s">
        <v>562</v>
      </c>
      <c r="BA310" s="140" t="s">
        <v>562</v>
      </c>
      <c r="BB310" s="137">
        <v>6</v>
      </c>
      <c r="BC310" s="187">
        <v>306</v>
      </c>
      <c r="BD310" s="149"/>
      <c r="BE310" s="145"/>
      <c r="BF310" s="150"/>
      <c r="BG310" s="188">
        <v>46023</v>
      </c>
      <c r="BH310" s="153" t="s">
        <v>15</v>
      </c>
      <c r="BI310" s="153" t="s">
        <v>562</v>
      </c>
    </row>
    <row r="311" spans="1:705" s="16" customFormat="1" ht="44.1" hidden="1" customHeight="1" x14ac:dyDescent="0.3">
      <c r="A311" s="26">
        <v>307</v>
      </c>
      <c r="B311" s="138">
        <v>242264</v>
      </c>
      <c r="C311" s="138">
        <v>307</v>
      </c>
      <c r="D311" s="139">
        <v>45987</v>
      </c>
      <c r="E311" s="139">
        <f t="shared" si="43"/>
        <v>45986</v>
      </c>
      <c r="F311" s="139">
        <f t="shared" si="41"/>
        <v>45997</v>
      </c>
      <c r="G311" s="139">
        <v>46079</v>
      </c>
      <c r="H311" s="139">
        <v>46068</v>
      </c>
      <c r="I311" s="139" t="s">
        <v>321</v>
      </c>
      <c r="J311" s="140" t="s">
        <v>716</v>
      </c>
      <c r="K311" s="141">
        <f t="shared" si="42"/>
        <v>82</v>
      </c>
      <c r="L311" s="141">
        <v>1172808</v>
      </c>
      <c r="M311" s="140" t="s">
        <v>15</v>
      </c>
      <c r="N311" s="140">
        <v>810567</v>
      </c>
      <c r="O311" s="140" t="s">
        <v>246</v>
      </c>
      <c r="P311" s="143">
        <v>46026</v>
      </c>
      <c r="Q311" s="143">
        <v>46191</v>
      </c>
      <c r="R311" s="185" t="s">
        <v>211</v>
      </c>
      <c r="S311" s="144" t="s">
        <v>717</v>
      </c>
      <c r="T311" s="145">
        <v>1</v>
      </c>
      <c r="U311" s="186" t="s">
        <v>81</v>
      </c>
      <c r="V311" s="146">
        <v>110</v>
      </c>
      <c r="W311" s="146">
        <v>110</v>
      </c>
      <c r="X311" s="147">
        <v>0</v>
      </c>
      <c r="Y311" s="146">
        <v>0</v>
      </c>
      <c r="Z311" s="146">
        <v>0</v>
      </c>
      <c r="AA311" s="146">
        <v>0</v>
      </c>
      <c r="AB311" s="146">
        <v>30</v>
      </c>
      <c r="AC311" s="146">
        <v>30</v>
      </c>
      <c r="AD311" s="146">
        <v>0</v>
      </c>
      <c r="AE311" s="146">
        <v>0</v>
      </c>
      <c r="AF311" s="146">
        <v>0</v>
      </c>
      <c r="AG311" s="146">
        <v>0</v>
      </c>
      <c r="AH311" s="146">
        <v>0</v>
      </c>
      <c r="AI311" s="146"/>
      <c r="AJ311" s="146">
        <v>0</v>
      </c>
      <c r="AK311" s="146">
        <v>0</v>
      </c>
      <c r="AL311" s="146">
        <v>0</v>
      </c>
      <c r="AM311" s="146"/>
      <c r="AN311" s="146">
        <v>1</v>
      </c>
      <c r="AO311" s="146">
        <v>1</v>
      </c>
      <c r="AP311" s="146">
        <v>1</v>
      </c>
      <c r="AQ311" s="146">
        <v>1</v>
      </c>
      <c r="AR311" s="146">
        <v>0</v>
      </c>
      <c r="AS311" s="146">
        <v>0</v>
      </c>
      <c r="AT311" s="146">
        <v>0</v>
      </c>
      <c r="AU311" s="146"/>
      <c r="AV311" s="146">
        <v>0</v>
      </c>
      <c r="AW311" s="146">
        <v>0</v>
      </c>
      <c r="AX311" s="146">
        <f t="shared" si="44"/>
        <v>9000</v>
      </c>
      <c r="AY311" s="146">
        <f t="shared" si="45"/>
        <v>9000</v>
      </c>
      <c r="AZ311" s="140" t="s">
        <v>562</v>
      </c>
      <c r="BA311" s="140" t="s">
        <v>562</v>
      </c>
      <c r="BB311" s="137">
        <v>7</v>
      </c>
      <c r="BC311" s="187">
        <v>307</v>
      </c>
      <c r="BD311" s="149"/>
      <c r="BE311" s="145"/>
      <c r="BF311" s="150"/>
      <c r="BG311" s="188">
        <v>46054</v>
      </c>
      <c r="BH311" s="153" t="s">
        <v>15</v>
      </c>
      <c r="BI311" s="153" t="s">
        <v>562</v>
      </c>
    </row>
    <row r="312" spans="1:705" s="235" customFormat="1" ht="44.1" hidden="1" customHeight="1" x14ac:dyDescent="0.3">
      <c r="A312" s="26">
        <v>308</v>
      </c>
      <c r="B312" s="138">
        <v>242265</v>
      </c>
      <c r="C312" s="138">
        <v>308</v>
      </c>
      <c r="D312" s="139">
        <v>45987</v>
      </c>
      <c r="E312" s="139">
        <f t="shared" si="43"/>
        <v>45986</v>
      </c>
      <c r="F312" s="139">
        <f t="shared" si="41"/>
        <v>45997</v>
      </c>
      <c r="G312" s="139">
        <v>46079</v>
      </c>
      <c r="H312" s="139">
        <v>46061</v>
      </c>
      <c r="I312" s="139" t="s">
        <v>321</v>
      </c>
      <c r="J312" s="140" t="s">
        <v>718</v>
      </c>
      <c r="K312" s="141">
        <f t="shared" si="42"/>
        <v>82</v>
      </c>
      <c r="L312" s="141">
        <v>1172810</v>
      </c>
      <c r="M312" s="140" t="s">
        <v>15</v>
      </c>
      <c r="N312" s="140">
        <v>810950</v>
      </c>
      <c r="O312" s="140" t="s">
        <v>246</v>
      </c>
      <c r="P312" s="143">
        <v>46021</v>
      </c>
      <c r="Q312" s="143">
        <v>46198</v>
      </c>
      <c r="R312" s="185" t="s">
        <v>211</v>
      </c>
      <c r="S312" s="144" t="s">
        <v>577</v>
      </c>
      <c r="T312" s="145">
        <v>1</v>
      </c>
      <c r="U312" s="186" t="s">
        <v>82</v>
      </c>
      <c r="V312" s="146">
        <v>122</v>
      </c>
      <c r="W312" s="146">
        <v>122</v>
      </c>
      <c r="X312" s="147">
        <v>0</v>
      </c>
      <c r="Y312" s="146">
        <v>0</v>
      </c>
      <c r="Z312" s="146"/>
      <c r="AA312" s="146">
        <v>0</v>
      </c>
      <c r="AB312" s="146">
        <v>26</v>
      </c>
      <c r="AC312" s="146">
        <v>26</v>
      </c>
      <c r="AD312" s="146">
        <v>0</v>
      </c>
      <c r="AE312" s="146">
        <v>0</v>
      </c>
      <c r="AF312" s="146">
        <v>0</v>
      </c>
      <c r="AG312" s="146">
        <v>0</v>
      </c>
      <c r="AH312" s="146">
        <v>0</v>
      </c>
      <c r="AI312" s="146">
        <v>0</v>
      </c>
      <c r="AJ312" s="146">
        <v>0</v>
      </c>
      <c r="AK312" s="146">
        <v>0</v>
      </c>
      <c r="AL312" s="146">
        <v>2</v>
      </c>
      <c r="AM312" s="146">
        <v>2</v>
      </c>
      <c r="AN312" s="146">
        <v>3</v>
      </c>
      <c r="AO312" s="146">
        <v>3</v>
      </c>
      <c r="AP312" s="146">
        <v>1</v>
      </c>
      <c r="AQ312" s="146">
        <v>1</v>
      </c>
      <c r="AR312" s="146">
        <v>0</v>
      </c>
      <c r="AS312" s="146">
        <v>0</v>
      </c>
      <c r="AT312" s="146">
        <v>0</v>
      </c>
      <c r="AU312" s="146"/>
      <c r="AV312" s="146">
        <v>0</v>
      </c>
      <c r="AW312" s="146">
        <v>0</v>
      </c>
      <c r="AX312" s="146">
        <f t="shared" si="44"/>
        <v>10792</v>
      </c>
      <c r="AY312" s="146">
        <f t="shared" si="45"/>
        <v>10792</v>
      </c>
      <c r="AZ312" s="140" t="s">
        <v>562</v>
      </c>
      <c r="BA312" s="140" t="s">
        <v>562</v>
      </c>
      <c r="BB312" s="137">
        <v>9</v>
      </c>
      <c r="BC312" s="187">
        <v>308</v>
      </c>
      <c r="BD312" s="149"/>
      <c r="BE312" s="145"/>
      <c r="BF312" s="150"/>
      <c r="BG312" s="188">
        <v>46054</v>
      </c>
      <c r="BH312" s="153" t="s">
        <v>15</v>
      </c>
      <c r="BI312" s="153" t="s">
        <v>562</v>
      </c>
      <c r="BJ312" s="16"/>
      <c r="BK312" s="16"/>
      <c r="BL312" s="16"/>
      <c r="BM312" s="16"/>
      <c r="BN312" s="16"/>
      <c r="BO312" s="16"/>
      <c r="BP312" s="16"/>
      <c r="BQ312" s="16"/>
      <c r="BR312" s="16"/>
      <c r="BS312" s="16"/>
      <c r="BT312" s="16"/>
      <c r="BU312" s="16"/>
      <c r="BV312" s="16"/>
      <c r="BW312" s="16"/>
      <c r="BX312" s="16"/>
      <c r="BY312" s="16"/>
      <c r="BZ312" s="16"/>
      <c r="CA312" s="16"/>
      <c r="CB312" s="16"/>
      <c r="CC312" s="16"/>
      <c r="CD312" s="16"/>
      <c r="CE312" s="16"/>
      <c r="CF312" s="16"/>
      <c r="CG312" s="16"/>
      <c r="CH312" s="16"/>
      <c r="CI312" s="16"/>
      <c r="CJ312" s="16"/>
      <c r="CK312" s="16"/>
      <c r="CL312" s="16"/>
      <c r="CM312" s="16"/>
      <c r="CN312" s="16"/>
      <c r="CO312" s="16"/>
      <c r="CP312" s="16"/>
      <c r="CQ312" s="16"/>
      <c r="CR312" s="16"/>
      <c r="CS312" s="16"/>
      <c r="CT312" s="16"/>
      <c r="CU312" s="16"/>
      <c r="CV312" s="16"/>
      <c r="CW312" s="16"/>
      <c r="CX312" s="16"/>
      <c r="CY312" s="16"/>
      <c r="CZ312" s="16"/>
      <c r="DA312" s="16"/>
      <c r="DB312" s="16"/>
      <c r="DC312" s="16"/>
      <c r="DD312" s="16"/>
      <c r="DE312" s="16"/>
      <c r="DF312" s="16"/>
      <c r="DG312" s="16"/>
      <c r="DH312" s="16"/>
      <c r="DI312" s="16"/>
      <c r="DJ312" s="16"/>
      <c r="DK312" s="16"/>
      <c r="DL312" s="16"/>
      <c r="DM312" s="16"/>
      <c r="DN312" s="16"/>
      <c r="DO312" s="16"/>
      <c r="DP312" s="16"/>
      <c r="DQ312" s="16"/>
      <c r="DR312" s="16"/>
      <c r="DS312" s="16"/>
      <c r="DT312" s="16"/>
      <c r="DU312" s="16"/>
      <c r="DV312" s="16"/>
      <c r="DW312" s="16"/>
      <c r="DX312" s="16"/>
      <c r="DY312" s="16"/>
      <c r="DZ312" s="16"/>
      <c r="EA312" s="16"/>
      <c r="EB312" s="16"/>
      <c r="EC312" s="16"/>
      <c r="ED312" s="16"/>
      <c r="EE312" s="16"/>
      <c r="EF312" s="16"/>
      <c r="EG312" s="16"/>
      <c r="EH312" s="16"/>
      <c r="EI312" s="16"/>
      <c r="EJ312" s="16"/>
      <c r="EK312" s="16"/>
      <c r="EL312" s="16"/>
      <c r="EM312" s="16"/>
      <c r="EN312" s="16"/>
      <c r="EO312" s="16"/>
      <c r="EP312" s="16"/>
      <c r="EQ312" s="16"/>
      <c r="ER312" s="16"/>
      <c r="ES312" s="16"/>
      <c r="ET312" s="16"/>
      <c r="EU312" s="16"/>
      <c r="EV312" s="16"/>
      <c r="EW312" s="16"/>
      <c r="EX312" s="16"/>
      <c r="EY312" s="16"/>
      <c r="EZ312" s="16"/>
      <c r="FA312" s="16"/>
      <c r="FB312" s="16"/>
      <c r="FC312" s="16"/>
      <c r="FD312" s="16"/>
      <c r="FE312" s="16"/>
      <c r="FF312" s="16"/>
      <c r="FG312" s="16"/>
      <c r="FH312" s="16"/>
      <c r="FI312" s="16"/>
      <c r="FJ312" s="16"/>
      <c r="FK312" s="16"/>
      <c r="FL312" s="16"/>
      <c r="FM312" s="16"/>
      <c r="FN312" s="16"/>
      <c r="FO312" s="16"/>
      <c r="FP312" s="16"/>
      <c r="FQ312" s="16"/>
      <c r="FR312" s="16"/>
      <c r="FS312" s="16"/>
      <c r="FT312" s="16"/>
      <c r="FU312" s="16"/>
      <c r="FV312" s="16"/>
      <c r="FW312" s="16"/>
      <c r="FX312" s="16"/>
      <c r="FY312" s="16"/>
      <c r="FZ312" s="16"/>
      <c r="GA312" s="16"/>
      <c r="GB312" s="16"/>
      <c r="GC312" s="16"/>
      <c r="GD312" s="16"/>
      <c r="GE312" s="16"/>
      <c r="GF312" s="16"/>
      <c r="GG312" s="16"/>
      <c r="GH312" s="16"/>
      <c r="GI312" s="16"/>
      <c r="GJ312" s="16"/>
      <c r="GK312" s="16"/>
      <c r="GL312" s="16"/>
      <c r="GM312" s="16"/>
      <c r="GN312" s="16"/>
      <c r="GO312" s="16"/>
      <c r="GP312" s="16"/>
      <c r="GQ312" s="16"/>
      <c r="GR312" s="16"/>
      <c r="GS312" s="16"/>
      <c r="GT312" s="16"/>
      <c r="GU312" s="16"/>
      <c r="GV312" s="16"/>
      <c r="GW312" s="16"/>
      <c r="GX312" s="16"/>
      <c r="GY312" s="16"/>
      <c r="GZ312" s="16"/>
      <c r="HA312" s="16"/>
      <c r="HB312" s="16"/>
      <c r="HC312" s="16"/>
      <c r="HD312" s="16"/>
      <c r="HE312" s="16"/>
      <c r="HF312" s="16"/>
      <c r="HG312" s="16"/>
      <c r="HH312" s="16"/>
      <c r="HI312" s="16"/>
      <c r="HJ312" s="16"/>
      <c r="HK312" s="16"/>
      <c r="HL312" s="16"/>
      <c r="HM312" s="16"/>
      <c r="HN312" s="16"/>
      <c r="HO312" s="16"/>
      <c r="HP312" s="16"/>
      <c r="HQ312" s="16"/>
      <c r="HR312" s="16"/>
      <c r="HS312" s="16"/>
      <c r="HT312" s="16"/>
      <c r="HU312" s="16"/>
      <c r="HV312" s="16"/>
      <c r="HW312" s="16"/>
      <c r="HX312" s="16"/>
      <c r="HY312" s="16"/>
      <c r="HZ312" s="16"/>
      <c r="IA312" s="16"/>
      <c r="IB312" s="16"/>
      <c r="IC312" s="16"/>
      <c r="ID312" s="16"/>
      <c r="IE312" s="16"/>
      <c r="IF312" s="16"/>
      <c r="IG312" s="16"/>
      <c r="IH312" s="16"/>
      <c r="II312" s="16"/>
      <c r="IJ312" s="16"/>
      <c r="IK312" s="16"/>
      <c r="IL312" s="16"/>
      <c r="IM312" s="16"/>
      <c r="IN312" s="16"/>
      <c r="IO312" s="16"/>
      <c r="IP312" s="16"/>
      <c r="IQ312" s="16"/>
      <c r="IR312" s="16"/>
      <c r="IS312" s="16"/>
      <c r="IT312" s="16"/>
      <c r="IU312" s="16"/>
      <c r="IV312" s="16"/>
      <c r="IW312" s="16"/>
      <c r="IX312" s="16"/>
      <c r="IY312" s="16"/>
      <c r="IZ312" s="16"/>
      <c r="JA312" s="16"/>
      <c r="JB312" s="16"/>
      <c r="JC312" s="16"/>
      <c r="JD312" s="16"/>
      <c r="JE312" s="16"/>
      <c r="JF312" s="16"/>
      <c r="JG312" s="16"/>
      <c r="JH312" s="16"/>
      <c r="JI312" s="16"/>
      <c r="JJ312" s="16"/>
      <c r="JK312" s="16"/>
      <c r="JL312" s="16"/>
      <c r="JM312" s="16"/>
      <c r="JN312" s="16"/>
      <c r="JO312" s="16"/>
      <c r="JP312" s="16"/>
      <c r="JQ312" s="16"/>
      <c r="JR312" s="16"/>
      <c r="JS312" s="16"/>
      <c r="JT312" s="16"/>
      <c r="JU312" s="16"/>
      <c r="JV312" s="16"/>
      <c r="JW312" s="16"/>
      <c r="JX312" s="16"/>
      <c r="JY312" s="16"/>
      <c r="JZ312" s="16"/>
      <c r="KA312" s="16"/>
      <c r="KB312" s="16"/>
      <c r="KC312" s="16"/>
      <c r="KD312" s="16"/>
      <c r="KE312" s="16"/>
      <c r="KF312" s="16"/>
      <c r="KG312" s="16"/>
      <c r="KH312" s="16"/>
      <c r="KI312" s="16"/>
      <c r="KJ312" s="16"/>
      <c r="KK312" s="16"/>
      <c r="KL312" s="16"/>
      <c r="KM312" s="16"/>
      <c r="KN312" s="16"/>
      <c r="KO312" s="16"/>
      <c r="KP312" s="16"/>
      <c r="KQ312" s="16"/>
      <c r="KR312" s="16"/>
      <c r="KS312" s="16"/>
      <c r="KT312" s="16"/>
      <c r="KU312" s="16"/>
      <c r="KV312" s="16"/>
      <c r="KW312" s="16"/>
      <c r="KX312" s="16"/>
      <c r="KY312" s="16"/>
      <c r="KZ312" s="16"/>
      <c r="LA312" s="16"/>
      <c r="LB312" s="16"/>
      <c r="LC312" s="16"/>
      <c r="LD312" s="16"/>
      <c r="LE312" s="16"/>
      <c r="LF312" s="16"/>
      <c r="LG312" s="16"/>
      <c r="LH312" s="16"/>
      <c r="LI312" s="16"/>
      <c r="LJ312" s="16"/>
      <c r="LK312" s="16"/>
      <c r="LL312" s="16"/>
      <c r="LM312" s="16"/>
      <c r="LN312" s="16"/>
      <c r="LO312" s="16"/>
      <c r="LP312" s="16"/>
      <c r="LQ312" s="16"/>
      <c r="LR312" s="16"/>
      <c r="LS312" s="16"/>
      <c r="LT312" s="16"/>
      <c r="LU312" s="16"/>
      <c r="LV312" s="16"/>
      <c r="LW312" s="16"/>
      <c r="LX312" s="16"/>
      <c r="LY312" s="16"/>
      <c r="LZ312" s="16"/>
      <c r="MA312" s="16"/>
      <c r="MB312" s="16"/>
      <c r="MC312" s="16"/>
      <c r="MD312" s="16"/>
      <c r="ME312" s="16"/>
      <c r="MF312" s="16"/>
      <c r="MG312" s="16"/>
      <c r="MH312" s="16"/>
      <c r="MI312" s="16"/>
      <c r="MJ312" s="16"/>
      <c r="MK312" s="16"/>
      <c r="ML312" s="16"/>
      <c r="MM312" s="16"/>
      <c r="MN312" s="16"/>
      <c r="MO312" s="16"/>
      <c r="MP312" s="16"/>
      <c r="MQ312" s="16"/>
      <c r="MR312" s="16"/>
      <c r="MS312" s="16"/>
      <c r="MT312" s="16"/>
      <c r="MU312" s="16"/>
      <c r="MV312" s="16"/>
      <c r="MW312" s="16"/>
      <c r="MX312" s="16"/>
      <c r="MY312" s="16"/>
      <c r="MZ312" s="16"/>
      <c r="NA312" s="16"/>
      <c r="NB312" s="16"/>
      <c r="NC312" s="16"/>
      <c r="ND312" s="16"/>
      <c r="NE312" s="16"/>
      <c r="NF312" s="16"/>
      <c r="NG312" s="16"/>
      <c r="NH312" s="16"/>
      <c r="NI312" s="16"/>
      <c r="NJ312" s="16"/>
      <c r="NK312" s="16"/>
      <c r="NL312" s="16"/>
      <c r="NM312" s="16"/>
      <c r="NN312" s="16"/>
      <c r="NO312" s="16"/>
      <c r="NP312" s="16"/>
      <c r="NQ312" s="16"/>
      <c r="NR312" s="16"/>
      <c r="NS312" s="16"/>
      <c r="NT312" s="16"/>
      <c r="NU312" s="16"/>
      <c r="NV312" s="16"/>
      <c r="NW312" s="16"/>
      <c r="NX312" s="16"/>
      <c r="NY312" s="16"/>
      <c r="NZ312" s="16"/>
      <c r="OA312" s="16"/>
      <c r="OB312" s="16"/>
      <c r="OC312" s="16"/>
      <c r="OD312" s="16"/>
      <c r="OE312" s="16"/>
      <c r="OF312" s="16"/>
      <c r="OG312" s="16"/>
      <c r="OH312" s="16"/>
      <c r="OI312" s="16"/>
      <c r="OJ312" s="16"/>
      <c r="OK312" s="16"/>
      <c r="OL312" s="16"/>
      <c r="OM312" s="16"/>
      <c r="ON312" s="16"/>
      <c r="OO312" s="16"/>
      <c r="OP312" s="16"/>
      <c r="OQ312" s="16"/>
      <c r="OR312" s="16"/>
      <c r="OS312" s="16"/>
      <c r="OT312" s="16"/>
      <c r="OU312" s="16"/>
      <c r="OV312" s="16"/>
      <c r="OW312" s="16"/>
      <c r="OX312" s="16"/>
      <c r="OY312" s="16"/>
      <c r="OZ312" s="16"/>
      <c r="PA312" s="16"/>
      <c r="PB312" s="16"/>
      <c r="PC312" s="16"/>
      <c r="PD312" s="16"/>
      <c r="PE312" s="16"/>
      <c r="PF312" s="16"/>
      <c r="PG312" s="16"/>
      <c r="PH312" s="16"/>
      <c r="PI312" s="16"/>
      <c r="PJ312" s="16"/>
      <c r="PK312" s="16"/>
      <c r="PL312" s="16"/>
      <c r="PM312" s="16"/>
      <c r="PN312" s="16"/>
      <c r="PO312" s="16"/>
      <c r="PP312" s="16"/>
      <c r="PQ312" s="16"/>
      <c r="PR312" s="16"/>
      <c r="PS312" s="16"/>
      <c r="PT312" s="16"/>
      <c r="PU312" s="16"/>
      <c r="PV312" s="16"/>
      <c r="PW312" s="16"/>
      <c r="PX312" s="16"/>
      <c r="PY312" s="16"/>
      <c r="PZ312" s="16"/>
      <c r="QA312" s="16"/>
      <c r="QB312" s="16"/>
      <c r="QC312" s="16"/>
      <c r="QD312" s="16"/>
      <c r="QE312" s="16"/>
      <c r="QF312" s="16"/>
      <c r="QG312" s="16"/>
      <c r="QH312" s="16"/>
      <c r="QI312" s="16"/>
      <c r="QJ312" s="16"/>
      <c r="QK312" s="16"/>
      <c r="QL312" s="16"/>
      <c r="QM312" s="16"/>
      <c r="QN312" s="16"/>
      <c r="QO312" s="16"/>
      <c r="QP312" s="16"/>
      <c r="QQ312" s="16"/>
      <c r="QR312" s="16"/>
      <c r="QS312" s="16"/>
      <c r="QT312" s="16"/>
      <c r="QU312" s="16"/>
      <c r="QV312" s="16"/>
      <c r="QW312" s="16"/>
      <c r="QX312" s="16"/>
      <c r="QY312" s="16"/>
      <c r="QZ312" s="16"/>
      <c r="RA312" s="16"/>
      <c r="RB312" s="16"/>
      <c r="RC312" s="16"/>
      <c r="RD312" s="16"/>
      <c r="RE312" s="16"/>
      <c r="RF312" s="16"/>
      <c r="RG312" s="16"/>
      <c r="RH312" s="16"/>
      <c r="RI312" s="16"/>
      <c r="RJ312" s="16"/>
      <c r="RK312" s="16"/>
      <c r="RL312" s="16"/>
      <c r="RM312" s="16"/>
      <c r="RN312" s="16"/>
      <c r="RO312" s="16"/>
      <c r="RP312" s="16"/>
      <c r="RQ312" s="16"/>
      <c r="RR312" s="16"/>
      <c r="RS312" s="16"/>
      <c r="RT312" s="16"/>
      <c r="RU312" s="16"/>
      <c r="RV312" s="16"/>
      <c r="RW312" s="16"/>
      <c r="RX312" s="16"/>
      <c r="RY312" s="16"/>
      <c r="RZ312" s="16"/>
      <c r="SA312" s="16"/>
      <c r="SB312" s="16"/>
      <c r="SC312" s="16"/>
      <c r="SD312" s="16"/>
      <c r="SE312" s="16"/>
      <c r="SF312" s="16"/>
      <c r="SG312" s="16"/>
      <c r="SH312" s="16"/>
      <c r="SI312" s="16"/>
      <c r="SJ312" s="16"/>
      <c r="SK312" s="16"/>
      <c r="SL312" s="16"/>
      <c r="SM312" s="16"/>
      <c r="SN312" s="16"/>
      <c r="SO312" s="16"/>
      <c r="SP312" s="16"/>
      <c r="SQ312" s="16"/>
      <c r="SR312" s="16"/>
      <c r="SS312" s="16"/>
      <c r="ST312" s="16"/>
      <c r="SU312" s="16"/>
      <c r="SV312" s="16"/>
      <c r="SW312" s="16"/>
      <c r="SX312" s="16"/>
      <c r="SY312" s="16"/>
      <c r="SZ312" s="16"/>
      <c r="TA312" s="16"/>
      <c r="TB312" s="16"/>
      <c r="TC312" s="16"/>
      <c r="TD312" s="16"/>
      <c r="TE312" s="16"/>
      <c r="TF312" s="16"/>
      <c r="TG312" s="16"/>
      <c r="TH312" s="16"/>
      <c r="TI312" s="16"/>
      <c r="TJ312" s="16"/>
      <c r="TK312" s="16"/>
      <c r="TL312" s="16"/>
      <c r="TM312" s="16"/>
      <c r="TN312" s="16"/>
      <c r="TO312" s="16"/>
      <c r="TP312" s="16"/>
      <c r="TQ312" s="16"/>
      <c r="TR312" s="16"/>
      <c r="TS312" s="16"/>
      <c r="TT312" s="16"/>
      <c r="TU312" s="16"/>
      <c r="TV312" s="16"/>
      <c r="TW312" s="16"/>
      <c r="TX312" s="16"/>
      <c r="TY312" s="16"/>
      <c r="TZ312" s="16"/>
      <c r="UA312" s="16"/>
      <c r="UB312" s="16"/>
      <c r="UC312" s="16"/>
      <c r="UD312" s="16"/>
      <c r="UE312" s="16"/>
      <c r="UF312" s="16"/>
      <c r="UG312" s="16"/>
      <c r="UH312" s="16"/>
      <c r="UI312" s="16"/>
      <c r="UJ312" s="16"/>
      <c r="UK312" s="16"/>
      <c r="UL312" s="16"/>
      <c r="UM312" s="16"/>
      <c r="UN312" s="16"/>
      <c r="UO312" s="16"/>
      <c r="UP312" s="16"/>
      <c r="UQ312" s="16"/>
      <c r="UR312" s="16"/>
      <c r="US312" s="16"/>
      <c r="UT312" s="16"/>
      <c r="UU312" s="16"/>
      <c r="UV312" s="16"/>
      <c r="UW312" s="16"/>
      <c r="UX312" s="16"/>
      <c r="UY312" s="16"/>
      <c r="UZ312" s="16"/>
      <c r="VA312" s="16"/>
      <c r="VB312" s="16"/>
      <c r="VC312" s="16"/>
      <c r="VD312" s="16"/>
      <c r="VE312" s="16"/>
      <c r="VF312" s="16"/>
      <c r="VG312" s="16"/>
      <c r="VH312" s="16"/>
      <c r="VI312" s="16"/>
      <c r="VJ312" s="16"/>
      <c r="VK312" s="16"/>
      <c r="VL312" s="16"/>
      <c r="VM312" s="16"/>
      <c r="VN312" s="16"/>
      <c r="VO312" s="16"/>
      <c r="VP312" s="16"/>
      <c r="VQ312" s="16"/>
      <c r="VR312" s="16"/>
      <c r="VS312" s="16"/>
      <c r="VT312" s="16"/>
      <c r="VU312" s="16"/>
      <c r="VV312" s="16"/>
      <c r="VW312" s="16"/>
      <c r="VX312" s="16"/>
      <c r="VY312" s="16"/>
      <c r="VZ312" s="16"/>
      <c r="WA312" s="16"/>
      <c r="WB312" s="16"/>
      <c r="WC312" s="16"/>
      <c r="WD312" s="16"/>
      <c r="WE312" s="16"/>
      <c r="WF312" s="16"/>
      <c r="WG312" s="16"/>
      <c r="WH312" s="16"/>
      <c r="WI312" s="16"/>
      <c r="WJ312" s="16"/>
      <c r="WK312" s="16"/>
      <c r="WL312" s="16"/>
      <c r="WM312" s="16"/>
      <c r="WN312" s="16"/>
      <c r="WO312" s="16"/>
      <c r="WP312" s="16"/>
      <c r="WQ312" s="16"/>
      <c r="WR312" s="16"/>
      <c r="WS312" s="16"/>
      <c r="WT312" s="16"/>
      <c r="WU312" s="16"/>
      <c r="WV312" s="16"/>
      <c r="WW312" s="16"/>
      <c r="WX312" s="16"/>
      <c r="WY312" s="16"/>
      <c r="WZ312" s="16"/>
      <c r="XA312" s="16"/>
      <c r="XB312" s="16"/>
      <c r="XC312" s="16"/>
      <c r="XD312" s="16"/>
      <c r="XE312" s="16"/>
      <c r="XF312" s="16"/>
      <c r="XG312" s="16"/>
      <c r="XH312" s="16"/>
      <c r="XI312" s="16"/>
      <c r="XJ312" s="16"/>
      <c r="XK312" s="16"/>
      <c r="XL312" s="16"/>
      <c r="XM312" s="16"/>
      <c r="XN312" s="16"/>
      <c r="XO312" s="16"/>
      <c r="XP312" s="16"/>
      <c r="XQ312" s="16"/>
      <c r="XR312" s="16"/>
      <c r="XS312" s="16"/>
      <c r="XT312" s="16"/>
      <c r="XU312" s="16"/>
      <c r="XV312" s="16"/>
      <c r="XW312" s="16"/>
      <c r="XX312" s="16"/>
      <c r="XY312" s="16"/>
      <c r="XZ312" s="16"/>
      <c r="YA312" s="16"/>
      <c r="YB312" s="16"/>
      <c r="YC312" s="16"/>
      <c r="YD312" s="16"/>
      <c r="YE312" s="16"/>
      <c r="YF312" s="16"/>
      <c r="YG312" s="16"/>
      <c r="YH312" s="16"/>
      <c r="YI312" s="16"/>
      <c r="YJ312" s="16"/>
      <c r="YK312" s="16"/>
      <c r="YL312" s="16"/>
      <c r="YM312" s="16"/>
      <c r="YN312" s="16"/>
      <c r="YO312" s="16"/>
      <c r="YP312" s="16"/>
      <c r="YQ312" s="16"/>
      <c r="YR312" s="16"/>
      <c r="YS312" s="16"/>
      <c r="YT312" s="16"/>
      <c r="YU312" s="16"/>
      <c r="YV312" s="16"/>
      <c r="YW312" s="16"/>
      <c r="YX312" s="16"/>
      <c r="YY312" s="16"/>
      <c r="YZ312" s="16"/>
      <c r="ZA312" s="16"/>
      <c r="ZB312" s="16"/>
      <c r="ZC312" s="16"/>
      <c r="ZD312" s="16"/>
      <c r="ZE312" s="16"/>
      <c r="ZF312" s="16"/>
      <c r="ZG312" s="16"/>
      <c r="ZH312" s="16"/>
      <c r="ZI312" s="16"/>
      <c r="ZJ312" s="16"/>
      <c r="ZK312" s="16"/>
      <c r="ZL312" s="16"/>
      <c r="ZM312" s="16"/>
      <c r="ZN312" s="16"/>
      <c r="ZO312" s="16"/>
      <c r="ZP312" s="16"/>
      <c r="ZQ312" s="16"/>
      <c r="ZR312" s="16"/>
      <c r="ZS312" s="16"/>
      <c r="ZT312" s="16"/>
      <c r="ZU312" s="16"/>
      <c r="ZV312" s="16"/>
      <c r="ZW312" s="16"/>
      <c r="ZX312" s="16"/>
      <c r="ZY312" s="16"/>
      <c r="ZZ312" s="16"/>
      <c r="AAA312" s="16"/>
      <c r="AAB312" s="16"/>
      <c r="AAC312" s="16"/>
    </row>
    <row r="313" spans="1:705" s="16" customFormat="1" ht="44.1" customHeight="1" x14ac:dyDescent="0.3">
      <c r="A313" s="200">
        <v>309</v>
      </c>
      <c r="B313" s="62">
        <v>242266</v>
      </c>
      <c r="C313" s="62">
        <v>309</v>
      </c>
      <c r="D313" s="63">
        <v>45987</v>
      </c>
      <c r="E313" s="63">
        <f t="shared" si="43"/>
        <v>45986</v>
      </c>
      <c r="F313" s="63">
        <f t="shared" si="41"/>
        <v>45997</v>
      </c>
      <c r="G313" s="63">
        <v>46079</v>
      </c>
      <c r="H313" s="63">
        <f ca="1">TODAY()</f>
        <v>46277</v>
      </c>
      <c r="I313" s="63" t="s">
        <v>321</v>
      </c>
      <c r="J313" s="64" t="s">
        <v>719</v>
      </c>
      <c r="K313" s="65">
        <f t="shared" ref="K313:K337" si="46">G313-F313</f>
        <v>82</v>
      </c>
      <c r="L313" s="65">
        <v>1172811</v>
      </c>
      <c r="M313" s="64" t="s">
        <v>77</v>
      </c>
      <c r="N313" s="64">
        <v>810953</v>
      </c>
      <c r="O313" s="253" t="s">
        <v>1462</v>
      </c>
      <c r="P313" s="103">
        <v>46034</v>
      </c>
      <c r="Q313" s="103">
        <v>46198</v>
      </c>
      <c r="R313" s="73" t="s">
        <v>211</v>
      </c>
      <c r="S313" s="66" t="s">
        <v>720</v>
      </c>
      <c r="T313" s="67">
        <v>1</v>
      </c>
      <c r="U313" s="75" t="s">
        <v>82</v>
      </c>
      <c r="V313" s="68">
        <v>65</v>
      </c>
      <c r="W313" s="68"/>
      <c r="X313" s="69">
        <v>0</v>
      </c>
      <c r="Y313" s="68">
        <v>0</v>
      </c>
      <c r="Z313" s="68">
        <v>0</v>
      </c>
      <c r="AA313" s="68">
        <v>0</v>
      </c>
      <c r="AB313" s="68">
        <v>0</v>
      </c>
      <c r="AC313" s="68"/>
      <c r="AD313" s="68">
        <v>0</v>
      </c>
      <c r="AE313" s="68">
        <v>0</v>
      </c>
      <c r="AF313" s="68">
        <v>0</v>
      </c>
      <c r="AG313" s="68">
        <v>0</v>
      </c>
      <c r="AH313" s="68">
        <v>0</v>
      </c>
      <c r="AI313" s="68"/>
      <c r="AJ313" s="68">
        <v>0</v>
      </c>
      <c r="AK313" s="68">
        <v>0</v>
      </c>
      <c r="AL313" s="68">
        <v>1</v>
      </c>
      <c r="AM313" s="68"/>
      <c r="AN313" s="68">
        <v>1</v>
      </c>
      <c r="AO313" s="68"/>
      <c r="AP313" s="68">
        <v>1</v>
      </c>
      <c r="AQ313" s="68"/>
      <c r="AR313" s="68">
        <v>0</v>
      </c>
      <c r="AS313" s="68">
        <v>0</v>
      </c>
      <c r="AT313" s="68">
        <v>0</v>
      </c>
      <c r="AU313" s="68"/>
      <c r="AV313" s="68">
        <v>0</v>
      </c>
      <c r="AW313" s="68">
        <v>0</v>
      </c>
      <c r="AX313" s="146">
        <f t="shared" si="44"/>
        <v>5180</v>
      </c>
      <c r="AY313" s="146">
        <f t="shared" si="45"/>
        <v>0</v>
      </c>
      <c r="AZ313" s="64" t="s">
        <v>77</v>
      </c>
      <c r="BA313" s="64" t="s">
        <v>77</v>
      </c>
      <c r="BB313" s="15" t="s">
        <v>77</v>
      </c>
      <c r="BC313" s="74">
        <v>309</v>
      </c>
      <c r="BD313" s="70"/>
      <c r="BE313" s="67"/>
      <c r="BF313" s="71"/>
      <c r="BG313" s="15"/>
      <c r="BH313" s="72" t="s">
        <v>77</v>
      </c>
      <c r="BI313" s="72" t="s">
        <v>77</v>
      </c>
    </row>
    <row r="314" spans="1:705" s="16" customFormat="1" ht="44.1" customHeight="1" x14ac:dyDescent="0.3">
      <c r="A314" s="200">
        <v>310</v>
      </c>
      <c r="B314" s="62">
        <v>242267</v>
      </c>
      <c r="C314" s="62">
        <v>310</v>
      </c>
      <c r="D314" s="63">
        <v>45987</v>
      </c>
      <c r="E314" s="63">
        <f t="shared" si="43"/>
        <v>45986</v>
      </c>
      <c r="F314" s="63">
        <f t="shared" si="41"/>
        <v>45997</v>
      </c>
      <c r="G314" s="63">
        <v>46079</v>
      </c>
      <c r="H314" s="63">
        <f ca="1">TODAY()</f>
        <v>46277</v>
      </c>
      <c r="I314" s="63" t="s">
        <v>321</v>
      </c>
      <c r="J314" s="64" t="s">
        <v>721</v>
      </c>
      <c r="K314" s="65">
        <f t="shared" si="46"/>
        <v>82</v>
      </c>
      <c r="L314" s="65">
        <v>1172812</v>
      </c>
      <c r="M314" s="64" t="s">
        <v>77</v>
      </c>
      <c r="N314" s="64">
        <v>810950</v>
      </c>
      <c r="O314" s="253" t="s">
        <v>1462</v>
      </c>
      <c r="P314" s="103">
        <v>46021</v>
      </c>
      <c r="Q314" s="103">
        <v>46198</v>
      </c>
      <c r="R314" s="73" t="s">
        <v>211</v>
      </c>
      <c r="S314" s="66" t="s">
        <v>722</v>
      </c>
      <c r="T314" s="67">
        <v>1</v>
      </c>
      <c r="U314" s="75" t="s">
        <v>82</v>
      </c>
      <c r="V314" s="68">
        <v>59</v>
      </c>
      <c r="W314" s="68"/>
      <c r="X314" s="69">
        <v>0</v>
      </c>
      <c r="Y314" s="68">
        <v>0</v>
      </c>
      <c r="Z314" s="68">
        <v>0</v>
      </c>
      <c r="AA314" s="68">
        <v>0</v>
      </c>
      <c r="AB314" s="68">
        <v>0</v>
      </c>
      <c r="AC314" s="68"/>
      <c r="AD314" s="68">
        <v>0</v>
      </c>
      <c r="AE314" s="68">
        <v>0</v>
      </c>
      <c r="AF314" s="68">
        <v>0</v>
      </c>
      <c r="AG314" s="68">
        <v>0</v>
      </c>
      <c r="AH314" s="68">
        <v>0</v>
      </c>
      <c r="AI314" s="68"/>
      <c r="AJ314" s="68">
        <v>0</v>
      </c>
      <c r="AK314" s="68">
        <v>0</v>
      </c>
      <c r="AL314" s="68">
        <v>1</v>
      </c>
      <c r="AM314" s="68"/>
      <c r="AN314" s="68">
        <v>1</v>
      </c>
      <c r="AO314" s="68"/>
      <c r="AP314" s="68">
        <v>1</v>
      </c>
      <c r="AQ314" s="68"/>
      <c r="AR314" s="68">
        <v>0</v>
      </c>
      <c r="AS314" s="68">
        <v>0</v>
      </c>
      <c r="AT314" s="68">
        <v>0</v>
      </c>
      <c r="AU314" s="68"/>
      <c r="AV314" s="68">
        <v>0</v>
      </c>
      <c r="AW314" s="68">
        <v>0</v>
      </c>
      <c r="AX314" s="146">
        <f t="shared" si="44"/>
        <v>4820</v>
      </c>
      <c r="AY314" s="146">
        <f t="shared" si="45"/>
        <v>0</v>
      </c>
      <c r="AZ314" s="64" t="s">
        <v>77</v>
      </c>
      <c r="BA314" s="64" t="s">
        <v>77</v>
      </c>
      <c r="BB314" s="15" t="s">
        <v>77</v>
      </c>
      <c r="BC314" s="74">
        <v>310</v>
      </c>
      <c r="BD314" s="70"/>
      <c r="BE314" s="67"/>
      <c r="BF314" s="71"/>
      <c r="BG314" s="15"/>
      <c r="BH314" s="72" t="s">
        <v>77</v>
      </c>
      <c r="BI314" s="72" t="s">
        <v>77</v>
      </c>
    </row>
    <row r="315" spans="1:705" s="16" customFormat="1" ht="44.1" hidden="1" customHeight="1" x14ac:dyDescent="0.3">
      <c r="A315" s="200">
        <v>311</v>
      </c>
      <c r="B315" s="138">
        <v>242346</v>
      </c>
      <c r="C315" s="138">
        <v>311</v>
      </c>
      <c r="D315" s="139">
        <v>45991</v>
      </c>
      <c r="E315" s="139">
        <f t="shared" si="43"/>
        <v>45990</v>
      </c>
      <c r="F315" s="139">
        <f t="shared" si="41"/>
        <v>46001</v>
      </c>
      <c r="G315" s="139">
        <v>46052</v>
      </c>
      <c r="H315" s="139">
        <v>46046</v>
      </c>
      <c r="I315" s="139" t="s">
        <v>123</v>
      </c>
      <c r="J315" s="140" t="s">
        <v>723</v>
      </c>
      <c r="K315" s="141">
        <f t="shared" si="46"/>
        <v>51</v>
      </c>
      <c r="L315" s="141">
        <v>1174116</v>
      </c>
      <c r="M315" s="140" t="s">
        <v>15</v>
      </c>
      <c r="N315" s="140">
        <v>814667</v>
      </c>
      <c r="O315" s="140" t="s">
        <v>246</v>
      </c>
      <c r="P315" s="143">
        <v>46037</v>
      </c>
      <c r="Q315" s="143">
        <v>46052</v>
      </c>
      <c r="R315" s="185" t="s">
        <v>211</v>
      </c>
      <c r="S315" s="144" t="s">
        <v>385</v>
      </c>
      <c r="T315" s="145">
        <v>1</v>
      </c>
      <c r="U315" s="186" t="s">
        <v>106</v>
      </c>
      <c r="V315" s="146">
        <v>31</v>
      </c>
      <c r="W315" s="146">
        <v>31</v>
      </c>
      <c r="X315" s="147">
        <v>0</v>
      </c>
      <c r="Y315" s="146">
        <v>0</v>
      </c>
      <c r="Z315" s="146">
        <v>0</v>
      </c>
      <c r="AA315" s="146">
        <v>0</v>
      </c>
      <c r="AB315" s="146">
        <v>31</v>
      </c>
      <c r="AC315" s="146">
        <v>31</v>
      </c>
      <c r="AD315" s="146">
        <v>0</v>
      </c>
      <c r="AE315" s="146">
        <v>0</v>
      </c>
      <c r="AF315" s="146">
        <v>0</v>
      </c>
      <c r="AG315" s="146">
        <v>0</v>
      </c>
      <c r="AH315" s="146">
        <v>1</v>
      </c>
      <c r="AI315" s="146">
        <v>1</v>
      </c>
      <c r="AJ315" s="146">
        <v>0</v>
      </c>
      <c r="AK315" s="146">
        <v>0</v>
      </c>
      <c r="AL315" s="146">
        <v>0</v>
      </c>
      <c r="AM315" s="146"/>
      <c r="AN315" s="146">
        <v>0</v>
      </c>
      <c r="AO315" s="146"/>
      <c r="AP315" s="146">
        <v>1</v>
      </c>
      <c r="AQ315" s="146">
        <v>1</v>
      </c>
      <c r="AR315" s="146">
        <v>0</v>
      </c>
      <c r="AS315" s="146">
        <v>0</v>
      </c>
      <c r="AT315" s="146">
        <v>1</v>
      </c>
      <c r="AU315" s="146">
        <v>1</v>
      </c>
      <c r="AV315" s="146">
        <v>0</v>
      </c>
      <c r="AW315" s="146">
        <v>0</v>
      </c>
      <c r="AX315" s="146">
        <f t="shared" si="44"/>
        <v>4777</v>
      </c>
      <c r="AY315" s="146">
        <f t="shared" si="45"/>
        <v>4777</v>
      </c>
      <c r="AZ315" s="140" t="s">
        <v>562</v>
      </c>
      <c r="BA315" s="140" t="s">
        <v>562</v>
      </c>
      <c r="BB315" s="137">
        <v>6</v>
      </c>
      <c r="BC315" s="187">
        <v>311</v>
      </c>
      <c r="BD315" s="149"/>
      <c r="BE315" s="145"/>
      <c r="BF315" s="150"/>
      <c r="BG315" s="188">
        <v>46023</v>
      </c>
      <c r="BH315" s="153" t="s">
        <v>15</v>
      </c>
      <c r="BI315" s="153" t="s">
        <v>562</v>
      </c>
    </row>
    <row r="316" spans="1:705" s="16" customFormat="1" ht="44.1" hidden="1" customHeight="1" x14ac:dyDescent="0.3">
      <c r="A316" s="200">
        <v>312</v>
      </c>
      <c r="B316" s="138">
        <v>242360</v>
      </c>
      <c r="C316" s="138">
        <v>312</v>
      </c>
      <c r="D316" s="139">
        <v>46210</v>
      </c>
      <c r="E316" s="139">
        <f t="shared" si="43"/>
        <v>46209</v>
      </c>
      <c r="F316" s="139">
        <f t="shared" si="41"/>
        <v>46220</v>
      </c>
      <c r="G316" s="139">
        <v>46272</v>
      </c>
      <c r="H316" s="139">
        <v>46222</v>
      </c>
      <c r="I316" s="139" t="s">
        <v>123</v>
      </c>
      <c r="J316" s="140" t="s">
        <v>1419</v>
      </c>
      <c r="K316" s="141">
        <f t="shared" si="46"/>
        <v>52</v>
      </c>
      <c r="L316" s="141">
        <v>1174236</v>
      </c>
      <c r="M316" s="140" t="s">
        <v>15</v>
      </c>
      <c r="N316" s="140" t="s">
        <v>1455</v>
      </c>
      <c r="O316" s="140" t="s">
        <v>246</v>
      </c>
      <c r="P316" s="143">
        <v>46015</v>
      </c>
      <c r="Q316" s="143">
        <v>46216</v>
      </c>
      <c r="R316" s="185" t="s">
        <v>211</v>
      </c>
      <c r="S316" s="144" t="s">
        <v>725</v>
      </c>
      <c r="T316" s="145">
        <v>1</v>
      </c>
      <c r="U316" s="186" t="s">
        <v>160</v>
      </c>
      <c r="V316" s="146">
        <v>35</v>
      </c>
      <c r="W316" s="146">
        <v>35</v>
      </c>
      <c r="X316" s="147">
        <v>0</v>
      </c>
      <c r="Y316" s="146">
        <v>0</v>
      </c>
      <c r="Z316" s="146">
        <v>0</v>
      </c>
      <c r="AA316" s="146">
        <v>0</v>
      </c>
      <c r="AB316" s="146">
        <v>35</v>
      </c>
      <c r="AC316" s="146">
        <v>35</v>
      </c>
      <c r="AD316" s="146">
        <v>0</v>
      </c>
      <c r="AE316" s="146">
        <v>0</v>
      </c>
      <c r="AF316" s="146">
        <v>0</v>
      </c>
      <c r="AG316" s="146">
        <v>0</v>
      </c>
      <c r="AH316" s="146">
        <v>1</v>
      </c>
      <c r="AI316" s="146">
        <v>1</v>
      </c>
      <c r="AJ316" s="146">
        <v>0</v>
      </c>
      <c r="AK316" s="146">
        <v>0</v>
      </c>
      <c r="AL316" s="146">
        <v>1</v>
      </c>
      <c r="AM316" s="146">
        <v>1</v>
      </c>
      <c r="AN316" s="146">
        <v>1</v>
      </c>
      <c r="AO316" s="146">
        <v>1</v>
      </c>
      <c r="AP316" s="146">
        <v>1</v>
      </c>
      <c r="AQ316" s="146">
        <v>1</v>
      </c>
      <c r="AR316" s="146">
        <v>0</v>
      </c>
      <c r="AS316" s="146">
        <v>0</v>
      </c>
      <c r="AT316" s="146">
        <v>1</v>
      </c>
      <c r="AU316" s="146">
        <v>1</v>
      </c>
      <c r="AV316" s="146">
        <v>0</v>
      </c>
      <c r="AW316" s="146">
        <v>0</v>
      </c>
      <c r="AX316" s="146">
        <f t="shared" si="44"/>
        <v>5895</v>
      </c>
      <c r="AY316" s="146">
        <f t="shared" si="45"/>
        <v>5895</v>
      </c>
      <c r="AZ316" s="140" t="s">
        <v>562</v>
      </c>
      <c r="BA316" s="140" t="s">
        <v>562</v>
      </c>
      <c r="BB316" s="137">
        <v>13</v>
      </c>
      <c r="BC316" s="187">
        <v>312</v>
      </c>
      <c r="BD316" s="149"/>
      <c r="BE316" s="145"/>
      <c r="BF316" s="150"/>
      <c r="BG316" s="188">
        <v>46222</v>
      </c>
      <c r="BH316" s="153" t="s">
        <v>15</v>
      </c>
      <c r="BI316" s="153" t="s">
        <v>562</v>
      </c>
    </row>
    <row r="317" spans="1:705" s="16" customFormat="1" ht="44.1" customHeight="1" x14ac:dyDescent="0.3">
      <c r="A317" s="200">
        <v>313</v>
      </c>
      <c r="B317" s="62">
        <v>242383</v>
      </c>
      <c r="C317" s="62">
        <v>313</v>
      </c>
      <c r="D317" s="63">
        <v>45992</v>
      </c>
      <c r="E317" s="63">
        <f t="shared" si="43"/>
        <v>45991</v>
      </c>
      <c r="F317" s="63">
        <f t="shared" si="41"/>
        <v>46002</v>
      </c>
      <c r="G317" s="63">
        <v>46083</v>
      </c>
      <c r="H317" s="63">
        <f ca="1">TODAY()</f>
        <v>46277</v>
      </c>
      <c r="I317" s="63" t="s">
        <v>349</v>
      </c>
      <c r="J317" s="64" t="s">
        <v>724</v>
      </c>
      <c r="K317" s="65">
        <f t="shared" si="46"/>
        <v>81</v>
      </c>
      <c r="L317" s="65">
        <v>1174365</v>
      </c>
      <c r="M317" s="64" t="s">
        <v>77</v>
      </c>
      <c r="N317" s="64">
        <v>810557</v>
      </c>
      <c r="O317" s="253" t="s">
        <v>1462</v>
      </c>
      <c r="P317" s="103">
        <v>46016</v>
      </c>
      <c r="Q317" s="103">
        <v>46184</v>
      </c>
      <c r="R317" s="73" t="s">
        <v>211</v>
      </c>
      <c r="S317" s="66" t="s">
        <v>726</v>
      </c>
      <c r="T317" s="67">
        <v>1</v>
      </c>
      <c r="U317" s="75" t="s">
        <v>122</v>
      </c>
      <c r="V317" s="68">
        <v>82</v>
      </c>
      <c r="W317" s="68"/>
      <c r="X317" s="69">
        <v>1</v>
      </c>
      <c r="Y317" s="68"/>
      <c r="Z317" s="68">
        <v>0</v>
      </c>
      <c r="AA317" s="68">
        <v>0</v>
      </c>
      <c r="AB317" s="68">
        <v>0</v>
      </c>
      <c r="AC317" s="68"/>
      <c r="AD317" s="68">
        <v>0</v>
      </c>
      <c r="AE317" s="68">
        <v>0</v>
      </c>
      <c r="AF317" s="68">
        <v>0</v>
      </c>
      <c r="AG317" s="68">
        <v>0</v>
      </c>
      <c r="AH317" s="68">
        <v>1</v>
      </c>
      <c r="AI317" s="68"/>
      <c r="AJ317" s="68">
        <v>0</v>
      </c>
      <c r="AK317" s="68">
        <v>0</v>
      </c>
      <c r="AL317" s="68">
        <v>2</v>
      </c>
      <c r="AM317" s="68"/>
      <c r="AN317" s="68">
        <v>11</v>
      </c>
      <c r="AO317" s="68"/>
      <c r="AP317" s="68">
        <v>8</v>
      </c>
      <c r="AQ317" s="68"/>
      <c r="AR317" s="68">
        <v>0</v>
      </c>
      <c r="AS317" s="68">
        <v>0</v>
      </c>
      <c r="AT317" s="68">
        <v>0</v>
      </c>
      <c r="AU317" s="68">
        <v>0</v>
      </c>
      <c r="AV317" s="68">
        <v>0</v>
      </c>
      <c r="AW317" s="68">
        <v>0</v>
      </c>
      <c r="AX317" s="146">
        <f t="shared" si="44"/>
        <v>12050</v>
      </c>
      <c r="AY317" s="146">
        <f t="shared" si="45"/>
        <v>0</v>
      </c>
      <c r="AZ317" s="64" t="s">
        <v>77</v>
      </c>
      <c r="BA317" s="64" t="s">
        <v>77</v>
      </c>
      <c r="BB317" s="15" t="s">
        <v>77</v>
      </c>
      <c r="BC317" s="74">
        <v>313</v>
      </c>
      <c r="BD317" s="70"/>
      <c r="BE317" s="67"/>
      <c r="BF317" s="71"/>
      <c r="BG317" s="15"/>
      <c r="BH317" s="72" t="s">
        <v>77</v>
      </c>
      <c r="BI317" s="72" t="s">
        <v>77</v>
      </c>
    </row>
    <row r="318" spans="1:705" s="16" customFormat="1" ht="44.1" hidden="1" customHeight="1" x14ac:dyDescent="0.3">
      <c r="A318" s="200">
        <v>314</v>
      </c>
      <c r="B318" s="138">
        <v>242382</v>
      </c>
      <c r="C318" s="138">
        <v>314</v>
      </c>
      <c r="D318" s="139">
        <v>45992</v>
      </c>
      <c r="E318" s="139">
        <f t="shared" si="43"/>
        <v>45991</v>
      </c>
      <c r="F318" s="139">
        <f t="shared" si="41"/>
        <v>46002</v>
      </c>
      <c r="G318" s="139">
        <v>46083</v>
      </c>
      <c r="H318" s="139">
        <v>46181</v>
      </c>
      <c r="I318" s="139" t="s">
        <v>349</v>
      </c>
      <c r="J318" s="140" t="s">
        <v>727</v>
      </c>
      <c r="K318" s="141">
        <f t="shared" si="46"/>
        <v>81</v>
      </c>
      <c r="L318" s="141">
        <v>1174371</v>
      </c>
      <c r="M318" s="140" t="s">
        <v>15</v>
      </c>
      <c r="N318" s="140">
        <v>810557</v>
      </c>
      <c r="O318" s="137" t="s">
        <v>246</v>
      </c>
      <c r="P318" s="143">
        <v>46016</v>
      </c>
      <c r="Q318" s="143">
        <v>46184</v>
      </c>
      <c r="R318" s="185" t="s">
        <v>211</v>
      </c>
      <c r="S318" s="144" t="s">
        <v>728</v>
      </c>
      <c r="T318" s="145">
        <v>1</v>
      </c>
      <c r="U318" s="186" t="s">
        <v>122</v>
      </c>
      <c r="V318" s="146">
        <v>52</v>
      </c>
      <c r="W318" s="146">
        <v>52</v>
      </c>
      <c r="X318" s="147">
        <v>0</v>
      </c>
      <c r="Y318" s="146">
        <v>0</v>
      </c>
      <c r="Z318" s="146">
        <v>0</v>
      </c>
      <c r="AA318" s="146">
        <v>0</v>
      </c>
      <c r="AB318" s="146">
        <v>24</v>
      </c>
      <c r="AC318" s="146">
        <v>24</v>
      </c>
      <c r="AD318" s="146">
        <v>0</v>
      </c>
      <c r="AE318" s="146">
        <v>0</v>
      </c>
      <c r="AF318" s="146">
        <v>0</v>
      </c>
      <c r="AG318" s="146">
        <v>0</v>
      </c>
      <c r="AH318" s="146">
        <v>1</v>
      </c>
      <c r="AI318" s="146">
        <v>1</v>
      </c>
      <c r="AJ318" s="146">
        <v>0</v>
      </c>
      <c r="AK318" s="146">
        <v>0</v>
      </c>
      <c r="AL318" s="146">
        <v>3</v>
      </c>
      <c r="AM318" s="146">
        <v>3</v>
      </c>
      <c r="AN318" s="146">
        <v>4</v>
      </c>
      <c r="AO318" s="146">
        <v>4</v>
      </c>
      <c r="AP318" s="146">
        <v>1</v>
      </c>
      <c r="AQ318" s="146">
        <v>1</v>
      </c>
      <c r="AR318" s="146">
        <v>0</v>
      </c>
      <c r="AS318" s="146">
        <v>0</v>
      </c>
      <c r="AT318" s="146">
        <v>0</v>
      </c>
      <c r="AU318" s="146">
        <v>0</v>
      </c>
      <c r="AV318" s="146">
        <v>0</v>
      </c>
      <c r="AW318" s="146">
        <v>0</v>
      </c>
      <c r="AX318" s="146">
        <f t="shared" si="44"/>
        <v>7298</v>
      </c>
      <c r="AY318" s="146">
        <f t="shared" si="45"/>
        <v>7298</v>
      </c>
      <c r="AZ318" s="140" t="s">
        <v>562</v>
      </c>
      <c r="BA318" s="140" t="s">
        <v>562</v>
      </c>
      <c r="BB318" s="137">
        <v>12</v>
      </c>
      <c r="BC318" s="187">
        <v>314</v>
      </c>
      <c r="BD318" s="149"/>
      <c r="BE318" s="145"/>
      <c r="BF318" s="150"/>
      <c r="BG318" s="188">
        <v>46176</v>
      </c>
      <c r="BH318" s="153" t="s">
        <v>535</v>
      </c>
      <c r="BI318" s="153" t="s">
        <v>562</v>
      </c>
    </row>
    <row r="319" spans="1:705" s="16" customFormat="1" ht="44.1" hidden="1" customHeight="1" x14ac:dyDescent="0.3">
      <c r="A319" s="200">
        <v>315</v>
      </c>
      <c r="B319" s="138">
        <v>242385</v>
      </c>
      <c r="C319" s="138">
        <v>315</v>
      </c>
      <c r="D319" s="139">
        <v>45992</v>
      </c>
      <c r="E319" s="139">
        <f t="shared" si="43"/>
        <v>45991</v>
      </c>
      <c r="F319" s="139">
        <f t="shared" si="41"/>
        <v>46002</v>
      </c>
      <c r="G319" s="139">
        <v>46082</v>
      </c>
      <c r="H319" s="139">
        <v>46180</v>
      </c>
      <c r="I319" s="139" t="s">
        <v>349</v>
      </c>
      <c r="J319" s="140" t="s">
        <v>729</v>
      </c>
      <c r="K319" s="141">
        <f t="shared" si="46"/>
        <v>80</v>
      </c>
      <c r="L319" s="141">
        <v>1174374</v>
      </c>
      <c r="M319" s="140" t="s">
        <v>15</v>
      </c>
      <c r="N319" s="140">
        <v>810553</v>
      </c>
      <c r="O319" s="137" t="s">
        <v>246</v>
      </c>
      <c r="P319" s="143">
        <v>46016</v>
      </c>
      <c r="Q319" s="143">
        <v>46184</v>
      </c>
      <c r="R319" s="185" t="s">
        <v>211</v>
      </c>
      <c r="S319" s="144" t="s">
        <v>730</v>
      </c>
      <c r="T319" s="145">
        <v>1</v>
      </c>
      <c r="U319" s="186" t="s">
        <v>122</v>
      </c>
      <c r="V319" s="146">
        <v>57</v>
      </c>
      <c r="W319" s="146">
        <v>57</v>
      </c>
      <c r="X319" s="147">
        <v>0</v>
      </c>
      <c r="Y319" s="146">
        <v>0</v>
      </c>
      <c r="Z319" s="146">
        <v>0</v>
      </c>
      <c r="AA319" s="146">
        <v>0</v>
      </c>
      <c r="AB319" s="146">
        <v>0</v>
      </c>
      <c r="AC319" s="146">
        <v>0</v>
      </c>
      <c r="AD319" s="146">
        <v>0</v>
      </c>
      <c r="AE319" s="146">
        <v>0</v>
      </c>
      <c r="AF319" s="146">
        <v>0</v>
      </c>
      <c r="AG319" s="146">
        <v>0</v>
      </c>
      <c r="AH319" s="146">
        <v>0</v>
      </c>
      <c r="AI319" s="146">
        <v>0</v>
      </c>
      <c r="AJ319" s="146">
        <v>0</v>
      </c>
      <c r="AK319" s="146">
        <v>0</v>
      </c>
      <c r="AL319" s="146">
        <v>2</v>
      </c>
      <c r="AM319" s="146">
        <v>2</v>
      </c>
      <c r="AN319" s="146">
        <v>1</v>
      </c>
      <c r="AO319" s="146">
        <v>1</v>
      </c>
      <c r="AP319" s="146">
        <v>0</v>
      </c>
      <c r="AQ319" s="146">
        <v>0</v>
      </c>
      <c r="AR319" s="146">
        <v>0</v>
      </c>
      <c r="AS319" s="146">
        <v>0</v>
      </c>
      <c r="AT319" s="146">
        <v>0</v>
      </c>
      <c r="AU319" s="146">
        <v>0</v>
      </c>
      <c r="AV319" s="146">
        <v>0</v>
      </c>
      <c r="AW319" s="146">
        <v>0</v>
      </c>
      <c r="AX319" s="146">
        <f t="shared" si="44"/>
        <v>4660</v>
      </c>
      <c r="AY319" s="146">
        <f t="shared" si="45"/>
        <v>4660</v>
      </c>
      <c r="AZ319" s="140" t="s">
        <v>562</v>
      </c>
      <c r="BA319" s="140" t="s">
        <v>562</v>
      </c>
      <c r="BB319" s="137">
        <v>12</v>
      </c>
      <c r="BC319" s="187">
        <v>315</v>
      </c>
      <c r="BD319" s="149"/>
      <c r="BE319" s="145"/>
      <c r="BF319" s="150"/>
      <c r="BG319" s="188">
        <v>46175</v>
      </c>
      <c r="BH319" s="153" t="s">
        <v>535</v>
      </c>
      <c r="BI319" s="153" t="s">
        <v>562</v>
      </c>
    </row>
    <row r="320" spans="1:705" s="16" customFormat="1" ht="44.1" customHeight="1" x14ac:dyDescent="0.3">
      <c r="A320" s="200">
        <v>316</v>
      </c>
      <c r="B320" s="110">
        <v>242445</v>
      </c>
      <c r="C320" s="110">
        <v>316</v>
      </c>
      <c r="D320" s="111">
        <v>45992</v>
      </c>
      <c r="E320" s="111">
        <f t="shared" si="43"/>
        <v>45991</v>
      </c>
      <c r="F320" s="111">
        <f t="shared" si="41"/>
        <v>46002</v>
      </c>
      <c r="G320" s="111">
        <v>46082</v>
      </c>
      <c r="H320" s="111">
        <f ca="1">TODAY()</f>
        <v>46277</v>
      </c>
      <c r="I320" s="111" t="s">
        <v>349</v>
      </c>
      <c r="J320" s="112" t="s">
        <v>733</v>
      </c>
      <c r="K320" s="113">
        <f t="shared" si="46"/>
        <v>80</v>
      </c>
      <c r="L320" s="113">
        <v>1174458</v>
      </c>
      <c r="M320" s="114" t="s">
        <v>366</v>
      </c>
      <c r="N320" s="112" t="s">
        <v>365</v>
      </c>
      <c r="O320" s="109" t="s">
        <v>365</v>
      </c>
      <c r="P320" s="115" t="s">
        <v>77</v>
      </c>
      <c r="Q320" s="115" t="s">
        <v>77</v>
      </c>
      <c r="R320" s="131" t="s">
        <v>211</v>
      </c>
      <c r="S320" s="117" t="s">
        <v>734</v>
      </c>
      <c r="T320" s="118">
        <v>1</v>
      </c>
      <c r="U320" s="132" t="s">
        <v>106</v>
      </c>
      <c r="V320" s="119">
        <v>101</v>
      </c>
      <c r="W320" s="119"/>
      <c r="X320" s="120">
        <v>1</v>
      </c>
      <c r="Y320" s="119"/>
      <c r="Z320" s="119">
        <v>0</v>
      </c>
      <c r="AA320" s="119">
        <v>0</v>
      </c>
      <c r="AB320" s="119">
        <v>0</v>
      </c>
      <c r="AC320" s="119"/>
      <c r="AD320" s="119">
        <v>0</v>
      </c>
      <c r="AE320" s="119">
        <v>0</v>
      </c>
      <c r="AF320" s="119">
        <v>0</v>
      </c>
      <c r="AG320" s="119">
        <v>0</v>
      </c>
      <c r="AH320" s="119">
        <v>1</v>
      </c>
      <c r="AI320" s="119"/>
      <c r="AJ320" s="119">
        <v>0</v>
      </c>
      <c r="AK320" s="119">
        <v>0</v>
      </c>
      <c r="AL320" s="119">
        <v>2</v>
      </c>
      <c r="AM320" s="119"/>
      <c r="AN320" s="119">
        <v>2</v>
      </c>
      <c r="AO320" s="119"/>
      <c r="AP320" s="119">
        <v>1</v>
      </c>
      <c r="AQ320" s="119"/>
      <c r="AR320" s="119">
        <v>0</v>
      </c>
      <c r="AS320" s="119">
        <v>0</v>
      </c>
      <c r="AT320" s="119">
        <v>0</v>
      </c>
      <c r="AU320" s="119">
        <v>0</v>
      </c>
      <c r="AV320" s="119">
        <v>0</v>
      </c>
      <c r="AW320" s="119">
        <v>0</v>
      </c>
      <c r="AX320" s="146">
        <f t="shared" si="44"/>
        <v>8240</v>
      </c>
      <c r="AY320" s="146">
        <f t="shared" si="45"/>
        <v>0</v>
      </c>
      <c r="AZ320" s="109" t="s">
        <v>365</v>
      </c>
      <c r="BA320" s="112" t="s">
        <v>77</v>
      </c>
      <c r="BB320" s="109" t="s">
        <v>77</v>
      </c>
      <c r="BC320" s="133">
        <v>316</v>
      </c>
      <c r="BD320" s="122"/>
      <c r="BE320" s="118"/>
      <c r="BF320" s="123"/>
      <c r="BG320" s="109"/>
      <c r="BH320" s="125" t="s">
        <v>77</v>
      </c>
      <c r="BI320" s="125" t="s">
        <v>77</v>
      </c>
    </row>
    <row r="321" spans="1:705" s="16" customFormat="1" ht="44.1" hidden="1" customHeight="1" x14ac:dyDescent="0.3">
      <c r="A321" s="200">
        <v>317</v>
      </c>
      <c r="B321" s="138">
        <v>242446</v>
      </c>
      <c r="C321" s="138">
        <v>317</v>
      </c>
      <c r="D321" s="139">
        <v>45992</v>
      </c>
      <c r="E321" s="139">
        <f t="shared" si="43"/>
        <v>45991</v>
      </c>
      <c r="F321" s="139">
        <f t="shared" si="41"/>
        <v>46002</v>
      </c>
      <c r="G321" s="139">
        <v>46082</v>
      </c>
      <c r="H321" s="139">
        <v>46184</v>
      </c>
      <c r="I321" s="139" t="s">
        <v>349</v>
      </c>
      <c r="J321" s="140" t="s">
        <v>735</v>
      </c>
      <c r="K321" s="141">
        <f t="shared" si="46"/>
        <v>80</v>
      </c>
      <c r="L321" s="141">
        <v>1174462</v>
      </c>
      <c r="M321" s="140" t="s">
        <v>15</v>
      </c>
      <c r="N321" s="142">
        <v>810943</v>
      </c>
      <c r="O321" s="140" t="s">
        <v>246</v>
      </c>
      <c r="P321" s="143">
        <v>46021</v>
      </c>
      <c r="Q321" s="143">
        <v>46198</v>
      </c>
      <c r="R321" s="185" t="s">
        <v>211</v>
      </c>
      <c r="S321" s="144" t="s">
        <v>478</v>
      </c>
      <c r="T321" s="145">
        <v>1</v>
      </c>
      <c r="U321" s="186" t="s">
        <v>106</v>
      </c>
      <c r="V321" s="146">
        <v>14</v>
      </c>
      <c r="W321" s="146">
        <v>14</v>
      </c>
      <c r="X321" s="147">
        <v>0</v>
      </c>
      <c r="Y321" s="146"/>
      <c r="Z321" s="146">
        <v>0</v>
      </c>
      <c r="AA321" s="146">
        <v>0</v>
      </c>
      <c r="AB321" s="146">
        <v>14</v>
      </c>
      <c r="AC321" s="146">
        <v>14</v>
      </c>
      <c r="AD321" s="146">
        <v>0</v>
      </c>
      <c r="AE321" s="146">
        <v>0</v>
      </c>
      <c r="AF321" s="146">
        <v>0</v>
      </c>
      <c r="AG321" s="146">
        <v>0</v>
      </c>
      <c r="AH321" s="146">
        <v>0</v>
      </c>
      <c r="AI321" s="146">
        <v>0</v>
      </c>
      <c r="AJ321" s="146">
        <v>0</v>
      </c>
      <c r="AK321" s="146">
        <v>0</v>
      </c>
      <c r="AL321" s="146">
        <v>0</v>
      </c>
      <c r="AM321" s="146">
        <v>0</v>
      </c>
      <c r="AN321" s="146">
        <v>2</v>
      </c>
      <c r="AO321" s="146">
        <v>2</v>
      </c>
      <c r="AP321" s="146">
        <v>2</v>
      </c>
      <c r="AQ321" s="146">
        <v>2</v>
      </c>
      <c r="AR321" s="146">
        <v>0</v>
      </c>
      <c r="AS321" s="146">
        <v>0</v>
      </c>
      <c r="AT321" s="146">
        <v>0</v>
      </c>
      <c r="AU321" s="146">
        <v>0</v>
      </c>
      <c r="AV321" s="146">
        <v>0</v>
      </c>
      <c r="AW321" s="146">
        <v>0</v>
      </c>
      <c r="AX321" s="146">
        <f t="shared" si="44"/>
        <v>3018</v>
      </c>
      <c r="AY321" s="146">
        <f t="shared" si="45"/>
        <v>3018</v>
      </c>
      <c r="AZ321" s="140" t="s">
        <v>562</v>
      </c>
      <c r="BA321" s="140" t="s">
        <v>562</v>
      </c>
      <c r="BB321" s="137">
        <v>13</v>
      </c>
      <c r="BC321" s="187">
        <v>317</v>
      </c>
      <c r="BD321" s="149"/>
      <c r="BE321" s="145"/>
      <c r="BF321" s="150"/>
      <c r="BG321" s="188">
        <v>46187</v>
      </c>
      <c r="BH321" s="153" t="s">
        <v>15</v>
      </c>
      <c r="BI321" s="153" t="s">
        <v>562</v>
      </c>
    </row>
    <row r="322" spans="1:705" s="16" customFormat="1" ht="42" hidden="1" customHeight="1" x14ac:dyDescent="0.3">
      <c r="A322" s="200">
        <v>318</v>
      </c>
      <c r="B322" s="138">
        <v>242453</v>
      </c>
      <c r="C322" s="138">
        <v>318</v>
      </c>
      <c r="D322" s="139">
        <v>45992</v>
      </c>
      <c r="E322" s="139">
        <f t="shared" si="43"/>
        <v>45991</v>
      </c>
      <c r="F322" s="139">
        <f t="shared" si="41"/>
        <v>46002</v>
      </c>
      <c r="G322" s="139">
        <v>46082</v>
      </c>
      <c r="H322" s="139">
        <v>46050</v>
      </c>
      <c r="I322" s="139" t="s">
        <v>349</v>
      </c>
      <c r="J322" s="140" t="s">
        <v>736</v>
      </c>
      <c r="K322" s="141">
        <f t="shared" si="46"/>
        <v>80</v>
      </c>
      <c r="L322" s="141">
        <v>1174466</v>
      </c>
      <c r="M322" s="140" t="s">
        <v>15</v>
      </c>
      <c r="N322" s="142">
        <v>810944</v>
      </c>
      <c r="O322" s="140" t="s">
        <v>246</v>
      </c>
      <c r="P322" s="143">
        <v>46014</v>
      </c>
      <c r="Q322" s="143">
        <v>46198</v>
      </c>
      <c r="R322" s="185" t="s">
        <v>1013</v>
      </c>
      <c r="S322" s="144" t="s">
        <v>737</v>
      </c>
      <c r="T322" s="145">
        <v>1</v>
      </c>
      <c r="U322" s="186" t="s">
        <v>106</v>
      </c>
      <c r="V322" s="146">
        <v>121</v>
      </c>
      <c r="W322" s="146">
        <v>121</v>
      </c>
      <c r="X322" s="147">
        <v>0</v>
      </c>
      <c r="Y322" s="146"/>
      <c r="Z322" s="146">
        <v>0</v>
      </c>
      <c r="AA322" s="146">
        <v>0</v>
      </c>
      <c r="AB322" s="146">
        <v>50</v>
      </c>
      <c r="AC322" s="146">
        <v>50</v>
      </c>
      <c r="AD322" s="146">
        <v>0</v>
      </c>
      <c r="AE322" s="146">
        <v>0</v>
      </c>
      <c r="AF322" s="146">
        <v>0</v>
      </c>
      <c r="AG322" s="146">
        <v>0</v>
      </c>
      <c r="AH322" s="146">
        <v>0</v>
      </c>
      <c r="AI322" s="146"/>
      <c r="AJ322" s="146">
        <v>1</v>
      </c>
      <c r="AK322" s="146">
        <v>1</v>
      </c>
      <c r="AL322" s="146">
        <v>1</v>
      </c>
      <c r="AM322" s="146">
        <v>1</v>
      </c>
      <c r="AN322" s="146">
        <v>1</v>
      </c>
      <c r="AO322" s="146">
        <v>1</v>
      </c>
      <c r="AP322" s="146">
        <v>0</v>
      </c>
      <c r="AQ322" s="146"/>
      <c r="AR322" s="146">
        <v>0</v>
      </c>
      <c r="AS322" s="146">
        <v>0</v>
      </c>
      <c r="AT322" s="146">
        <v>0</v>
      </c>
      <c r="AU322" s="146">
        <v>0</v>
      </c>
      <c r="AV322" s="146">
        <v>0</v>
      </c>
      <c r="AW322" s="146">
        <v>0</v>
      </c>
      <c r="AX322" s="146">
        <f t="shared" si="44"/>
        <v>11135</v>
      </c>
      <c r="AY322" s="146">
        <f t="shared" si="45"/>
        <v>11135</v>
      </c>
      <c r="AZ322" s="140" t="s">
        <v>562</v>
      </c>
      <c r="BA322" s="140" t="s">
        <v>562</v>
      </c>
      <c r="BB322" s="137">
        <v>7</v>
      </c>
      <c r="BC322" s="187">
        <v>318</v>
      </c>
      <c r="BD322" s="149"/>
      <c r="BE322" s="145"/>
      <c r="BF322" s="150"/>
      <c r="BG322" s="188">
        <v>46023</v>
      </c>
      <c r="BH322" s="153" t="s">
        <v>15</v>
      </c>
      <c r="BI322" s="153" t="s">
        <v>562</v>
      </c>
    </row>
    <row r="323" spans="1:705" s="16" customFormat="1" ht="44.1" hidden="1" customHeight="1" x14ac:dyDescent="0.3">
      <c r="A323" s="200">
        <v>319</v>
      </c>
      <c r="B323" s="138">
        <v>242388</v>
      </c>
      <c r="C323" s="138">
        <v>319</v>
      </c>
      <c r="D323" s="139">
        <v>45992</v>
      </c>
      <c r="E323" s="139">
        <f t="shared" si="43"/>
        <v>45991</v>
      </c>
      <c r="F323" s="139">
        <f t="shared" si="41"/>
        <v>46002</v>
      </c>
      <c r="G323" s="139">
        <v>46082</v>
      </c>
      <c r="H323" s="139">
        <v>46106</v>
      </c>
      <c r="I323" s="139" t="s">
        <v>321</v>
      </c>
      <c r="J323" s="140" t="s">
        <v>731</v>
      </c>
      <c r="K323" s="141">
        <f t="shared" si="46"/>
        <v>80</v>
      </c>
      <c r="L323" s="141">
        <v>1174376</v>
      </c>
      <c r="M323" s="140" t="s">
        <v>15</v>
      </c>
      <c r="N323" s="140">
        <v>811084</v>
      </c>
      <c r="O323" s="140" t="s">
        <v>246</v>
      </c>
      <c r="P323" s="143">
        <v>46040</v>
      </c>
      <c r="Q323" s="143">
        <v>46198</v>
      </c>
      <c r="R323" s="185" t="s">
        <v>211</v>
      </c>
      <c r="S323" s="144" t="s">
        <v>732</v>
      </c>
      <c r="T323" s="145">
        <v>1</v>
      </c>
      <c r="U323" s="186" t="s">
        <v>81</v>
      </c>
      <c r="V323" s="146">
        <v>120</v>
      </c>
      <c r="W323" s="146">
        <v>120</v>
      </c>
      <c r="X323" s="147">
        <v>0</v>
      </c>
      <c r="Y323" s="146">
        <v>0</v>
      </c>
      <c r="Z323" s="146">
        <v>0</v>
      </c>
      <c r="AA323" s="146">
        <v>0</v>
      </c>
      <c r="AB323" s="146">
        <v>120</v>
      </c>
      <c r="AC323" s="146">
        <v>120</v>
      </c>
      <c r="AD323" s="146">
        <v>0</v>
      </c>
      <c r="AE323" s="146">
        <v>0</v>
      </c>
      <c r="AF323" s="146">
        <v>0</v>
      </c>
      <c r="AG323" s="146">
        <v>0</v>
      </c>
      <c r="AH323" s="146">
        <v>0</v>
      </c>
      <c r="AI323" s="146">
        <v>0</v>
      </c>
      <c r="AJ323" s="146">
        <v>0</v>
      </c>
      <c r="AK323" s="146">
        <v>0</v>
      </c>
      <c r="AL323" s="146">
        <v>0</v>
      </c>
      <c r="AM323" s="146">
        <v>0</v>
      </c>
      <c r="AN323" s="146">
        <v>1</v>
      </c>
      <c r="AO323" s="146">
        <v>1</v>
      </c>
      <c r="AP323" s="146">
        <v>1</v>
      </c>
      <c r="AQ323" s="146">
        <v>1</v>
      </c>
      <c r="AR323" s="146">
        <v>0</v>
      </c>
      <c r="AS323" s="146">
        <v>0</v>
      </c>
      <c r="AT323" s="146">
        <v>0</v>
      </c>
      <c r="AU323" s="146">
        <v>0</v>
      </c>
      <c r="AV323" s="146">
        <v>0</v>
      </c>
      <c r="AW323" s="146">
        <v>0</v>
      </c>
      <c r="AX323" s="146">
        <f t="shared" si="44"/>
        <v>14730</v>
      </c>
      <c r="AY323" s="146">
        <f t="shared" si="45"/>
        <v>14730</v>
      </c>
      <c r="AZ323" s="140" t="s">
        <v>562</v>
      </c>
      <c r="BA323" s="140" t="s">
        <v>562</v>
      </c>
      <c r="BB323" s="137">
        <v>10</v>
      </c>
      <c r="BC323" s="187">
        <v>319</v>
      </c>
      <c r="BD323" s="149"/>
      <c r="BE323" s="145"/>
      <c r="BF323" s="150"/>
      <c r="BG323" s="188">
        <v>46093</v>
      </c>
      <c r="BH323" s="153" t="s">
        <v>15</v>
      </c>
      <c r="BI323" s="153" t="s">
        <v>562</v>
      </c>
    </row>
    <row r="324" spans="1:705" s="16" customFormat="1" ht="44.1" hidden="1" customHeight="1" x14ac:dyDescent="0.3">
      <c r="A324" s="200">
        <v>320</v>
      </c>
      <c r="B324" s="138">
        <v>242486</v>
      </c>
      <c r="C324" s="138">
        <v>320</v>
      </c>
      <c r="D324" s="139">
        <v>45992</v>
      </c>
      <c r="E324" s="139">
        <f t="shared" si="43"/>
        <v>45991</v>
      </c>
      <c r="F324" s="139">
        <f t="shared" si="41"/>
        <v>46002</v>
      </c>
      <c r="G324" s="139">
        <v>46082</v>
      </c>
      <c r="H324" s="139">
        <f ca="1">TODAY()</f>
        <v>46277</v>
      </c>
      <c r="I324" s="139" t="s">
        <v>349</v>
      </c>
      <c r="J324" s="140" t="s">
        <v>738</v>
      </c>
      <c r="K324" s="141">
        <f t="shared" si="46"/>
        <v>80</v>
      </c>
      <c r="L324" s="141">
        <v>1174522</v>
      </c>
      <c r="M324" s="140" t="s">
        <v>15</v>
      </c>
      <c r="N324" s="140">
        <v>810945</v>
      </c>
      <c r="O324" s="137" t="s">
        <v>246</v>
      </c>
      <c r="P324" s="143">
        <v>46020</v>
      </c>
      <c r="Q324" s="143">
        <v>46198</v>
      </c>
      <c r="R324" s="185" t="s">
        <v>211</v>
      </c>
      <c r="S324" s="144" t="s">
        <v>739</v>
      </c>
      <c r="T324" s="145">
        <v>1</v>
      </c>
      <c r="U324" s="186" t="s">
        <v>82</v>
      </c>
      <c r="V324" s="146">
        <v>44</v>
      </c>
      <c r="W324" s="146">
        <v>44</v>
      </c>
      <c r="X324" s="147">
        <v>0</v>
      </c>
      <c r="Y324" s="146"/>
      <c r="Z324" s="146">
        <v>0</v>
      </c>
      <c r="AA324" s="146">
        <v>0</v>
      </c>
      <c r="AB324" s="146">
        <v>18</v>
      </c>
      <c r="AC324" s="146">
        <v>18</v>
      </c>
      <c r="AD324" s="146">
        <v>0</v>
      </c>
      <c r="AE324" s="146">
        <v>0</v>
      </c>
      <c r="AF324" s="146">
        <v>0</v>
      </c>
      <c r="AG324" s="146">
        <v>0</v>
      </c>
      <c r="AH324" s="146">
        <v>1</v>
      </c>
      <c r="AI324" s="146">
        <v>1</v>
      </c>
      <c r="AJ324" s="146">
        <v>0</v>
      </c>
      <c r="AK324" s="146">
        <v>0</v>
      </c>
      <c r="AL324" s="146">
        <v>0</v>
      </c>
      <c r="AM324" s="146"/>
      <c r="AN324" s="146">
        <v>2</v>
      </c>
      <c r="AO324" s="146">
        <v>2</v>
      </c>
      <c r="AP324" s="146">
        <v>2</v>
      </c>
      <c r="AQ324" s="146">
        <v>2</v>
      </c>
      <c r="AR324" s="146">
        <v>0</v>
      </c>
      <c r="AS324" s="146">
        <v>0</v>
      </c>
      <c r="AT324" s="146">
        <v>0</v>
      </c>
      <c r="AU324" s="146">
        <v>0</v>
      </c>
      <c r="AV324" s="146">
        <v>0</v>
      </c>
      <c r="AW324" s="146">
        <v>0</v>
      </c>
      <c r="AX324" s="146">
        <f t="shared" si="44"/>
        <v>5216</v>
      </c>
      <c r="AY324" s="146">
        <f t="shared" si="45"/>
        <v>5216</v>
      </c>
      <c r="AZ324" s="140" t="s">
        <v>562</v>
      </c>
      <c r="BA324" s="140" t="s">
        <v>562</v>
      </c>
      <c r="BB324" s="137">
        <v>6</v>
      </c>
      <c r="BC324" s="187">
        <v>320</v>
      </c>
      <c r="BD324" s="149"/>
      <c r="BE324" s="145"/>
      <c r="BF324" s="150"/>
      <c r="BG324" s="188">
        <v>46023</v>
      </c>
      <c r="BH324" s="153" t="s">
        <v>15</v>
      </c>
      <c r="BI324" s="153" t="s">
        <v>562</v>
      </c>
    </row>
    <row r="325" spans="1:705" s="16" customFormat="1" ht="44.1" customHeight="1" x14ac:dyDescent="0.3">
      <c r="A325" s="200">
        <v>321</v>
      </c>
      <c r="B325" s="62">
        <v>242487</v>
      </c>
      <c r="C325" s="62">
        <v>321</v>
      </c>
      <c r="D325" s="63">
        <v>45992</v>
      </c>
      <c r="E325" s="63">
        <f t="shared" si="43"/>
        <v>45991</v>
      </c>
      <c r="F325" s="63">
        <f t="shared" si="41"/>
        <v>46002</v>
      </c>
      <c r="G325" s="63">
        <v>46082</v>
      </c>
      <c r="H325" s="63">
        <f ca="1">TODAY()</f>
        <v>46277</v>
      </c>
      <c r="I325" s="63" t="s">
        <v>349</v>
      </c>
      <c r="J325" s="64" t="s">
        <v>740</v>
      </c>
      <c r="K325" s="65">
        <f t="shared" si="46"/>
        <v>80</v>
      </c>
      <c r="L325" s="65">
        <v>1174522</v>
      </c>
      <c r="M325" s="64" t="s">
        <v>77</v>
      </c>
      <c r="N325" s="64">
        <v>810946</v>
      </c>
      <c r="O325" s="253" t="s">
        <v>1462</v>
      </c>
      <c r="P325" s="103">
        <v>46014</v>
      </c>
      <c r="Q325" s="103">
        <v>46198</v>
      </c>
      <c r="R325" s="73" t="s">
        <v>211</v>
      </c>
      <c r="S325" s="66" t="s">
        <v>232</v>
      </c>
      <c r="T325" s="67">
        <v>1</v>
      </c>
      <c r="U325" s="75" t="s">
        <v>82</v>
      </c>
      <c r="V325" s="68">
        <v>70</v>
      </c>
      <c r="W325" s="68"/>
      <c r="X325" s="69">
        <v>1</v>
      </c>
      <c r="Y325" s="68"/>
      <c r="Z325" s="68">
        <v>0</v>
      </c>
      <c r="AA325" s="68">
        <v>0</v>
      </c>
      <c r="AB325" s="68">
        <v>0</v>
      </c>
      <c r="AC325" s="68"/>
      <c r="AD325" s="68">
        <v>0</v>
      </c>
      <c r="AE325" s="68">
        <v>0</v>
      </c>
      <c r="AF325" s="68">
        <v>0</v>
      </c>
      <c r="AG325" s="68">
        <v>0</v>
      </c>
      <c r="AH325" s="68">
        <v>1</v>
      </c>
      <c r="AI325" s="68"/>
      <c r="AJ325" s="68">
        <v>0</v>
      </c>
      <c r="AK325" s="68">
        <v>0</v>
      </c>
      <c r="AL325" s="68">
        <v>2</v>
      </c>
      <c r="AM325" s="68"/>
      <c r="AN325" s="68">
        <v>4</v>
      </c>
      <c r="AO325" s="68"/>
      <c r="AP325" s="68">
        <v>2</v>
      </c>
      <c r="AQ325" s="68"/>
      <c r="AR325" s="68">
        <v>0</v>
      </c>
      <c r="AS325" s="68">
        <v>0</v>
      </c>
      <c r="AT325" s="68">
        <v>0</v>
      </c>
      <c r="AU325" s="68">
        <v>0</v>
      </c>
      <c r="AV325" s="68">
        <v>0</v>
      </c>
      <c r="AW325" s="68">
        <v>0</v>
      </c>
      <c r="AX325" s="146">
        <f t="shared" si="44"/>
        <v>7130</v>
      </c>
      <c r="AY325" s="146">
        <f t="shared" si="45"/>
        <v>0</v>
      </c>
      <c r="AZ325" s="64" t="s">
        <v>77</v>
      </c>
      <c r="BA325" s="64" t="s">
        <v>77</v>
      </c>
      <c r="BB325" s="15" t="s">
        <v>77</v>
      </c>
      <c r="BC325" s="74">
        <v>321</v>
      </c>
      <c r="BD325" s="70"/>
      <c r="BE325" s="67"/>
      <c r="BF325" s="71"/>
      <c r="BG325" s="15"/>
      <c r="BH325" s="72" t="s">
        <v>77</v>
      </c>
      <c r="BI325" s="72" t="s">
        <v>77</v>
      </c>
    </row>
    <row r="326" spans="1:705" s="16" customFormat="1" ht="44.1" hidden="1" customHeight="1" x14ac:dyDescent="0.3">
      <c r="A326" s="200">
        <v>322</v>
      </c>
      <c r="B326" s="138">
        <v>242488</v>
      </c>
      <c r="C326" s="138">
        <v>322</v>
      </c>
      <c r="D326" s="139">
        <v>45992</v>
      </c>
      <c r="E326" s="139">
        <f t="shared" si="43"/>
        <v>45991</v>
      </c>
      <c r="F326" s="139">
        <f t="shared" si="41"/>
        <v>46002</v>
      </c>
      <c r="G326" s="139">
        <v>46082</v>
      </c>
      <c r="H326" s="139">
        <v>46189</v>
      </c>
      <c r="I326" s="139" t="s">
        <v>349</v>
      </c>
      <c r="J326" s="140" t="s">
        <v>741</v>
      </c>
      <c r="K326" s="141">
        <f t="shared" si="46"/>
        <v>80</v>
      </c>
      <c r="L326" s="141">
        <v>1174525</v>
      </c>
      <c r="M326" s="140" t="s">
        <v>15</v>
      </c>
      <c r="N326" s="140">
        <v>810947</v>
      </c>
      <c r="O326" s="140" t="s">
        <v>246</v>
      </c>
      <c r="P326" s="143">
        <v>46022</v>
      </c>
      <c r="Q326" s="143">
        <v>46198</v>
      </c>
      <c r="R326" s="185" t="s">
        <v>1234</v>
      </c>
      <c r="S326" s="144" t="s">
        <v>742</v>
      </c>
      <c r="T326" s="145">
        <v>1</v>
      </c>
      <c r="U326" s="186" t="s">
        <v>82</v>
      </c>
      <c r="V326" s="146">
        <v>138</v>
      </c>
      <c r="W326" s="146">
        <v>138</v>
      </c>
      <c r="X326" s="147">
        <v>0</v>
      </c>
      <c r="Y326" s="146">
        <v>0</v>
      </c>
      <c r="Z326" s="146">
        <v>0</v>
      </c>
      <c r="AA326" s="146">
        <v>0</v>
      </c>
      <c r="AB326" s="146">
        <v>133</v>
      </c>
      <c r="AC326" s="146">
        <v>133</v>
      </c>
      <c r="AD326" s="146">
        <v>0</v>
      </c>
      <c r="AE326" s="146">
        <v>0</v>
      </c>
      <c r="AF326" s="146">
        <v>0</v>
      </c>
      <c r="AG326" s="146">
        <v>0</v>
      </c>
      <c r="AH326" s="146">
        <v>1</v>
      </c>
      <c r="AI326" s="146">
        <v>1</v>
      </c>
      <c r="AJ326" s="146">
        <v>0</v>
      </c>
      <c r="AK326" s="146">
        <v>0</v>
      </c>
      <c r="AL326" s="146">
        <v>2</v>
      </c>
      <c r="AM326" s="146">
        <v>2</v>
      </c>
      <c r="AN326" s="146">
        <v>3</v>
      </c>
      <c r="AO326" s="146">
        <v>3</v>
      </c>
      <c r="AP326" s="146">
        <v>2</v>
      </c>
      <c r="AQ326" s="146">
        <v>2</v>
      </c>
      <c r="AR326" s="146">
        <v>0</v>
      </c>
      <c r="AS326" s="146">
        <v>0</v>
      </c>
      <c r="AT326" s="146">
        <v>0</v>
      </c>
      <c r="AU326" s="146">
        <v>0</v>
      </c>
      <c r="AV326" s="146">
        <v>0</v>
      </c>
      <c r="AW326" s="146">
        <v>0</v>
      </c>
      <c r="AX326" s="146">
        <f t="shared" si="44"/>
        <v>18651</v>
      </c>
      <c r="AY326" s="146">
        <f t="shared" si="45"/>
        <v>18651</v>
      </c>
      <c r="AZ326" s="140" t="s">
        <v>562</v>
      </c>
      <c r="BA326" s="140" t="s">
        <v>562</v>
      </c>
      <c r="BB326" s="137">
        <v>12</v>
      </c>
      <c r="BC326" s="187">
        <v>322</v>
      </c>
      <c r="BD326" s="149"/>
      <c r="BE326" s="145"/>
      <c r="BF326" s="150"/>
      <c r="BG326" s="188">
        <v>46183</v>
      </c>
      <c r="BH326" s="153" t="s">
        <v>15</v>
      </c>
      <c r="BI326" s="153" t="s">
        <v>562</v>
      </c>
    </row>
    <row r="327" spans="1:705" s="16" customFormat="1" ht="44.1" customHeight="1" x14ac:dyDescent="0.3">
      <c r="A327" s="200">
        <v>323</v>
      </c>
      <c r="B327" s="62">
        <v>242551</v>
      </c>
      <c r="C327" s="62">
        <v>323</v>
      </c>
      <c r="D327" s="63">
        <v>45993</v>
      </c>
      <c r="E327" s="63">
        <f t="shared" si="43"/>
        <v>45992</v>
      </c>
      <c r="F327" s="63">
        <f t="shared" si="41"/>
        <v>46003</v>
      </c>
      <c r="G327" s="63">
        <v>46083</v>
      </c>
      <c r="H327" s="63">
        <f ca="1">TODAY()</f>
        <v>46277</v>
      </c>
      <c r="I327" s="63" t="s">
        <v>321</v>
      </c>
      <c r="J327" s="64" t="s">
        <v>743</v>
      </c>
      <c r="K327" s="65">
        <f t="shared" si="46"/>
        <v>80</v>
      </c>
      <c r="L327" s="65">
        <v>1175097</v>
      </c>
      <c r="M327" s="64" t="s">
        <v>77</v>
      </c>
      <c r="N327" s="64" t="s">
        <v>1459</v>
      </c>
      <c r="O327" s="79" t="s">
        <v>246</v>
      </c>
      <c r="P327" s="103">
        <v>46238</v>
      </c>
      <c r="Q327" s="103">
        <v>46396</v>
      </c>
      <c r="R327" s="73" t="s">
        <v>211</v>
      </c>
      <c r="S327" s="66" t="s">
        <v>744</v>
      </c>
      <c r="T327" s="67">
        <v>1</v>
      </c>
      <c r="U327" s="75" t="s">
        <v>81</v>
      </c>
      <c r="V327" s="68">
        <v>190</v>
      </c>
      <c r="W327" s="68"/>
      <c r="X327" s="69">
        <v>0</v>
      </c>
      <c r="Y327" s="68">
        <v>0</v>
      </c>
      <c r="Z327" s="68">
        <v>0</v>
      </c>
      <c r="AA327" s="68">
        <v>0</v>
      </c>
      <c r="AB327" s="68">
        <v>0</v>
      </c>
      <c r="AC327" s="68"/>
      <c r="AD327" s="68">
        <v>0</v>
      </c>
      <c r="AE327" s="68">
        <v>0</v>
      </c>
      <c r="AF327" s="68">
        <v>0</v>
      </c>
      <c r="AG327" s="68">
        <v>0</v>
      </c>
      <c r="AH327" s="68">
        <v>0</v>
      </c>
      <c r="AI327" s="68"/>
      <c r="AJ327" s="68">
        <v>0</v>
      </c>
      <c r="AK327" s="68">
        <v>0</v>
      </c>
      <c r="AL327" s="68">
        <v>1</v>
      </c>
      <c r="AM327" s="68"/>
      <c r="AN327" s="68">
        <v>1</v>
      </c>
      <c r="AO327" s="68"/>
      <c r="AP327" s="68">
        <v>1</v>
      </c>
      <c r="AQ327" s="68"/>
      <c r="AR327" s="68">
        <v>0</v>
      </c>
      <c r="AS327" s="68">
        <v>0</v>
      </c>
      <c r="AT327" s="68">
        <v>0</v>
      </c>
      <c r="AU327" s="68"/>
      <c r="AV327" s="68">
        <v>0</v>
      </c>
      <c r="AW327" s="68">
        <v>0</v>
      </c>
      <c r="AX327" s="146">
        <f t="shared" si="44"/>
        <v>12680</v>
      </c>
      <c r="AY327" s="146">
        <f t="shared" si="45"/>
        <v>0</v>
      </c>
      <c r="AZ327" s="64" t="s">
        <v>77</v>
      </c>
      <c r="BA327" s="64" t="s">
        <v>77</v>
      </c>
      <c r="BB327" s="15" t="s">
        <v>77</v>
      </c>
      <c r="BC327" s="74">
        <v>323</v>
      </c>
      <c r="BD327" s="70"/>
      <c r="BE327" s="67"/>
      <c r="BF327" s="71"/>
      <c r="BG327" s="15"/>
      <c r="BH327" s="72" t="s">
        <v>77</v>
      </c>
      <c r="BI327" s="72" t="s">
        <v>77</v>
      </c>
    </row>
    <row r="328" spans="1:705" s="235" customFormat="1" ht="44.1" hidden="1" customHeight="1" x14ac:dyDescent="0.3">
      <c r="A328" s="26">
        <v>324</v>
      </c>
      <c r="B328" s="138">
        <v>242552</v>
      </c>
      <c r="C328" s="138">
        <v>324</v>
      </c>
      <c r="D328" s="139">
        <v>45993</v>
      </c>
      <c r="E328" s="139">
        <f t="shared" si="43"/>
        <v>45992</v>
      </c>
      <c r="F328" s="139">
        <f t="shared" si="41"/>
        <v>46003</v>
      </c>
      <c r="G328" s="139">
        <v>46083</v>
      </c>
      <c r="H328" s="139">
        <v>46079</v>
      </c>
      <c r="I328" s="139" t="s">
        <v>321</v>
      </c>
      <c r="J328" s="140" t="s">
        <v>745</v>
      </c>
      <c r="K328" s="141">
        <f t="shared" si="46"/>
        <v>80</v>
      </c>
      <c r="L328" s="141">
        <v>1175099</v>
      </c>
      <c r="M328" s="140" t="s">
        <v>15</v>
      </c>
      <c r="N328" s="140">
        <v>810950</v>
      </c>
      <c r="O328" s="140" t="s">
        <v>246</v>
      </c>
      <c r="P328" s="143">
        <v>46021</v>
      </c>
      <c r="Q328" s="143">
        <v>46198</v>
      </c>
      <c r="R328" s="185" t="s">
        <v>1235</v>
      </c>
      <c r="S328" s="144" t="s">
        <v>746</v>
      </c>
      <c r="T328" s="145">
        <v>1</v>
      </c>
      <c r="U328" s="186" t="s">
        <v>82</v>
      </c>
      <c r="V328" s="146">
        <v>131</v>
      </c>
      <c r="W328" s="146">
        <v>131</v>
      </c>
      <c r="X328" s="147">
        <v>0</v>
      </c>
      <c r="Y328" s="146">
        <v>0</v>
      </c>
      <c r="Z328" s="146">
        <v>0</v>
      </c>
      <c r="AA328" s="146">
        <v>0</v>
      </c>
      <c r="AB328" s="146">
        <v>0</v>
      </c>
      <c r="AC328" s="146"/>
      <c r="AD328" s="146">
        <v>0</v>
      </c>
      <c r="AE328" s="146">
        <v>0</v>
      </c>
      <c r="AF328" s="146">
        <v>0</v>
      </c>
      <c r="AG328" s="146">
        <v>0</v>
      </c>
      <c r="AH328" s="146">
        <v>0</v>
      </c>
      <c r="AI328" s="146"/>
      <c r="AJ328" s="146">
        <v>0</v>
      </c>
      <c r="AK328" s="146">
        <v>0</v>
      </c>
      <c r="AL328" s="146">
        <v>1</v>
      </c>
      <c r="AM328" s="146">
        <v>1</v>
      </c>
      <c r="AN328" s="146">
        <v>1</v>
      </c>
      <c r="AO328" s="146">
        <v>1</v>
      </c>
      <c r="AP328" s="146">
        <v>0</v>
      </c>
      <c r="AQ328" s="146"/>
      <c r="AR328" s="146">
        <v>0</v>
      </c>
      <c r="AS328" s="146">
        <v>0</v>
      </c>
      <c r="AT328" s="146">
        <v>0</v>
      </c>
      <c r="AU328" s="146"/>
      <c r="AV328" s="146">
        <v>0</v>
      </c>
      <c r="AW328" s="146">
        <v>0</v>
      </c>
      <c r="AX328" s="146">
        <f t="shared" si="44"/>
        <v>8510</v>
      </c>
      <c r="AY328" s="146">
        <f t="shared" si="45"/>
        <v>8510</v>
      </c>
      <c r="AZ328" s="140" t="s">
        <v>562</v>
      </c>
      <c r="BA328" s="140" t="s">
        <v>562</v>
      </c>
      <c r="BB328" s="137">
        <v>7</v>
      </c>
      <c r="BC328" s="187">
        <v>324</v>
      </c>
      <c r="BD328" s="149"/>
      <c r="BE328" s="145"/>
      <c r="BF328" s="150"/>
      <c r="BG328" s="188">
        <v>46054</v>
      </c>
      <c r="BH328" s="153" t="s">
        <v>535</v>
      </c>
      <c r="BI328" s="153" t="s">
        <v>562</v>
      </c>
      <c r="BJ328" s="16"/>
      <c r="BK328" s="16"/>
      <c r="BL328" s="16"/>
      <c r="BM328" s="16"/>
      <c r="BN328" s="16"/>
      <c r="BO328" s="16"/>
      <c r="BP328" s="16"/>
      <c r="BQ328" s="16"/>
      <c r="BR328" s="16"/>
      <c r="BS328" s="16"/>
      <c r="BT328" s="16"/>
      <c r="BU328" s="16"/>
      <c r="BV328" s="16"/>
      <c r="BW328" s="16"/>
      <c r="BX328" s="16"/>
      <c r="BY328" s="16"/>
      <c r="BZ328" s="16"/>
      <c r="CA328" s="16"/>
      <c r="CB328" s="16"/>
      <c r="CC328" s="16"/>
      <c r="CD328" s="16"/>
      <c r="CE328" s="16"/>
      <c r="CF328" s="16"/>
      <c r="CG328" s="16"/>
      <c r="CH328" s="16"/>
      <c r="CI328" s="16"/>
      <c r="CJ328" s="16"/>
      <c r="CK328" s="16"/>
      <c r="CL328" s="16"/>
      <c r="CM328" s="16"/>
      <c r="CN328" s="16"/>
      <c r="CO328" s="16"/>
      <c r="CP328" s="16"/>
      <c r="CQ328" s="16"/>
      <c r="CR328" s="16"/>
      <c r="CS328" s="16"/>
      <c r="CT328" s="16"/>
      <c r="CU328" s="16"/>
      <c r="CV328" s="16"/>
      <c r="CW328" s="16"/>
      <c r="CX328" s="16"/>
      <c r="CY328" s="16"/>
      <c r="CZ328" s="16"/>
      <c r="DA328" s="16"/>
      <c r="DB328" s="16"/>
      <c r="DC328" s="16"/>
      <c r="DD328" s="16"/>
      <c r="DE328" s="16"/>
      <c r="DF328" s="16"/>
      <c r="DG328" s="16"/>
      <c r="DH328" s="16"/>
      <c r="DI328" s="16"/>
      <c r="DJ328" s="16"/>
      <c r="DK328" s="16"/>
      <c r="DL328" s="16"/>
      <c r="DM328" s="16"/>
      <c r="DN328" s="16"/>
      <c r="DO328" s="16"/>
      <c r="DP328" s="16"/>
      <c r="DQ328" s="16"/>
      <c r="DR328" s="16"/>
      <c r="DS328" s="16"/>
      <c r="DT328" s="16"/>
      <c r="DU328" s="16"/>
      <c r="DV328" s="16"/>
      <c r="DW328" s="16"/>
      <c r="DX328" s="16"/>
      <c r="DY328" s="16"/>
      <c r="DZ328" s="16"/>
      <c r="EA328" s="16"/>
      <c r="EB328" s="16"/>
      <c r="EC328" s="16"/>
      <c r="ED328" s="16"/>
      <c r="EE328" s="16"/>
      <c r="EF328" s="16"/>
      <c r="EG328" s="16"/>
      <c r="EH328" s="16"/>
      <c r="EI328" s="16"/>
      <c r="EJ328" s="16"/>
      <c r="EK328" s="16"/>
      <c r="EL328" s="16"/>
      <c r="EM328" s="16"/>
      <c r="EN328" s="16"/>
      <c r="EO328" s="16"/>
      <c r="EP328" s="16"/>
      <c r="EQ328" s="16"/>
      <c r="ER328" s="16"/>
      <c r="ES328" s="16"/>
      <c r="ET328" s="16"/>
      <c r="EU328" s="16"/>
      <c r="EV328" s="16"/>
      <c r="EW328" s="16"/>
      <c r="EX328" s="16"/>
      <c r="EY328" s="16"/>
      <c r="EZ328" s="16"/>
      <c r="FA328" s="16"/>
      <c r="FB328" s="16"/>
      <c r="FC328" s="16"/>
      <c r="FD328" s="16"/>
      <c r="FE328" s="16"/>
      <c r="FF328" s="16"/>
      <c r="FG328" s="16"/>
      <c r="FH328" s="16"/>
      <c r="FI328" s="16"/>
      <c r="FJ328" s="16"/>
      <c r="FK328" s="16"/>
      <c r="FL328" s="16"/>
      <c r="FM328" s="16"/>
      <c r="FN328" s="16"/>
      <c r="FO328" s="16"/>
      <c r="FP328" s="16"/>
      <c r="FQ328" s="16"/>
      <c r="FR328" s="16"/>
      <c r="FS328" s="16"/>
      <c r="FT328" s="16"/>
      <c r="FU328" s="16"/>
      <c r="FV328" s="16"/>
      <c r="FW328" s="16"/>
      <c r="FX328" s="16"/>
      <c r="FY328" s="16"/>
      <c r="FZ328" s="16"/>
      <c r="GA328" s="16"/>
      <c r="GB328" s="16"/>
      <c r="GC328" s="16"/>
      <c r="GD328" s="16"/>
      <c r="GE328" s="16"/>
      <c r="GF328" s="16"/>
      <c r="GG328" s="16"/>
      <c r="GH328" s="16"/>
      <c r="GI328" s="16"/>
      <c r="GJ328" s="16"/>
      <c r="GK328" s="16"/>
      <c r="GL328" s="16"/>
      <c r="GM328" s="16"/>
      <c r="GN328" s="16"/>
      <c r="GO328" s="16"/>
      <c r="GP328" s="16"/>
      <c r="GQ328" s="16"/>
      <c r="GR328" s="16"/>
      <c r="GS328" s="16"/>
      <c r="GT328" s="16"/>
      <c r="GU328" s="16"/>
      <c r="GV328" s="16"/>
      <c r="GW328" s="16"/>
      <c r="GX328" s="16"/>
      <c r="GY328" s="16"/>
      <c r="GZ328" s="16"/>
      <c r="HA328" s="16"/>
      <c r="HB328" s="16"/>
      <c r="HC328" s="16"/>
      <c r="HD328" s="16"/>
      <c r="HE328" s="16"/>
      <c r="HF328" s="16"/>
      <c r="HG328" s="16"/>
      <c r="HH328" s="16"/>
      <c r="HI328" s="16"/>
      <c r="HJ328" s="16"/>
      <c r="HK328" s="16"/>
      <c r="HL328" s="16"/>
      <c r="HM328" s="16"/>
      <c r="HN328" s="16"/>
      <c r="HO328" s="16"/>
      <c r="HP328" s="16"/>
      <c r="HQ328" s="16"/>
      <c r="HR328" s="16"/>
      <c r="HS328" s="16"/>
      <c r="HT328" s="16"/>
      <c r="HU328" s="16"/>
      <c r="HV328" s="16"/>
      <c r="HW328" s="16"/>
      <c r="HX328" s="16"/>
      <c r="HY328" s="16"/>
      <c r="HZ328" s="16"/>
      <c r="IA328" s="16"/>
      <c r="IB328" s="16"/>
      <c r="IC328" s="16"/>
      <c r="ID328" s="16"/>
      <c r="IE328" s="16"/>
      <c r="IF328" s="16"/>
      <c r="IG328" s="16"/>
      <c r="IH328" s="16"/>
      <c r="II328" s="16"/>
      <c r="IJ328" s="16"/>
      <c r="IK328" s="16"/>
      <c r="IL328" s="16"/>
      <c r="IM328" s="16"/>
      <c r="IN328" s="16"/>
      <c r="IO328" s="16"/>
      <c r="IP328" s="16"/>
      <c r="IQ328" s="16"/>
      <c r="IR328" s="16"/>
      <c r="IS328" s="16"/>
      <c r="IT328" s="16"/>
      <c r="IU328" s="16"/>
      <c r="IV328" s="16"/>
      <c r="IW328" s="16"/>
      <c r="IX328" s="16"/>
      <c r="IY328" s="16"/>
      <c r="IZ328" s="16"/>
      <c r="JA328" s="16"/>
      <c r="JB328" s="16"/>
      <c r="JC328" s="16"/>
      <c r="JD328" s="16"/>
      <c r="JE328" s="16"/>
      <c r="JF328" s="16"/>
      <c r="JG328" s="16"/>
      <c r="JH328" s="16"/>
      <c r="JI328" s="16"/>
      <c r="JJ328" s="16"/>
      <c r="JK328" s="16"/>
      <c r="JL328" s="16"/>
      <c r="JM328" s="16"/>
      <c r="JN328" s="16"/>
      <c r="JO328" s="16"/>
      <c r="JP328" s="16"/>
      <c r="JQ328" s="16"/>
      <c r="JR328" s="16"/>
      <c r="JS328" s="16"/>
      <c r="JT328" s="16"/>
      <c r="JU328" s="16"/>
      <c r="JV328" s="16"/>
      <c r="JW328" s="16"/>
      <c r="JX328" s="16"/>
      <c r="JY328" s="16"/>
      <c r="JZ328" s="16"/>
      <c r="KA328" s="16"/>
      <c r="KB328" s="16"/>
      <c r="KC328" s="16"/>
      <c r="KD328" s="16"/>
      <c r="KE328" s="16"/>
      <c r="KF328" s="16"/>
      <c r="KG328" s="16"/>
      <c r="KH328" s="16"/>
      <c r="KI328" s="16"/>
      <c r="KJ328" s="16"/>
      <c r="KK328" s="16"/>
      <c r="KL328" s="16"/>
      <c r="KM328" s="16"/>
      <c r="KN328" s="16"/>
      <c r="KO328" s="16"/>
      <c r="KP328" s="16"/>
      <c r="KQ328" s="16"/>
      <c r="KR328" s="16"/>
      <c r="KS328" s="16"/>
      <c r="KT328" s="16"/>
      <c r="KU328" s="16"/>
      <c r="KV328" s="16"/>
      <c r="KW328" s="16"/>
      <c r="KX328" s="16"/>
      <c r="KY328" s="16"/>
      <c r="KZ328" s="16"/>
      <c r="LA328" s="16"/>
      <c r="LB328" s="16"/>
      <c r="LC328" s="16"/>
      <c r="LD328" s="16"/>
      <c r="LE328" s="16"/>
      <c r="LF328" s="16"/>
      <c r="LG328" s="16"/>
      <c r="LH328" s="16"/>
      <c r="LI328" s="16"/>
      <c r="LJ328" s="16"/>
      <c r="LK328" s="16"/>
      <c r="LL328" s="16"/>
      <c r="LM328" s="16"/>
      <c r="LN328" s="16"/>
      <c r="LO328" s="16"/>
      <c r="LP328" s="16"/>
      <c r="LQ328" s="16"/>
      <c r="LR328" s="16"/>
      <c r="LS328" s="16"/>
      <c r="LT328" s="16"/>
      <c r="LU328" s="16"/>
      <c r="LV328" s="16"/>
      <c r="LW328" s="16"/>
      <c r="LX328" s="16"/>
      <c r="LY328" s="16"/>
      <c r="LZ328" s="16"/>
      <c r="MA328" s="16"/>
      <c r="MB328" s="16"/>
      <c r="MC328" s="16"/>
      <c r="MD328" s="16"/>
      <c r="ME328" s="16"/>
      <c r="MF328" s="16"/>
      <c r="MG328" s="16"/>
      <c r="MH328" s="16"/>
      <c r="MI328" s="16"/>
      <c r="MJ328" s="16"/>
      <c r="MK328" s="16"/>
      <c r="ML328" s="16"/>
      <c r="MM328" s="16"/>
      <c r="MN328" s="16"/>
      <c r="MO328" s="16"/>
      <c r="MP328" s="16"/>
      <c r="MQ328" s="16"/>
      <c r="MR328" s="16"/>
      <c r="MS328" s="16"/>
      <c r="MT328" s="16"/>
      <c r="MU328" s="16"/>
      <c r="MV328" s="16"/>
      <c r="MW328" s="16"/>
      <c r="MX328" s="16"/>
      <c r="MY328" s="16"/>
      <c r="MZ328" s="16"/>
      <c r="NA328" s="16"/>
      <c r="NB328" s="16"/>
      <c r="NC328" s="16"/>
      <c r="ND328" s="16"/>
      <c r="NE328" s="16"/>
      <c r="NF328" s="16"/>
      <c r="NG328" s="16"/>
      <c r="NH328" s="16"/>
      <c r="NI328" s="16"/>
      <c r="NJ328" s="16"/>
      <c r="NK328" s="16"/>
      <c r="NL328" s="16"/>
      <c r="NM328" s="16"/>
      <c r="NN328" s="16"/>
      <c r="NO328" s="16"/>
      <c r="NP328" s="16"/>
      <c r="NQ328" s="16"/>
      <c r="NR328" s="16"/>
      <c r="NS328" s="16"/>
      <c r="NT328" s="16"/>
      <c r="NU328" s="16"/>
      <c r="NV328" s="16"/>
      <c r="NW328" s="16"/>
      <c r="NX328" s="16"/>
      <c r="NY328" s="16"/>
      <c r="NZ328" s="16"/>
      <c r="OA328" s="16"/>
      <c r="OB328" s="16"/>
      <c r="OC328" s="16"/>
      <c r="OD328" s="16"/>
      <c r="OE328" s="16"/>
      <c r="OF328" s="16"/>
      <c r="OG328" s="16"/>
      <c r="OH328" s="16"/>
      <c r="OI328" s="16"/>
      <c r="OJ328" s="16"/>
      <c r="OK328" s="16"/>
      <c r="OL328" s="16"/>
      <c r="OM328" s="16"/>
      <c r="ON328" s="16"/>
      <c r="OO328" s="16"/>
      <c r="OP328" s="16"/>
      <c r="OQ328" s="16"/>
      <c r="OR328" s="16"/>
      <c r="OS328" s="16"/>
      <c r="OT328" s="16"/>
      <c r="OU328" s="16"/>
      <c r="OV328" s="16"/>
      <c r="OW328" s="16"/>
      <c r="OX328" s="16"/>
      <c r="OY328" s="16"/>
      <c r="OZ328" s="16"/>
      <c r="PA328" s="16"/>
      <c r="PB328" s="16"/>
      <c r="PC328" s="16"/>
      <c r="PD328" s="16"/>
      <c r="PE328" s="16"/>
      <c r="PF328" s="16"/>
      <c r="PG328" s="16"/>
      <c r="PH328" s="16"/>
      <c r="PI328" s="16"/>
      <c r="PJ328" s="16"/>
      <c r="PK328" s="16"/>
      <c r="PL328" s="16"/>
      <c r="PM328" s="16"/>
      <c r="PN328" s="16"/>
      <c r="PO328" s="16"/>
      <c r="PP328" s="16"/>
      <c r="PQ328" s="16"/>
      <c r="PR328" s="16"/>
      <c r="PS328" s="16"/>
      <c r="PT328" s="16"/>
      <c r="PU328" s="16"/>
      <c r="PV328" s="16"/>
      <c r="PW328" s="16"/>
      <c r="PX328" s="16"/>
      <c r="PY328" s="16"/>
      <c r="PZ328" s="16"/>
      <c r="QA328" s="16"/>
      <c r="QB328" s="16"/>
      <c r="QC328" s="16"/>
      <c r="QD328" s="16"/>
      <c r="QE328" s="16"/>
      <c r="QF328" s="16"/>
      <c r="QG328" s="16"/>
      <c r="QH328" s="16"/>
      <c r="QI328" s="16"/>
      <c r="QJ328" s="16"/>
      <c r="QK328" s="16"/>
      <c r="QL328" s="16"/>
      <c r="QM328" s="16"/>
      <c r="QN328" s="16"/>
      <c r="QO328" s="16"/>
      <c r="QP328" s="16"/>
      <c r="QQ328" s="16"/>
      <c r="QR328" s="16"/>
      <c r="QS328" s="16"/>
      <c r="QT328" s="16"/>
      <c r="QU328" s="16"/>
      <c r="QV328" s="16"/>
      <c r="QW328" s="16"/>
      <c r="QX328" s="16"/>
      <c r="QY328" s="16"/>
      <c r="QZ328" s="16"/>
      <c r="RA328" s="16"/>
      <c r="RB328" s="16"/>
      <c r="RC328" s="16"/>
      <c r="RD328" s="16"/>
      <c r="RE328" s="16"/>
      <c r="RF328" s="16"/>
      <c r="RG328" s="16"/>
      <c r="RH328" s="16"/>
      <c r="RI328" s="16"/>
      <c r="RJ328" s="16"/>
      <c r="RK328" s="16"/>
      <c r="RL328" s="16"/>
      <c r="RM328" s="16"/>
      <c r="RN328" s="16"/>
      <c r="RO328" s="16"/>
      <c r="RP328" s="16"/>
      <c r="RQ328" s="16"/>
      <c r="RR328" s="16"/>
      <c r="RS328" s="16"/>
      <c r="RT328" s="16"/>
      <c r="RU328" s="16"/>
      <c r="RV328" s="16"/>
      <c r="RW328" s="16"/>
      <c r="RX328" s="16"/>
      <c r="RY328" s="16"/>
      <c r="RZ328" s="16"/>
      <c r="SA328" s="16"/>
      <c r="SB328" s="16"/>
      <c r="SC328" s="16"/>
      <c r="SD328" s="16"/>
      <c r="SE328" s="16"/>
      <c r="SF328" s="16"/>
      <c r="SG328" s="16"/>
      <c r="SH328" s="16"/>
      <c r="SI328" s="16"/>
      <c r="SJ328" s="16"/>
      <c r="SK328" s="16"/>
      <c r="SL328" s="16"/>
      <c r="SM328" s="16"/>
      <c r="SN328" s="16"/>
      <c r="SO328" s="16"/>
      <c r="SP328" s="16"/>
      <c r="SQ328" s="16"/>
      <c r="SR328" s="16"/>
      <c r="SS328" s="16"/>
      <c r="ST328" s="16"/>
      <c r="SU328" s="16"/>
      <c r="SV328" s="16"/>
      <c r="SW328" s="16"/>
      <c r="SX328" s="16"/>
      <c r="SY328" s="16"/>
      <c r="SZ328" s="16"/>
      <c r="TA328" s="16"/>
      <c r="TB328" s="16"/>
      <c r="TC328" s="16"/>
      <c r="TD328" s="16"/>
      <c r="TE328" s="16"/>
      <c r="TF328" s="16"/>
      <c r="TG328" s="16"/>
      <c r="TH328" s="16"/>
      <c r="TI328" s="16"/>
      <c r="TJ328" s="16"/>
      <c r="TK328" s="16"/>
      <c r="TL328" s="16"/>
      <c r="TM328" s="16"/>
      <c r="TN328" s="16"/>
      <c r="TO328" s="16"/>
      <c r="TP328" s="16"/>
      <c r="TQ328" s="16"/>
      <c r="TR328" s="16"/>
      <c r="TS328" s="16"/>
      <c r="TT328" s="16"/>
      <c r="TU328" s="16"/>
      <c r="TV328" s="16"/>
      <c r="TW328" s="16"/>
      <c r="TX328" s="16"/>
      <c r="TY328" s="16"/>
      <c r="TZ328" s="16"/>
      <c r="UA328" s="16"/>
      <c r="UB328" s="16"/>
      <c r="UC328" s="16"/>
      <c r="UD328" s="16"/>
      <c r="UE328" s="16"/>
      <c r="UF328" s="16"/>
      <c r="UG328" s="16"/>
      <c r="UH328" s="16"/>
      <c r="UI328" s="16"/>
      <c r="UJ328" s="16"/>
      <c r="UK328" s="16"/>
      <c r="UL328" s="16"/>
      <c r="UM328" s="16"/>
      <c r="UN328" s="16"/>
      <c r="UO328" s="16"/>
      <c r="UP328" s="16"/>
      <c r="UQ328" s="16"/>
      <c r="UR328" s="16"/>
      <c r="US328" s="16"/>
      <c r="UT328" s="16"/>
      <c r="UU328" s="16"/>
      <c r="UV328" s="16"/>
      <c r="UW328" s="16"/>
      <c r="UX328" s="16"/>
      <c r="UY328" s="16"/>
      <c r="UZ328" s="16"/>
      <c r="VA328" s="16"/>
      <c r="VB328" s="16"/>
      <c r="VC328" s="16"/>
      <c r="VD328" s="16"/>
      <c r="VE328" s="16"/>
      <c r="VF328" s="16"/>
      <c r="VG328" s="16"/>
      <c r="VH328" s="16"/>
      <c r="VI328" s="16"/>
      <c r="VJ328" s="16"/>
      <c r="VK328" s="16"/>
      <c r="VL328" s="16"/>
      <c r="VM328" s="16"/>
      <c r="VN328" s="16"/>
      <c r="VO328" s="16"/>
      <c r="VP328" s="16"/>
      <c r="VQ328" s="16"/>
      <c r="VR328" s="16"/>
      <c r="VS328" s="16"/>
      <c r="VT328" s="16"/>
      <c r="VU328" s="16"/>
      <c r="VV328" s="16"/>
      <c r="VW328" s="16"/>
      <c r="VX328" s="16"/>
      <c r="VY328" s="16"/>
      <c r="VZ328" s="16"/>
      <c r="WA328" s="16"/>
      <c r="WB328" s="16"/>
      <c r="WC328" s="16"/>
      <c r="WD328" s="16"/>
      <c r="WE328" s="16"/>
      <c r="WF328" s="16"/>
      <c r="WG328" s="16"/>
      <c r="WH328" s="16"/>
      <c r="WI328" s="16"/>
      <c r="WJ328" s="16"/>
      <c r="WK328" s="16"/>
      <c r="WL328" s="16"/>
      <c r="WM328" s="16"/>
      <c r="WN328" s="16"/>
      <c r="WO328" s="16"/>
      <c r="WP328" s="16"/>
      <c r="WQ328" s="16"/>
      <c r="WR328" s="16"/>
      <c r="WS328" s="16"/>
      <c r="WT328" s="16"/>
      <c r="WU328" s="16"/>
      <c r="WV328" s="16"/>
      <c r="WW328" s="16"/>
      <c r="WX328" s="16"/>
      <c r="WY328" s="16"/>
      <c r="WZ328" s="16"/>
      <c r="XA328" s="16"/>
      <c r="XB328" s="16"/>
      <c r="XC328" s="16"/>
      <c r="XD328" s="16"/>
      <c r="XE328" s="16"/>
      <c r="XF328" s="16"/>
      <c r="XG328" s="16"/>
      <c r="XH328" s="16"/>
      <c r="XI328" s="16"/>
      <c r="XJ328" s="16"/>
      <c r="XK328" s="16"/>
      <c r="XL328" s="16"/>
      <c r="XM328" s="16"/>
      <c r="XN328" s="16"/>
      <c r="XO328" s="16"/>
      <c r="XP328" s="16"/>
      <c r="XQ328" s="16"/>
      <c r="XR328" s="16"/>
      <c r="XS328" s="16"/>
      <c r="XT328" s="16"/>
      <c r="XU328" s="16"/>
      <c r="XV328" s="16"/>
      <c r="XW328" s="16"/>
      <c r="XX328" s="16"/>
      <c r="XY328" s="16"/>
      <c r="XZ328" s="16"/>
      <c r="YA328" s="16"/>
      <c r="YB328" s="16"/>
      <c r="YC328" s="16"/>
      <c r="YD328" s="16"/>
      <c r="YE328" s="16"/>
      <c r="YF328" s="16"/>
      <c r="YG328" s="16"/>
      <c r="YH328" s="16"/>
      <c r="YI328" s="16"/>
      <c r="YJ328" s="16"/>
      <c r="YK328" s="16"/>
      <c r="YL328" s="16"/>
      <c r="YM328" s="16"/>
      <c r="YN328" s="16"/>
      <c r="YO328" s="16"/>
      <c r="YP328" s="16"/>
      <c r="YQ328" s="16"/>
      <c r="YR328" s="16"/>
      <c r="YS328" s="16"/>
      <c r="YT328" s="16"/>
      <c r="YU328" s="16"/>
      <c r="YV328" s="16"/>
      <c r="YW328" s="16"/>
      <c r="YX328" s="16"/>
      <c r="YY328" s="16"/>
      <c r="YZ328" s="16"/>
      <c r="ZA328" s="16"/>
      <c r="ZB328" s="16"/>
      <c r="ZC328" s="16"/>
      <c r="ZD328" s="16"/>
      <c r="ZE328" s="16"/>
      <c r="ZF328" s="16"/>
      <c r="ZG328" s="16"/>
      <c r="ZH328" s="16"/>
      <c r="ZI328" s="16"/>
      <c r="ZJ328" s="16"/>
      <c r="ZK328" s="16"/>
      <c r="ZL328" s="16"/>
      <c r="ZM328" s="16"/>
      <c r="ZN328" s="16"/>
      <c r="ZO328" s="16"/>
      <c r="ZP328" s="16"/>
      <c r="ZQ328" s="16"/>
      <c r="ZR328" s="16"/>
      <c r="ZS328" s="16"/>
      <c r="ZT328" s="16"/>
      <c r="ZU328" s="16"/>
      <c r="ZV328" s="16"/>
      <c r="ZW328" s="16"/>
      <c r="ZX328" s="16"/>
      <c r="ZY328" s="16"/>
      <c r="ZZ328" s="16"/>
      <c r="AAA328" s="16"/>
      <c r="AAB328" s="16"/>
      <c r="AAC328" s="16"/>
    </row>
    <row r="329" spans="1:705" s="16" customFormat="1" ht="44.1" customHeight="1" x14ac:dyDescent="0.3">
      <c r="A329" s="200">
        <v>325</v>
      </c>
      <c r="B329" s="62">
        <v>242554</v>
      </c>
      <c r="C329" s="62">
        <v>325</v>
      </c>
      <c r="D329" s="63">
        <v>45994</v>
      </c>
      <c r="E329" s="63">
        <f t="shared" si="43"/>
        <v>45993</v>
      </c>
      <c r="F329" s="63">
        <f t="shared" ref="F329:F392" si="47">D329+10</f>
        <v>46004</v>
      </c>
      <c r="G329" s="63">
        <v>46084</v>
      </c>
      <c r="H329" s="63">
        <f ca="1">TODAY()</f>
        <v>46277</v>
      </c>
      <c r="I329" s="63" t="s">
        <v>349</v>
      </c>
      <c r="J329" s="64" t="s">
        <v>747</v>
      </c>
      <c r="K329" s="65">
        <f t="shared" si="46"/>
        <v>80</v>
      </c>
      <c r="L329" s="65">
        <v>1175203</v>
      </c>
      <c r="M329" s="64" t="s">
        <v>77</v>
      </c>
      <c r="N329" s="64">
        <v>810948</v>
      </c>
      <c r="O329" s="253" t="s">
        <v>1462</v>
      </c>
      <c r="P329" s="103">
        <v>46029</v>
      </c>
      <c r="Q329" s="103">
        <v>46198</v>
      </c>
      <c r="R329" s="73" t="s">
        <v>211</v>
      </c>
      <c r="S329" s="66" t="s">
        <v>748</v>
      </c>
      <c r="T329" s="67">
        <v>1</v>
      </c>
      <c r="U329" s="75" t="s">
        <v>106</v>
      </c>
      <c r="V329" s="68">
        <v>99</v>
      </c>
      <c r="W329" s="68"/>
      <c r="X329" s="69">
        <v>1</v>
      </c>
      <c r="Y329" s="68"/>
      <c r="Z329" s="68">
        <v>0</v>
      </c>
      <c r="AA329" s="68">
        <v>0</v>
      </c>
      <c r="AB329" s="68">
        <v>0</v>
      </c>
      <c r="AC329" s="68"/>
      <c r="AD329" s="68">
        <v>0</v>
      </c>
      <c r="AE329" s="68">
        <v>0</v>
      </c>
      <c r="AF329" s="68">
        <v>0</v>
      </c>
      <c r="AG329" s="68">
        <v>0</v>
      </c>
      <c r="AH329" s="68">
        <v>1</v>
      </c>
      <c r="AI329" s="68"/>
      <c r="AJ329" s="68">
        <v>0</v>
      </c>
      <c r="AK329" s="68">
        <v>0</v>
      </c>
      <c r="AL329" s="68">
        <v>1</v>
      </c>
      <c r="AM329" s="68"/>
      <c r="AN329" s="68">
        <v>2</v>
      </c>
      <c r="AO329" s="68"/>
      <c r="AP329" s="68">
        <v>2</v>
      </c>
      <c r="AQ329" s="68"/>
      <c r="AR329" s="68">
        <v>0</v>
      </c>
      <c r="AS329" s="68">
        <v>0</v>
      </c>
      <c r="AT329" s="68">
        <v>0</v>
      </c>
      <c r="AU329" s="68">
        <v>0</v>
      </c>
      <c r="AV329" s="68">
        <v>0</v>
      </c>
      <c r="AW329" s="68">
        <v>0</v>
      </c>
      <c r="AX329" s="146">
        <f t="shared" si="44"/>
        <v>8160</v>
      </c>
      <c r="AY329" s="146">
        <f t="shared" si="45"/>
        <v>0</v>
      </c>
      <c r="AZ329" s="64" t="s">
        <v>77</v>
      </c>
      <c r="BA329" s="64" t="s">
        <v>77</v>
      </c>
      <c r="BB329" s="15" t="s">
        <v>77</v>
      </c>
      <c r="BC329" s="74">
        <v>325</v>
      </c>
      <c r="BD329" s="70"/>
      <c r="BE329" s="67"/>
      <c r="BF329" s="71"/>
      <c r="BG329" s="15"/>
      <c r="BH329" s="72" t="s">
        <v>77</v>
      </c>
      <c r="BI329" s="72" t="s">
        <v>77</v>
      </c>
    </row>
    <row r="330" spans="1:705" s="16" customFormat="1" ht="44.1" customHeight="1" x14ac:dyDescent="0.3">
      <c r="A330" s="200">
        <v>326</v>
      </c>
      <c r="B330" s="62">
        <v>242555</v>
      </c>
      <c r="C330" s="62">
        <v>326</v>
      </c>
      <c r="D330" s="63">
        <v>45994</v>
      </c>
      <c r="E330" s="63">
        <f t="shared" si="43"/>
        <v>45993</v>
      </c>
      <c r="F330" s="63">
        <f t="shared" si="47"/>
        <v>46004</v>
      </c>
      <c r="G330" s="63">
        <v>46084</v>
      </c>
      <c r="H330" s="63">
        <f ca="1">TODAY()</f>
        <v>46277</v>
      </c>
      <c r="I330" s="63" t="s">
        <v>349</v>
      </c>
      <c r="J330" s="64" t="s">
        <v>749</v>
      </c>
      <c r="K330" s="65">
        <f t="shared" si="46"/>
        <v>80</v>
      </c>
      <c r="L330" s="65">
        <v>1175208</v>
      </c>
      <c r="M330" s="64" t="s">
        <v>77</v>
      </c>
      <c r="N330" s="64">
        <v>810949</v>
      </c>
      <c r="O330" s="253" t="s">
        <v>1462</v>
      </c>
      <c r="P330" s="103">
        <v>46029</v>
      </c>
      <c r="Q330" s="103">
        <v>46198</v>
      </c>
      <c r="R330" s="73" t="s">
        <v>211</v>
      </c>
      <c r="S330" s="66" t="s">
        <v>750</v>
      </c>
      <c r="T330" s="67">
        <v>1</v>
      </c>
      <c r="U330" s="75" t="s">
        <v>106</v>
      </c>
      <c r="V330" s="68">
        <v>108</v>
      </c>
      <c r="W330" s="68"/>
      <c r="X330" s="69">
        <v>1</v>
      </c>
      <c r="Y330" s="68"/>
      <c r="Z330" s="68">
        <v>0</v>
      </c>
      <c r="AA330" s="68">
        <v>0</v>
      </c>
      <c r="AB330" s="68">
        <v>0</v>
      </c>
      <c r="AC330" s="68"/>
      <c r="AD330" s="68">
        <v>0</v>
      </c>
      <c r="AE330" s="68">
        <v>0</v>
      </c>
      <c r="AF330" s="68">
        <v>0</v>
      </c>
      <c r="AG330" s="68">
        <v>0</v>
      </c>
      <c r="AH330" s="68">
        <v>1</v>
      </c>
      <c r="AI330" s="68"/>
      <c r="AJ330" s="68">
        <v>0</v>
      </c>
      <c r="AK330" s="68">
        <v>0</v>
      </c>
      <c r="AL330" s="68">
        <v>2</v>
      </c>
      <c r="AM330" s="68"/>
      <c r="AN330" s="68">
        <v>4</v>
      </c>
      <c r="AO330" s="68"/>
      <c r="AP330" s="68">
        <v>2</v>
      </c>
      <c r="AQ330" s="68"/>
      <c r="AR330" s="68">
        <v>0</v>
      </c>
      <c r="AS330" s="68">
        <v>0</v>
      </c>
      <c r="AT330" s="68">
        <v>0</v>
      </c>
      <c r="AU330" s="68">
        <v>0</v>
      </c>
      <c r="AV330" s="68">
        <v>0</v>
      </c>
      <c r="AW330" s="68">
        <v>0</v>
      </c>
      <c r="AX330" s="146">
        <f t="shared" si="44"/>
        <v>9410</v>
      </c>
      <c r="AY330" s="146">
        <f t="shared" si="45"/>
        <v>0</v>
      </c>
      <c r="AZ330" s="64" t="s">
        <v>77</v>
      </c>
      <c r="BA330" s="64" t="s">
        <v>77</v>
      </c>
      <c r="BB330" s="15" t="s">
        <v>77</v>
      </c>
      <c r="BC330" s="74">
        <v>326</v>
      </c>
      <c r="BD330" s="70"/>
      <c r="BE330" s="67"/>
      <c r="BF330" s="71"/>
      <c r="BG330" s="15"/>
      <c r="BH330" s="72" t="s">
        <v>77</v>
      </c>
      <c r="BI330" s="72" t="s">
        <v>77</v>
      </c>
    </row>
    <row r="331" spans="1:705" s="16" customFormat="1" ht="44.1" hidden="1" customHeight="1" x14ac:dyDescent="0.3">
      <c r="A331" s="200">
        <v>327</v>
      </c>
      <c r="B331" s="138">
        <v>242563</v>
      </c>
      <c r="C331" s="138">
        <v>327</v>
      </c>
      <c r="D331" s="139">
        <v>45994</v>
      </c>
      <c r="E331" s="139">
        <f t="shared" si="43"/>
        <v>45993</v>
      </c>
      <c r="F331" s="139">
        <f t="shared" si="47"/>
        <v>46004</v>
      </c>
      <c r="G331" s="139">
        <v>46084</v>
      </c>
      <c r="H331" s="139">
        <v>46191</v>
      </c>
      <c r="I331" s="139" t="s">
        <v>349</v>
      </c>
      <c r="J331" s="140" t="s">
        <v>752</v>
      </c>
      <c r="K331" s="141">
        <f t="shared" si="46"/>
        <v>80</v>
      </c>
      <c r="L331" s="141">
        <v>1175378</v>
      </c>
      <c r="M331" s="140" t="s">
        <v>15</v>
      </c>
      <c r="N331" s="140">
        <v>810951</v>
      </c>
      <c r="O331" s="137" t="s">
        <v>246</v>
      </c>
      <c r="P331" s="143">
        <v>46034</v>
      </c>
      <c r="Q331" s="143">
        <v>46198</v>
      </c>
      <c r="R331" s="185" t="s">
        <v>211</v>
      </c>
      <c r="S331" s="144" t="s">
        <v>753</v>
      </c>
      <c r="T331" s="145">
        <v>1</v>
      </c>
      <c r="U331" s="186" t="s">
        <v>82</v>
      </c>
      <c r="V331" s="146">
        <v>25</v>
      </c>
      <c r="W331" s="146">
        <v>25</v>
      </c>
      <c r="X331" s="147">
        <v>0</v>
      </c>
      <c r="Y331" s="146">
        <v>0</v>
      </c>
      <c r="Z331" s="146">
        <v>0</v>
      </c>
      <c r="AA331" s="146">
        <v>0</v>
      </c>
      <c r="AB331" s="146">
        <v>25</v>
      </c>
      <c r="AC331" s="146">
        <v>25</v>
      </c>
      <c r="AD331" s="146">
        <v>0</v>
      </c>
      <c r="AE331" s="146">
        <v>0</v>
      </c>
      <c r="AF331" s="146">
        <v>0</v>
      </c>
      <c r="AG331" s="146">
        <v>0</v>
      </c>
      <c r="AH331" s="146">
        <v>0</v>
      </c>
      <c r="AI331" s="146">
        <v>0</v>
      </c>
      <c r="AJ331" s="146">
        <v>0</v>
      </c>
      <c r="AK331" s="146">
        <v>0</v>
      </c>
      <c r="AL331" s="146">
        <v>1</v>
      </c>
      <c r="AM331" s="146">
        <v>1</v>
      </c>
      <c r="AN331" s="146">
        <v>3</v>
      </c>
      <c r="AO331" s="146">
        <v>3</v>
      </c>
      <c r="AP331" s="146">
        <v>2</v>
      </c>
      <c r="AQ331" s="146">
        <v>2</v>
      </c>
      <c r="AR331" s="146">
        <v>0</v>
      </c>
      <c r="AS331" s="146">
        <v>0</v>
      </c>
      <c r="AT331" s="146">
        <v>0</v>
      </c>
      <c r="AU331" s="146">
        <v>0</v>
      </c>
      <c r="AV331" s="146">
        <v>0</v>
      </c>
      <c r="AW331" s="146">
        <v>0</v>
      </c>
      <c r="AX331" s="146">
        <f t="shared" si="44"/>
        <v>4955</v>
      </c>
      <c r="AY331" s="146">
        <f t="shared" si="45"/>
        <v>4955</v>
      </c>
      <c r="AZ331" s="140" t="s">
        <v>562</v>
      </c>
      <c r="BA331" s="140" t="s">
        <v>562</v>
      </c>
      <c r="BB331" s="137">
        <v>12</v>
      </c>
      <c r="BC331" s="187">
        <v>327</v>
      </c>
      <c r="BD331" s="149"/>
      <c r="BE331" s="145"/>
      <c r="BF331" s="150"/>
      <c r="BG331" s="188">
        <v>46187</v>
      </c>
      <c r="BH331" s="153" t="s">
        <v>535</v>
      </c>
      <c r="BI331" s="153" t="s">
        <v>562</v>
      </c>
    </row>
    <row r="332" spans="1:705" s="16" customFormat="1" ht="44.1" hidden="1" customHeight="1" x14ac:dyDescent="0.3">
      <c r="A332" s="200">
        <v>328</v>
      </c>
      <c r="B332" s="138">
        <v>242566</v>
      </c>
      <c r="C332" s="138">
        <v>328</v>
      </c>
      <c r="D332" s="139">
        <v>45994</v>
      </c>
      <c r="E332" s="139">
        <f t="shared" si="43"/>
        <v>45993</v>
      </c>
      <c r="F332" s="139">
        <f t="shared" si="47"/>
        <v>46004</v>
      </c>
      <c r="G332" s="139">
        <v>46084</v>
      </c>
      <c r="H332" s="139">
        <v>46191</v>
      </c>
      <c r="I332" s="139" t="s">
        <v>349</v>
      </c>
      <c r="J332" s="140" t="s">
        <v>754</v>
      </c>
      <c r="K332" s="141">
        <f t="shared" si="46"/>
        <v>80</v>
      </c>
      <c r="L332" s="141">
        <v>1175390</v>
      </c>
      <c r="M332" s="140" t="s">
        <v>15</v>
      </c>
      <c r="N332" s="140">
        <v>810951</v>
      </c>
      <c r="O332" s="137" t="s">
        <v>246</v>
      </c>
      <c r="P332" s="143">
        <v>46034</v>
      </c>
      <c r="Q332" s="143">
        <v>46198</v>
      </c>
      <c r="R332" s="185" t="s">
        <v>211</v>
      </c>
      <c r="S332" s="144" t="s">
        <v>755</v>
      </c>
      <c r="T332" s="145">
        <v>1</v>
      </c>
      <c r="U332" s="186" t="s">
        <v>82</v>
      </c>
      <c r="V332" s="146">
        <v>40</v>
      </c>
      <c r="W332" s="146">
        <v>40</v>
      </c>
      <c r="X332" s="147">
        <v>0</v>
      </c>
      <c r="Y332" s="146">
        <v>0</v>
      </c>
      <c r="Z332" s="146">
        <v>0</v>
      </c>
      <c r="AA332" s="146">
        <v>0</v>
      </c>
      <c r="AB332" s="146">
        <v>40</v>
      </c>
      <c r="AC332" s="146">
        <v>40</v>
      </c>
      <c r="AD332" s="146">
        <v>0</v>
      </c>
      <c r="AE332" s="146">
        <v>0</v>
      </c>
      <c r="AF332" s="146">
        <v>0</v>
      </c>
      <c r="AG332" s="146">
        <v>0</v>
      </c>
      <c r="AH332" s="146">
        <v>1</v>
      </c>
      <c r="AI332" s="146">
        <v>1</v>
      </c>
      <c r="AJ332" s="146">
        <v>0</v>
      </c>
      <c r="AK332" s="146">
        <v>0</v>
      </c>
      <c r="AL332" s="146">
        <v>0</v>
      </c>
      <c r="AM332" s="146">
        <v>0</v>
      </c>
      <c r="AN332" s="146">
        <v>2</v>
      </c>
      <c r="AO332" s="146">
        <v>2</v>
      </c>
      <c r="AP332" s="146">
        <v>2</v>
      </c>
      <c r="AQ332" s="146">
        <v>2</v>
      </c>
      <c r="AR332" s="146"/>
      <c r="AS332" s="146">
        <v>0</v>
      </c>
      <c r="AT332" s="146">
        <v>0</v>
      </c>
      <c r="AU332" s="146">
        <v>0</v>
      </c>
      <c r="AV332" s="146">
        <v>0</v>
      </c>
      <c r="AW332" s="146">
        <v>0</v>
      </c>
      <c r="AX332" s="146">
        <f t="shared" si="44"/>
        <v>6230</v>
      </c>
      <c r="AY332" s="146">
        <f t="shared" si="45"/>
        <v>6230</v>
      </c>
      <c r="AZ332" s="140" t="s">
        <v>562</v>
      </c>
      <c r="BA332" s="140" t="s">
        <v>562</v>
      </c>
      <c r="BB332" s="137">
        <v>12</v>
      </c>
      <c r="BC332" s="187">
        <v>328</v>
      </c>
      <c r="BD332" s="149"/>
      <c r="BE332" s="145"/>
      <c r="BF332" s="150"/>
      <c r="BG332" s="188">
        <v>46190</v>
      </c>
      <c r="BH332" s="153" t="s">
        <v>535</v>
      </c>
      <c r="BI332" s="153" t="s">
        <v>562</v>
      </c>
    </row>
    <row r="333" spans="1:705" s="16" customFormat="1" ht="44.1" hidden="1" customHeight="1" x14ac:dyDescent="0.3">
      <c r="A333" s="26">
        <v>329</v>
      </c>
      <c r="B333" s="138">
        <v>242560</v>
      </c>
      <c r="C333" s="138">
        <v>329</v>
      </c>
      <c r="D333" s="139">
        <v>45994</v>
      </c>
      <c r="E333" s="139">
        <f t="shared" si="43"/>
        <v>45993</v>
      </c>
      <c r="F333" s="139">
        <f t="shared" si="47"/>
        <v>46004</v>
      </c>
      <c r="G333" s="139">
        <v>46084</v>
      </c>
      <c r="H333" s="139">
        <v>46058</v>
      </c>
      <c r="I333" s="139" t="s">
        <v>349</v>
      </c>
      <c r="J333" s="140" t="s">
        <v>756</v>
      </c>
      <c r="K333" s="141">
        <f t="shared" si="46"/>
        <v>80</v>
      </c>
      <c r="L333" s="141">
        <v>1175373</v>
      </c>
      <c r="M333" s="140" t="s">
        <v>15</v>
      </c>
      <c r="N333" s="140">
        <v>810950</v>
      </c>
      <c r="O333" s="140" t="s">
        <v>246</v>
      </c>
      <c r="P333" s="143">
        <v>46021</v>
      </c>
      <c r="Q333" s="143">
        <v>46198</v>
      </c>
      <c r="R333" s="185" t="s">
        <v>211</v>
      </c>
      <c r="S333" s="144" t="s">
        <v>757</v>
      </c>
      <c r="T333" s="145">
        <v>1</v>
      </c>
      <c r="U333" s="186" t="s">
        <v>82</v>
      </c>
      <c r="V333" s="146">
        <v>6</v>
      </c>
      <c r="W333" s="146">
        <v>6</v>
      </c>
      <c r="X333" s="147">
        <v>0</v>
      </c>
      <c r="Y333" s="146"/>
      <c r="Z333" s="146">
        <v>0</v>
      </c>
      <c r="AA333" s="146">
        <v>0</v>
      </c>
      <c r="AB333" s="146">
        <v>4</v>
      </c>
      <c r="AC333" s="146">
        <v>4</v>
      </c>
      <c r="AD333" s="146">
        <v>0</v>
      </c>
      <c r="AE333" s="146">
        <v>0</v>
      </c>
      <c r="AF333" s="146">
        <v>0</v>
      </c>
      <c r="AG333" s="146">
        <v>0</v>
      </c>
      <c r="AH333" s="146">
        <v>0</v>
      </c>
      <c r="AI333" s="146"/>
      <c r="AJ333" s="146">
        <v>0</v>
      </c>
      <c r="AK333" s="146">
        <v>0</v>
      </c>
      <c r="AL333" s="146">
        <v>2</v>
      </c>
      <c r="AM333" s="146">
        <v>2</v>
      </c>
      <c r="AN333" s="146">
        <v>2</v>
      </c>
      <c r="AO333" s="146">
        <v>2</v>
      </c>
      <c r="AP333" s="146">
        <v>0</v>
      </c>
      <c r="AQ333" s="146">
        <v>0</v>
      </c>
      <c r="AR333" s="146">
        <v>0</v>
      </c>
      <c r="AS333" s="146">
        <v>0</v>
      </c>
      <c r="AT333" s="146">
        <v>0</v>
      </c>
      <c r="AU333" s="146">
        <v>0</v>
      </c>
      <c r="AV333" s="146">
        <v>0</v>
      </c>
      <c r="AW333" s="146">
        <v>0</v>
      </c>
      <c r="AX333" s="146">
        <f t="shared" si="44"/>
        <v>1888</v>
      </c>
      <c r="AY333" s="146">
        <f t="shared" si="45"/>
        <v>1888</v>
      </c>
      <c r="AZ333" s="140" t="s">
        <v>562</v>
      </c>
      <c r="BA333" s="140" t="s">
        <v>562</v>
      </c>
      <c r="BB333" s="137">
        <v>7</v>
      </c>
      <c r="BC333" s="187">
        <v>329</v>
      </c>
      <c r="BD333" s="149"/>
      <c r="BE333" s="145"/>
      <c r="BF333" s="150"/>
      <c r="BG333" s="188">
        <v>46054</v>
      </c>
      <c r="BH333" s="153" t="s">
        <v>535</v>
      </c>
      <c r="BI333" s="153" t="s">
        <v>562</v>
      </c>
    </row>
    <row r="334" spans="1:705" s="16" customFormat="1" ht="44.1" hidden="1" customHeight="1" x14ac:dyDescent="0.3">
      <c r="A334" s="200">
        <v>330</v>
      </c>
      <c r="B334" s="138">
        <v>242596</v>
      </c>
      <c r="C334" s="138">
        <v>330</v>
      </c>
      <c r="D334" s="139">
        <v>45994</v>
      </c>
      <c r="E334" s="139">
        <f t="shared" si="43"/>
        <v>45993</v>
      </c>
      <c r="F334" s="139">
        <f t="shared" si="47"/>
        <v>46004</v>
      </c>
      <c r="G334" s="139">
        <v>46084</v>
      </c>
      <c r="H334" s="139">
        <v>46195</v>
      </c>
      <c r="I334" s="139" t="s">
        <v>349</v>
      </c>
      <c r="J334" s="140" t="s">
        <v>1339</v>
      </c>
      <c r="K334" s="141">
        <f t="shared" si="46"/>
        <v>80</v>
      </c>
      <c r="L334" s="141">
        <v>1175484</v>
      </c>
      <c r="M334" s="140" t="s">
        <v>15</v>
      </c>
      <c r="N334" s="140">
        <v>810951</v>
      </c>
      <c r="O334" s="137" t="s">
        <v>246</v>
      </c>
      <c r="P334" s="143">
        <v>46034</v>
      </c>
      <c r="Q334" s="143">
        <v>46198</v>
      </c>
      <c r="R334" s="185" t="s">
        <v>211</v>
      </c>
      <c r="S334" s="144" t="s">
        <v>758</v>
      </c>
      <c r="T334" s="145">
        <v>1</v>
      </c>
      <c r="U334" s="186" t="s">
        <v>82</v>
      </c>
      <c r="V334" s="146">
        <v>50</v>
      </c>
      <c r="W334" s="146">
        <v>50</v>
      </c>
      <c r="X334" s="147">
        <v>0</v>
      </c>
      <c r="Y334" s="146">
        <v>0</v>
      </c>
      <c r="Z334" s="146">
        <v>0</v>
      </c>
      <c r="AA334" s="146">
        <v>0</v>
      </c>
      <c r="AB334" s="146">
        <v>16</v>
      </c>
      <c r="AC334" s="146">
        <v>16</v>
      </c>
      <c r="AD334" s="146">
        <v>0</v>
      </c>
      <c r="AE334" s="146">
        <v>0</v>
      </c>
      <c r="AF334" s="146">
        <v>0</v>
      </c>
      <c r="AG334" s="146">
        <v>0</v>
      </c>
      <c r="AH334" s="146">
        <v>2</v>
      </c>
      <c r="AI334" s="146">
        <v>2</v>
      </c>
      <c r="AJ334" s="146">
        <v>0</v>
      </c>
      <c r="AK334" s="146">
        <v>0</v>
      </c>
      <c r="AL334" s="146">
        <v>0</v>
      </c>
      <c r="AM334" s="146">
        <v>0</v>
      </c>
      <c r="AN334" s="146">
        <v>5</v>
      </c>
      <c r="AO334" s="146">
        <v>5</v>
      </c>
      <c r="AP334" s="146">
        <v>5</v>
      </c>
      <c r="AQ334" s="146">
        <v>5</v>
      </c>
      <c r="AR334" s="146">
        <v>0</v>
      </c>
      <c r="AS334" s="146">
        <v>0</v>
      </c>
      <c r="AT334" s="146">
        <v>0</v>
      </c>
      <c r="AU334" s="146">
        <v>0</v>
      </c>
      <c r="AV334" s="146">
        <v>0</v>
      </c>
      <c r="AW334" s="146">
        <v>0</v>
      </c>
      <c r="AX334" s="146">
        <f t="shared" si="44"/>
        <v>7702</v>
      </c>
      <c r="AY334" s="146">
        <f t="shared" si="45"/>
        <v>7702</v>
      </c>
      <c r="AZ334" s="140" t="s">
        <v>562</v>
      </c>
      <c r="BA334" s="140" t="s">
        <v>562</v>
      </c>
      <c r="BB334" s="137">
        <v>13</v>
      </c>
      <c r="BC334" s="187">
        <v>330</v>
      </c>
      <c r="BD334" s="149"/>
      <c r="BE334" s="145"/>
      <c r="BF334" s="150"/>
      <c r="BG334" s="188">
        <v>46195</v>
      </c>
      <c r="BH334" s="153" t="s">
        <v>15</v>
      </c>
      <c r="BI334" s="153" t="s">
        <v>562</v>
      </c>
    </row>
    <row r="335" spans="1:705" s="16" customFormat="1" ht="44.1" customHeight="1" x14ac:dyDescent="0.3">
      <c r="A335" s="200">
        <v>331</v>
      </c>
      <c r="B335" s="62">
        <v>242597</v>
      </c>
      <c r="C335" s="62">
        <v>331</v>
      </c>
      <c r="D335" s="63">
        <v>45994</v>
      </c>
      <c r="E335" s="63">
        <f t="shared" si="43"/>
        <v>45993</v>
      </c>
      <c r="F335" s="63">
        <f t="shared" si="47"/>
        <v>46004</v>
      </c>
      <c r="G335" s="63">
        <v>46084</v>
      </c>
      <c r="H335" s="63">
        <f ca="1">TODAY()</f>
        <v>46277</v>
      </c>
      <c r="I335" s="63" t="s">
        <v>349</v>
      </c>
      <c r="J335" s="64" t="s">
        <v>759</v>
      </c>
      <c r="K335" s="65">
        <f t="shared" si="46"/>
        <v>80</v>
      </c>
      <c r="L335" s="65">
        <v>1175490</v>
      </c>
      <c r="M335" s="64" t="s">
        <v>77</v>
      </c>
      <c r="N335" s="64">
        <v>810952</v>
      </c>
      <c r="O335" s="253" t="s">
        <v>1462</v>
      </c>
      <c r="P335" s="103">
        <v>46033</v>
      </c>
      <c r="Q335" s="103">
        <v>46198</v>
      </c>
      <c r="R335" s="73" t="s">
        <v>211</v>
      </c>
      <c r="S335" s="66" t="s">
        <v>306</v>
      </c>
      <c r="T335" s="67">
        <v>1</v>
      </c>
      <c r="U335" s="75" t="s">
        <v>82</v>
      </c>
      <c r="V335" s="68">
        <v>60</v>
      </c>
      <c r="W335" s="68"/>
      <c r="X335" s="69">
        <v>1</v>
      </c>
      <c r="Y335" s="68"/>
      <c r="Z335" s="68">
        <v>0</v>
      </c>
      <c r="AA335" s="68">
        <v>0</v>
      </c>
      <c r="AB335" s="68">
        <v>0</v>
      </c>
      <c r="AC335" s="68"/>
      <c r="AD335" s="68">
        <v>0</v>
      </c>
      <c r="AE335" s="68">
        <v>0</v>
      </c>
      <c r="AF335" s="68">
        <v>0</v>
      </c>
      <c r="AG335" s="68">
        <v>0</v>
      </c>
      <c r="AH335" s="68">
        <v>1</v>
      </c>
      <c r="AI335" s="68"/>
      <c r="AJ335" s="68">
        <v>0</v>
      </c>
      <c r="AK335" s="68">
        <v>0</v>
      </c>
      <c r="AL335" s="68">
        <v>1</v>
      </c>
      <c r="AM335" s="68"/>
      <c r="AN335" s="68">
        <v>3</v>
      </c>
      <c r="AO335" s="68"/>
      <c r="AP335" s="68">
        <v>3</v>
      </c>
      <c r="AQ335" s="68"/>
      <c r="AR335" s="68">
        <v>0</v>
      </c>
      <c r="AS335" s="68">
        <v>0</v>
      </c>
      <c r="AT335" s="68">
        <v>0</v>
      </c>
      <c r="AU335" s="68">
        <v>0</v>
      </c>
      <c r="AV335" s="68">
        <v>0</v>
      </c>
      <c r="AW335" s="68">
        <v>0</v>
      </c>
      <c r="AX335" s="146">
        <f t="shared" si="44"/>
        <v>6510</v>
      </c>
      <c r="AY335" s="146">
        <f t="shared" si="45"/>
        <v>0</v>
      </c>
      <c r="AZ335" s="64" t="s">
        <v>77</v>
      </c>
      <c r="BA335" s="64" t="s">
        <v>77</v>
      </c>
      <c r="BB335" s="15" t="s">
        <v>77</v>
      </c>
      <c r="BC335" s="74">
        <v>331</v>
      </c>
      <c r="BD335" s="70"/>
      <c r="BE335" s="67"/>
      <c r="BF335" s="71"/>
      <c r="BG335" s="15"/>
      <c r="BH335" s="72" t="s">
        <v>77</v>
      </c>
      <c r="BI335" s="72" t="s">
        <v>77</v>
      </c>
    </row>
    <row r="336" spans="1:705" s="16" customFormat="1" ht="44.1" customHeight="1" x14ac:dyDescent="0.3">
      <c r="A336" s="200">
        <v>332</v>
      </c>
      <c r="B336" s="62">
        <v>242600</v>
      </c>
      <c r="C336" s="62">
        <v>332</v>
      </c>
      <c r="D336" s="63">
        <v>45994</v>
      </c>
      <c r="E336" s="63">
        <f t="shared" si="43"/>
        <v>45993</v>
      </c>
      <c r="F336" s="63">
        <f t="shared" si="47"/>
        <v>46004</v>
      </c>
      <c r="G336" s="63">
        <v>46084</v>
      </c>
      <c r="H336" s="63">
        <f ca="1">TODAY()</f>
        <v>46277</v>
      </c>
      <c r="I336" s="63" t="s">
        <v>349</v>
      </c>
      <c r="J336" s="64" t="s">
        <v>760</v>
      </c>
      <c r="K336" s="65">
        <f t="shared" si="46"/>
        <v>80</v>
      </c>
      <c r="L336" s="65">
        <v>1175497</v>
      </c>
      <c r="M336" s="64" t="s">
        <v>77</v>
      </c>
      <c r="N336" s="64">
        <v>810953</v>
      </c>
      <c r="O336" s="253" t="s">
        <v>1462</v>
      </c>
      <c r="P336" s="103">
        <v>46034</v>
      </c>
      <c r="Q336" s="103">
        <v>46198</v>
      </c>
      <c r="R336" s="73" t="s">
        <v>211</v>
      </c>
      <c r="S336" s="66" t="s">
        <v>761</v>
      </c>
      <c r="T336" s="67">
        <v>1</v>
      </c>
      <c r="U336" s="75" t="s">
        <v>82</v>
      </c>
      <c r="V336" s="68">
        <v>82</v>
      </c>
      <c r="W336" s="68"/>
      <c r="X336" s="69">
        <v>1</v>
      </c>
      <c r="Y336" s="68"/>
      <c r="Z336" s="68">
        <v>0</v>
      </c>
      <c r="AA336" s="68">
        <v>0</v>
      </c>
      <c r="AB336" s="68">
        <v>0</v>
      </c>
      <c r="AC336" s="68"/>
      <c r="AD336" s="68">
        <v>0</v>
      </c>
      <c r="AE336" s="68">
        <v>0</v>
      </c>
      <c r="AF336" s="68">
        <v>0</v>
      </c>
      <c r="AG336" s="68">
        <v>0</v>
      </c>
      <c r="AH336" s="68">
        <v>1</v>
      </c>
      <c r="AI336" s="68"/>
      <c r="AJ336" s="68">
        <v>0</v>
      </c>
      <c r="AK336" s="68">
        <v>0</v>
      </c>
      <c r="AL336" s="68">
        <v>1</v>
      </c>
      <c r="AM336" s="68"/>
      <c r="AN336" s="68">
        <v>7</v>
      </c>
      <c r="AO336" s="68"/>
      <c r="AP336" s="68">
        <v>5</v>
      </c>
      <c r="AQ336" s="68"/>
      <c r="AR336" s="68">
        <v>0</v>
      </c>
      <c r="AS336" s="68">
        <v>0</v>
      </c>
      <c r="AT336" s="68">
        <v>0</v>
      </c>
      <c r="AU336" s="68">
        <v>0</v>
      </c>
      <c r="AV336" s="68">
        <v>0</v>
      </c>
      <c r="AW336" s="68">
        <v>0</v>
      </c>
      <c r="AX336" s="146">
        <f t="shared" si="44"/>
        <v>9330</v>
      </c>
      <c r="AY336" s="146">
        <f t="shared" si="45"/>
        <v>0</v>
      </c>
      <c r="AZ336" s="64" t="s">
        <v>77</v>
      </c>
      <c r="BA336" s="64" t="s">
        <v>77</v>
      </c>
      <c r="BB336" s="15" t="s">
        <v>77</v>
      </c>
      <c r="BC336" s="74">
        <v>332</v>
      </c>
      <c r="BD336" s="70"/>
      <c r="BE336" s="67"/>
      <c r="BF336" s="71"/>
      <c r="BG336" s="15"/>
      <c r="BH336" s="72" t="s">
        <v>77</v>
      </c>
      <c r="BI336" s="72" t="s">
        <v>77</v>
      </c>
    </row>
    <row r="337" spans="1:63" s="16" customFormat="1" ht="44.1" customHeight="1" x14ac:dyDescent="0.3">
      <c r="A337" s="200">
        <v>333</v>
      </c>
      <c r="B337" s="62">
        <v>242601</v>
      </c>
      <c r="C337" s="62">
        <v>333</v>
      </c>
      <c r="D337" s="63">
        <v>45994</v>
      </c>
      <c r="E337" s="63">
        <f t="shared" si="43"/>
        <v>45993</v>
      </c>
      <c r="F337" s="63">
        <f t="shared" si="47"/>
        <v>46004</v>
      </c>
      <c r="G337" s="63">
        <v>46084</v>
      </c>
      <c r="H337" s="63">
        <f ca="1">TODAY()</f>
        <v>46277</v>
      </c>
      <c r="I337" s="63" t="s">
        <v>349</v>
      </c>
      <c r="J337" s="64" t="s">
        <v>762</v>
      </c>
      <c r="K337" s="65">
        <f t="shared" si="46"/>
        <v>80</v>
      </c>
      <c r="L337" s="65">
        <v>1175504</v>
      </c>
      <c r="M337" s="64" t="s">
        <v>77</v>
      </c>
      <c r="N337" s="64">
        <v>810953</v>
      </c>
      <c r="O337" s="253" t="s">
        <v>1462</v>
      </c>
      <c r="P337" s="103">
        <v>46034</v>
      </c>
      <c r="Q337" s="103">
        <v>46198</v>
      </c>
      <c r="R337" s="73" t="s">
        <v>211</v>
      </c>
      <c r="S337" s="66" t="s">
        <v>763</v>
      </c>
      <c r="T337" s="67">
        <v>1</v>
      </c>
      <c r="U337" s="75" t="s">
        <v>82</v>
      </c>
      <c r="V337" s="68">
        <v>55</v>
      </c>
      <c r="W337" s="68"/>
      <c r="X337" s="69">
        <v>1</v>
      </c>
      <c r="Y337" s="68"/>
      <c r="Z337" s="68">
        <v>0</v>
      </c>
      <c r="AA337" s="68">
        <v>0</v>
      </c>
      <c r="AB337" s="68">
        <v>0</v>
      </c>
      <c r="AC337" s="68"/>
      <c r="AD337" s="68">
        <v>0</v>
      </c>
      <c r="AE337" s="68">
        <v>0</v>
      </c>
      <c r="AF337" s="68">
        <v>0</v>
      </c>
      <c r="AG337" s="68">
        <v>0</v>
      </c>
      <c r="AH337" s="68">
        <v>1</v>
      </c>
      <c r="AI337" s="68"/>
      <c r="AJ337" s="68">
        <v>0</v>
      </c>
      <c r="AK337" s="68">
        <v>0</v>
      </c>
      <c r="AL337" s="68">
        <v>2</v>
      </c>
      <c r="AM337" s="68"/>
      <c r="AN337" s="68">
        <v>2</v>
      </c>
      <c r="AO337" s="68"/>
      <c r="AP337" s="68">
        <v>1</v>
      </c>
      <c r="AQ337" s="68"/>
      <c r="AR337" s="68">
        <v>0</v>
      </c>
      <c r="AS337" s="68">
        <v>0</v>
      </c>
      <c r="AT337" s="68">
        <v>0</v>
      </c>
      <c r="AU337" s="68">
        <v>0</v>
      </c>
      <c r="AV337" s="68">
        <v>0</v>
      </c>
      <c r="AW337" s="68">
        <v>0</v>
      </c>
      <c r="AX337" s="146">
        <f t="shared" si="44"/>
        <v>5480</v>
      </c>
      <c r="AY337" s="146">
        <f t="shared" si="45"/>
        <v>0</v>
      </c>
      <c r="AZ337" s="64" t="s">
        <v>77</v>
      </c>
      <c r="BA337" s="64" t="s">
        <v>77</v>
      </c>
      <c r="BB337" s="15" t="s">
        <v>77</v>
      </c>
      <c r="BC337" s="74">
        <v>333</v>
      </c>
      <c r="BD337" s="70"/>
      <c r="BE337" s="67"/>
      <c r="BF337" s="71"/>
      <c r="BG337" s="15"/>
      <c r="BH337" s="72" t="s">
        <v>77</v>
      </c>
      <c r="BI337" s="72" t="s">
        <v>77</v>
      </c>
    </row>
    <row r="338" spans="1:63" s="16" customFormat="1" ht="44.1" hidden="1" customHeight="1" x14ac:dyDescent="0.3">
      <c r="A338" s="200">
        <v>334</v>
      </c>
      <c r="B338" s="138">
        <v>242621</v>
      </c>
      <c r="C338" s="138">
        <v>334</v>
      </c>
      <c r="D338" s="139">
        <v>45995</v>
      </c>
      <c r="E338" s="139">
        <f t="shared" si="43"/>
        <v>45994</v>
      </c>
      <c r="F338" s="139">
        <f t="shared" si="47"/>
        <v>46005</v>
      </c>
      <c r="G338" s="139">
        <v>46005</v>
      </c>
      <c r="H338" s="139">
        <v>46007</v>
      </c>
      <c r="I338" s="139" t="s">
        <v>123</v>
      </c>
      <c r="J338" s="140" t="s">
        <v>764</v>
      </c>
      <c r="K338" s="141">
        <f>H338-F338</f>
        <v>2</v>
      </c>
      <c r="L338" s="141">
        <v>1175767</v>
      </c>
      <c r="M338" s="140" t="s">
        <v>15</v>
      </c>
      <c r="N338" s="140">
        <v>806346</v>
      </c>
      <c r="O338" s="140" t="s">
        <v>246</v>
      </c>
      <c r="P338" s="143">
        <v>45970</v>
      </c>
      <c r="Q338" s="143">
        <v>46135</v>
      </c>
      <c r="R338" s="185" t="s">
        <v>211</v>
      </c>
      <c r="S338" s="144" t="s">
        <v>419</v>
      </c>
      <c r="T338" s="145">
        <v>1</v>
      </c>
      <c r="U338" s="186" t="s">
        <v>264</v>
      </c>
      <c r="V338" s="146">
        <v>10</v>
      </c>
      <c r="W338" s="146">
        <v>10</v>
      </c>
      <c r="X338" s="147">
        <v>0</v>
      </c>
      <c r="Y338" s="146">
        <v>0</v>
      </c>
      <c r="Z338" s="146">
        <v>0</v>
      </c>
      <c r="AA338" s="146">
        <v>0</v>
      </c>
      <c r="AB338" s="146">
        <v>0</v>
      </c>
      <c r="AC338" s="146"/>
      <c r="AD338" s="146">
        <v>0</v>
      </c>
      <c r="AE338" s="146">
        <v>0</v>
      </c>
      <c r="AF338" s="146">
        <v>0</v>
      </c>
      <c r="AG338" s="146">
        <v>0</v>
      </c>
      <c r="AH338" s="146">
        <v>1</v>
      </c>
      <c r="AI338" s="146">
        <v>1</v>
      </c>
      <c r="AJ338" s="146">
        <v>0</v>
      </c>
      <c r="AK338" s="146">
        <v>0</v>
      </c>
      <c r="AL338" s="146">
        <v>0</v>
      </c>
      <c r="AM338" s="146"/>
      <c r="AN338" s="146">
        <v>0</v>
      </c>
      <c r="AO338" s="146"/>
      <c r="AP338" s="146">
        <v>1</v>
      </c>
      <c r="AQ338" s="146">
        <v>1</v>
      </c>
      <c r="AR338" s="146">
        <v>0</v>
      </c>
      <c r="AS338" s="146">
        <v>0</v>
      </c>
      <c r="AT338" s="146">
        <v>1</v>
      </c>
      <c r="AU338" s="146">
        <v>1</v>
      </c>
      <c r="AV338" s="146">
        <v>0</v>
      </c>
      <c r="AW338" s="146">
        <v>0</v>
      </c>
      <c r="AX338" s="146">
        <f t="shared" ref="AX338:AX369" si="48">(V338*60)+(X338*80)+(Z338*38)+(AB338*57)+(AD338*75)+(AF338*155)+(AH338*170)+(AJ338*375)+(AL338*590)+(AN338*60)+(AP338*630)+(AR338*400)+(AT338*350)+(AV338*950)</f>
        <v>1750</v>
      </c>
      <c r="AY338" s="146">
        <f t="shared" si="45"/>
        <v>1750</v>
      </c>
      <c r="AZ338" s="140" t="s">
        <v>562</v>
      </c>
      <c r="BA338" s="140" t="s">
        <v>562</v>
      </c>
      <c r="BB338" s="137">
        <v>7</v>
      </c>
      <c r="BC338" s="187">
        <v>334</v>
      </c>
      <c r="BD338" s="149"/>
      <c r="BE338" s="145"/>
      <c r="BF338" s="150"/>
      <c r="BG338" s="188">
        <v>45992</v>
      </c>
      <c r="BH338" s="153" t="s">
        <v>15</v>
      </c>
      <c r="BI338" s="153" t="s">
        <v>562</v>
      </c>
    </row>
    <row r="339" spans="1:63" s="16" customFormat="1" ht="44.1" hidden="1" customHeight="1" x14ac:dyDescent="0.3">
      <c r="A339" s="200">
        <v>335</v>
      </c>
      <c r="B339" s="138">
        <v>242624</v>
      </c>
      <c r="C339" s="138">
        <v>335</v>
      </c>
      <c r="D339" s="139">
        <v>45995</v>
      </c>
      <c r="E339" s="139">
        <f t="shared" si="43"/>
        <v>45994</v>
      </c>
      <c r="F339" s="139">
        <f t="shared" si="47"/>
        <v>46005</v>
      </c>
      <c r="G339" s="139">
        <v>46056</v>
      </c>
      <c r="H339" s="139">
        <v>46020</v>
      </c>
      <c r="I339" s="139" t="s">
        <v>123</v>
      </c>
      <c r="J339" s="140" t="s">
        <v>765</v>
      </c>
      <c r="K339" s="141">
        <f t="shared" ref="K339:K402" si="49">G339-F339</f>
        <v>51</v>
      </c>
      <c r="L339" s="141">
        <v>1175776</v>
      </c>
      <c r="M339" s="140" t="s">
        <v>15</v>
      </c>
      <c r="N339" s="140">
        <v>810941</v>
      </c>
      <c r="O339" s="137" t="s">
        <v>246</v>
      </c>
      <c r="P339" s="143">
        <v>46008</v>
      </c>
      <c r="Q339" s="143">
        <v>46184</v>
      </c>
      <c r="R339" s="185" t="s">
        <v>211</v>
      </c>
      <c r="S339" s="144" t="s">
        <v>766</v>
      </c>
      <c r="T339" s="145">
        <v>1</v>
      </c>
      <c r="U339" s="186" t="s">
        <v>82</v>
      </c>
      <c r="V339" s="146">
        <v>30</v>
      </c>
      <c r="W339" s="146">
        <v>30</v>
      </c>
      <c r="X339" s="147">
        <v>0</v>
      </c>
      <c r="Y339" s="146">
        <v>0</v>
      </c>
      <c r="Z339" s="146">
        <v>0</v>
      </c>
      <c r="AA339" s="146">
        <v>0</v>
      </c>
      <c r="AB339" s="146">
        <v>12</v>
      </c>
      <c r="AC339" s="146">
        <v>12</v>
      </c>
      <c r="AD339" s="146">
        <v>0</v>
      </c>
      <c r="AE339" s="146">
        <v>0</v>
      </c>
      <c r="AF339" s="146">
        <v>0</v>
      </c>
      <c r="AG339" s="146">
        <v>0</v>
      </c>
      <c r="AH339" s="146">
        <v>1</v>
      </c>
      <c r="AI339" s="146">
        <v>1</v>
      </c>
      <c r="AJ339" s="146">
        <v>0</v>
      </c>
      <c r="AK339" s="146">
        <v>0</v>
      </c>
      <c r="AL339" s="146">
        <v>1</v>
      </c>
      <c r="AM339" s="146">
        <v>1</v>
      </c>
      <c r="AN339" s="146">
        <v>1</v>
      </c>
      <c r="AO339" s="146">
        <v>1</v>
      </c>
      <c r="AP339" s="146">
        <v>1</v>
      </c>
      <c r="AQ339" s="146">
        <v>1</v>
      </c>
      <c r="AR339" s="146">
        <v>0</v>
      </c>
      <c r="AS339" s="146">
        <v>0</v>
      </c>
      <c r="AT339" s="146">
        <v>1</v>
      </c>
      <c r="AU339" s="146">
        <v>1</v>
      </c>
      <c r="AV339" s="146">
        <v>0</v>
      </c>
      <c r="AW339" s="146">
        <v>0</v>
      </c>
      <c r="AX339" s="146">
        <f t="shared" si="48"/>
        <v>4284</v>
      </c>
      <c r="AY339" s="146">
        <f t="shared" si="45"/>
        <v>4284</v>
      </c>
      <c r="AZ339" s="140" t="s">
        <v>562</v>
      </c>
      <c r="BA339" s="140" t="s">
        <v>562</v>
      </c>
      <c r="BB339" s="137">
        <v>6</v>
      </c>
      <c r="BC339" s="187">
        <v>335</v>
      </c>
      <c r="BD339" s="149"/>
      <c r="BE339" s="145"/>
      <c r="BF339" s="150"/>
      <c r="BG339" s="188">
        <v>45992</v>
      </c>
      <c r="BH339" s="153" t="s">
        <v>15</v>
      </c>
      <c r="BI339" s="153" t="s">
        <v>562</v>
      </c>
    </row>
    <row r="340" spans="1:63" s="3" customFormat="1" ht="44.1" customHeight="1" x14ac:dyDescent="0.3">
      <c r="A340" s="201">
        <v>336</v>
      </c>
      <c r="B340" s="163">
        <v>242685</v>
      </c>
      <c r="C340" s="163">
        <v>336</v>
      </c>
      <c r="D340" s="164">
        <v>46071</v>
      </c>
      <c r="E340" s="164">
        <f t="shared" si="43"/>
        <v>46070</v>
      </c>
      <c r="F340" s="164">
        <f t="shared" si="47"/>
        <v>46081</v>
      </c>
      <c r="G340" s="164">
        <v>46161</v>
      </c>
      <c r="H340" s="164">
        <v>46250</v>
      </c>
      <c r="I340" s="164" t="s">
        <v>349</v>
      </c>
      <c r="J340" s="165" t="s">
        <v>767</v>
      </c>
      <c r="K340" s="166">
        <f t="shared" si="49"/>
        <v>80</v>
      </c>
      <c r="L340" s="166">
        <v>1176555</v>
      </c>
      <c r="M340" s="162" t="s">
        <v>15</v>
      </c>
      <c r="N340" s="165">
        <v>818860</v>
      </c>
      <c r="O340" s="165" t="s">
        <v>246</v>
      </c>
      <c r="P340" s="167">
        <v>46096</v>
      </c>
      <c r="Q340" s="167">
        <v>46276</v>
      </c>
      <c r="R340" s="179" t="s">
        <v>1235</v>
      </c>
      <c r="S340" s="168" t="s">
        <v>768</v>
      </c>
      <c r="T340" s="169">
        <v>1</v>
      </c>
      <c r="U340" s="180" t="s">
        <v>82</v>
      </c>
      <c r="V340" s="170">
        <v>159</v>
      </c>
      <c r="W340" s="170">
        <v>159</v>
      </c>
      <c r="X340" s="171">
        <v>0</v>
      </c>
      <c r="Y340" s="170">
        <v>0</v>
      </c>
      <c r="Z340" s="170">
        <v>0</v>
      </c>
      <c r="AA340" s="170">
        <v>0</v>
      </c>
      <c r="AB340" s="170">
        <v>120</v>
      </c>
      <c r="AC340" s="170">
        <v>120</v>
      </c>
      <c r="AD340" s="170">
        <v>22</v>
      </c>
      <c r="AE340" s="170">
        <v>22</v>
      </c>
      <c r="AF340" s="170">
        <v>0</v>
      </c>
      <c r="AG340" s="170">
        <v>0</v>
      </c>
      <c r="AH340" s="170">
        <v>1</v>
      </c>
      <c r="AI340" s="170">
        <v>1</v>
      </c>
      <c r="AJ340" s="170">
        <v>0</v>
      </c>
      <c r="AK340" s="170">
        <v>0</v>
      </c>
      <c r="AL340" s="170">
        <v>1</v>
      </c>
      <c r="AM340" s="170">
        <v>1</v>
      </c>
      <c r="AN340" s="170">
        <v>1</v>
      </c>
      <c r="AO340" s="170">
        <v>1</v>
      </c>
      <c r="AP340" s="170">
        <v>3</v>
      </c>
      <c r="AQ340" s="170">
        <v>3</v>
      </c>
      <c r="AR340" s="170">
        <v>0</v>
      </c>
      <c r="AS340" s="170">
        <v>0</v>
      </c>
      <c r="AT340" s="170">
        <v>1</v>
      </c>
      <c r="AU340" s="170">
        <v>1</v>
      </c>
      <c r="AV340" s="170">
        <v>0</v>
      </c>
      <c r="AW340" s="170">
        <v>0</v>
      </c>
      <c r="AX340" s="170">
        <f t="shared" si="48"/>
        <v>21090</v>
      </c>
      <c r="AY340" s="170">
        <f t="shared" si="45"/>
        <v>21090</v>
      </c>
      <c r="AZ340" s="165" t="s">
        <v>15</v>
      </c>
      <c r="BA340" s="165" t="s">
        <v>77</v>
      </c>
      <c r="BB340" s="162" t="s">
        <v>77</v>
      </c>
      <c r="BC340" s="181">
        <v>336</v>
      </c>
      <c r="BD340" s="173"/>
      <c r="BE340" s="169"/>
      <c r="BF340" s="174"/>
      <c r="BG340" s="178">
        <v>46244</v>
      </c>
      <c r="BH340" s="175" t="s">
        <v>77</v>
      </c>
      <c r="BI340" s="175" t="s">
        <v>77</v>
      </c>
    </row>
    <row r="341" spans="1:63" s="16" customFormat="1" ht="44.1" hidden="1" customHeight="1" x14ac:dyDescent="0.3">
      <c r="A341" s="200">
        <v>337</v>
      </c>
      <c r="B341" s="138">
        <v>242784</v>
      </c>
      <c r="C341" s="136">
        <v>337</v>
      </c>
      <c r="D341" s="139">
        <v>45999</v>
      </c>
      <c r="E341" s="139">
        <f t="shared" si="43"/>
        <v>45998</v>
      </c>
      <c r="F341" s="139">
        <f t="shared" si="47"/>
        <v>46009</v>
      </c>
      <c r="G341" s="139">
        <v>46089</v>
      </c>
      <c r="H341" s="139">
        <v>46190</v>
      </c>
      <c r="I341" s="139" t="s">
        <v>321</v>
      </c>
      <c r="J341" s="140" t="s">
        <v>769</v>
      </c>
      <c r="K341" s="141">
        <f t="shared" si="49"/>
        <v>80</v>
      </c>
      <c r="L341" s="141">
        <v>1177256</v>
      </c>
      <c r="M341" s="140" t="s">
        <v>15</v>
      </c>
      <c r="N341" s="140">
        <v>809907</v>
      </c>
      <c r="O341" s="137" t="s">
        <v>246</v>
      </c>
      <c r="P341" s="143">
        <v>46034</v>
      </c>
      <c r="Q341" s="143">
        <v>46198</v>
      </c>
      <c r="R341" s="185" t="s">
        <v>1351</v>
      </c>
      <c r="S341" s="144" t="s">
        <v>770</v>
      </c>
      <c r="T341" s="145">
        <v>1</v>
      </c>
      <c r="U341" s="186" t="s">
        <v>82</v>
      </c>
      <c r="V341" s="146">
        <v>190</v>
      </c>
      <c r="W341" s="146">
        <v>190</v>
      </c>
      <c r="X341" s="147">
        <v>0</v>
      </c>
      <c r="Y341" s="146">
        <v>0</v>
      </c>
      <c r="Z341" s="146">
        <v>0</v>
      </c>
      <c r="AA341" s="146">
        <v>0</v>
      </c>
      <c r="AB341" s="146">
        <v>190</v>
      </c>
      <c r="AC341" s="146">
        <v>190</v>
      </c>
      <c r="AD341" s="146">
        <v>0</v>
      </c>
      <c r="AE341" s="146">
        <v>0</v>
      </c>
      <c r="AF341" s="146">
        <v>0</v>
      </c>
      <c r="AG341" s="146">
        <v>0</v>
      </c>
      <c r="AH341" s="146">
        <v>1</v>
      </c>
      <c r="AI341" s="146">
        <v>1</v>
      </c>
      <c r="AJ341" s="146">
        <v>0</v>
      </c>
      <c r="AK341" s="146">
        <v>0</v>
      </c>
      <c r="AL341" s="146">
        <v>0</v>
      </c>
      <c r="AM341" s="146">
        <v>0</v>
      </c>
      <c r="AN341" s="146">
        <v>1</v>
      </c>
      <c r="AO341" s="146">
        <v>1</v>
      </c>
      <c r="AP341" s="146">
        <v>2</v>
      </c>
      <c r="AQ341" s="146">
        <v>2</v>
      </c>
      <c r="AR341" s="146">
        <v>0</v>
      </c>
      <c r="AS341" s="146">
        <v>0</v>
      </c>
      <c r="AT341" s="146">
        <v>1</v>
      </c>
      <c r="AU341" s="146">
        <v>1</v>
      </c>
      <c r="AV341" s="146">
        <v>0</v>
      </c>
      <c r="AW341" s="146">
        <v>0</v>
      </c>
      <c r="AX341" s="146">
        <f t="shared" si="48"/>
        <v>24070</v>
      </c>
      <c r="AY341" s="146">
        <f t="shared" si="45"/>
        <v>24070</v>
      </c>
      <c r="AZ341" s="140" t="s">
        <v>562</v>
      </c>
      <c r="BA341" s="140" t="s">
        <v>562</v>
      </c>
      <c r="BB341" s="137">
        <v>12</v>
      </c>
      <c r="BC341" s="187">
        <v>337</v>
      </c>
      <c r="BD341" s="149"/>
      <c r="BE341" s="145"/>
      <c r="BF341" s="150"/>
      <c r="BG341" s="188">
        <v>46183</v>
      </c>
      <c r="BH341" s="153" t="s">
        <v>15</v>
      </c>
      <c r="BI341" s="153" t="s">
        <v>562</v>
      </c>
    </row>
    <row r="342" spans="1:63" s="16" customFormat="1" ht="44.1" hidden="1" customHeight="1" x14ac:dyDescent="0.3">
      <c r="A342" s="200">
        <v>338</v>
      </c>
      <c r="B342" s="138">
        <v>242789</v>
      </c>
      <c r="C342" s="136">
        <v>338</v>
      </c>
      <c r="D342" s="139">
        <v>45999</v>
      </c>
      <c r="E342" s="139">
        <f t="shared" si="43"/>
        <v>45998</v>
      </c>
      <c r="F342" s="139">
        <f t="shared" si="47"/>
        <v>46009</v>
      </c>
      <c r="G342" s="139">
        <v>46089</v>
      </c>
      <c r="H342" s="139">
        <v>46131</v>
      </c>
      <c r="I342" s="139" t="s">
        <v>321</v>
      </c>
      <c r="J342" s="140" t="s">
        <v>771</v>
      </c>
      <c r="K342" s="141">
        <f t="shared" si="49"/>
        <v>80</v>
      </c>
      <c r="L342" s="141">
        <v>1177262</v>
      </c>
      <c r="M342" s="140" t="s">
        <v>15</v>
      </c>
      <c r="N342" s="140">
        <v>810730</v>
      </c>
      <c r="O342" s="137" t="s">
        <v>246</v>
      </c>
      <c r="P342" s="143">
        <v>46029</v>
      </c>
      <c r="Q342" s="143">
        <v>46198</v>
      </c>
      <c r="R342" s="185" t="s">
        <v>211</v>
      </c>
      <c r="S342" s="144" t="s">
        <v>772</v>
      </c>
      <c r="T342" s="145">
        <v>1</v>
      </c>
      <c r="U342" s="186" t="s">
        <v>773</v>
      </c>
      <c r="V342" s="146">
        <v>30</v>
      </c>
      <c r="W342" s="146">
        <v>30</v>
      </c>
      <c r="X342" s="147">
        <v>0</v>
      </c>
      <c r="Y342" s="146">
        <v>0</v>
      </c>
      <c r="Z342" s="146">
        <v>0</v>
      </c>
      <c r="AA342" s="146">
        <v>0</v>
      </c>
      <c r="AB342" s="146">
        <v>25</v>
      </c>
      <c r="AC342" s="146">
        <v>25</v>
      </c>
      <c r="AD342" s="146">
        <v>0</v>
      </c>
      <c r="AE342" s="146">
        <v>0</v>
      </c>
      <c r="AF342" s="146">
        <v>0</v>
      </c>
      <c r="AG342" s="146">
        <v>0</v>
      </c>
      <c r="AH342" s="146">
        <v>1</v>
      </c>
      <c r="AI342" s="146">
        <v>1</v>
      </c>
      <c r="AJ342" s="146">
        <v>0</v>
      </c>
      <c r="AK342" s="146">
        <v>0</v>
      </c>
      <c r="AL342" s="146">
        <v>0</v>
      </c>
      <c r="AM342" s="146">
        <v>0</v>
      </c>
      <c r="AN342" s="146">
        <v>3</v>
      </c>
      <c r="AO342" s="146">
        <v>3</v>
      </c>
      <c r="AP342" s="146">
        <v>3</v>
      </c>
      <c r="AQ342" s="146">
        <v>3</v>
      </c>
      <c r="AR342" s="146">
        <v>0</v>
      </c>
      <c r="AS342" s="146">
        <v>0</v>
      </c>
      <c r="AT342" s="146">
        <v>0</v>
      </c>
      <c r="AU342" s="146">
        <v>0</v>
      </c>
      <c r="AV342" s="146">
        <v>0</v>
      </c>
      <c r="AW342" s="146">
        <v>0</v>
      </c>
      <c r="AX342" s="146">
        <f t="shared" si="48"/>
        <v>5465</v>
      </c>
      <c r="AY342" s="146">
        <f t="shared" si="45"/>
        <v>5465</v>
      </c>
      <c r="AZ342" s="137" t="s">
        <v>562</v>
      </c>
      <c r="BA342" s="137" t="s">
        <v>562</v>
      </c>
      <c r="BB342" s="137">
        <v>11</v>
      </c>
      <c r="BC342" s="187">
        <v>338</v>
      </c>
      <c r="BD342" s="149"/>
      <c r="BE342" s="145"/>
      <c r="BF342" s="150"/>
      <c r="BG342" s="188">
        <v>46128</v>
      </c>
      <c r="BH342" s="153" t="s">
        <v>15</v>
      </c>
      <c r="BI342" s="153" t="s">
        <v>562</v>
      </c>
      <c r="BK342" s="238"/>
    </row>
    <row r="343" spans="1:63" s="16" customFormat="1" ht="44.1" hidden="1" customHeight="1" x14ac:dyDescent="0.3">
      <c r="A343" s="200">
        <v>339</v>
      </c>
      <c r="B343" s="138">
        <v>242838</v>
      </c>
      <c r="C343" s="136">
        <v>339</v>
      </c>
      <c r="D343" s="139">
        <v>45999</v>
      </c>
      <c r="E343" s="139">
        <f t="shared" si="43"/>
        <v>45998</v>
      </c>
      <c r="F343" s="139">
        <f t="shared" si="47"/>
        <v>46009</v>
      </c>
      <c r="G343" s="139">
        <v>46061</v>
      </c>
      <c r="H343" s="139">
        <v>46034</v>
      </c>
      <c r="I343" s="139" t="s">
        <v>123</v>
      </c>
      <c r="J343" s="140" t="s">
        <v>774</v>
      </c>
      <c r="K343" s="141">
        <f t="shared" si="49"/>
        <v>52</v>
      </c>
      <c r="L343" s="141">
        <v>1177400</v>
      </c>
      <c r="M343" s="140" t="s">
        <v>15</v>
      </c>
      <c r="N343" s="140">
        <v>809904</v>
      </c>
      <c r="O343" s="137" t="s">
        <v>246</v>
      </c>
      <c r="P343" s="143">
        <v>46012</v>
      </c>
      <c r="Q343" s="143">
        <v>46191</v>
      </c>
      <c r="R343" s="185" t="s">
        <v>211</v>
      </c>
      <c r="S343" s="144" t="s">
        <v>775</v>
      </c>
      <c r="T343" s="145">
        <v>1</v>
      </c>
      <c r="U343" s="186" t="s">
        <v>81</v>
      </c>
      <c r="V343" s="146">
        <v>126</v>
      </c>
      <c r="W343" s="146">
        <v>126</v>
      </c>
      <c r="X343" s="147">
        <v>0</v>
      </c>
      <c r="Y343" s="146">
        <v>0</v>
      </c>
      <c r="Z343" s="146">
        <v>0</v>
      </c>
      <c r="AA343" s="146">
        <v>0</v>
      </c>
      <c r="AB343" s="146">
        <v>73</v>
      </c>
      <c r="AC343" s="146">
        <v>73</v>
      </c>
      <c r="AD343" s="146">
        <v>0</v>
      </c>
      <c r="AE343" s="146">
        <v>0</v>
      </c>
      <c r="AF343" s="146">
        <v>0</v>
      </c>
      <c r="AG343" s="146">
        <v>0</v>
      </c>
      <c r="AH343" s="146">
        <v>1</v>
      </c>
      <c r="AI343" s="146">
        <v>1</v>
      </c>
      <c r="AJ343" s="146">
        <v>0</v>
      </c>
      <c r="AK343" s="146">
        <v>0</v>
      </c>
      <c r="AL343" s="146">
        <v>0</v>
      </c>
      <c r="AM343" s="146"/>
      <c r="AN343" s="146">
        <v>1</v>
      </c>
      <c r="AO343" s="146">
        <v>1</v>
      </c>
      <c r="AP343" s="146">
        <v>2</v>
      </c>
      <c r="AQ343" s="146">
        <v>2</v>
      </c>
      <c r="AR343" s="146">
        <v>0</v>
      </c>
      <c r="AS343" s="146">
        <v>0</v>
      </c>
      <c r="AT343" s="146">
        <v>1</v>
      </c>
      <c r="AU343" s="146">
        <v>1</v>
      </c>
      <c r="AV343" s="146">
        <v>0</v>
      </c>
      <c r="AW343" s="146">
        <v>0</v>
      </c>
      <c r="AX343" s="146">
        <f t="shared" si="48"/>
        <v>13561</v>
      </c>
      <c r="AY343" s="146">
        <f t="shared" si="45"/>
        <v>13561</v>
      </c>
      <c r="AZ343" s="140" t="s">
        <v>562</v>
      </c>
      <c r="BA343" s="140" t="s">
        <v>562</v>
      </c>
      <c r="BB343" s="137">
        <v>6</v>
      </c>
      <c r="BC343" s="187">
        <v>339</v>
      </c>
      <c r="BD343" s="149"/>
      <c r="BE343" s="145"/>
      <c r="BF343" s="150"/>
      <c r="BG343" s="188">
        <v>46023</v>
      </c>
      <c r="BH343" s="153" t="s">
        <v>15</v>
      </c>
      <c r="BI343" s="153" t="s">
        <v>562</v>
      </c>
    </row>
    <row r="344" spans="1:63" s="16" customFormat="1" ht="44.1" hidden="1" customHeight="1" x14ac:dyDescent="0.3">
      <c r="A344" s="200">
        <v>340</v>
      </c>
      <c r="B344" s="138">
        <v>242839</v>
      </c>
      <c r="C344" s="136">
        <v>340</v>
      </c>
      <c r="D344" s="139">
        <v>45999</v>
      </c>
      <c r="E344" s="139">
        <f t="shared" si="43"/>
        <v>45998</v>
      </c>
      <c r="F344" s="139">
        <f t="shared" si="47"/>
        <v>46009</v>
      </c>
      <c r="G344" s="139">
        <v>46061</v>
      </c>
      <c r="H344" s="139">
        <f t="shared" ref="H344:H352" ca="1" si="50">TODAY()</f>
        <v>46277</v>
      </c>
      <c r="I344" s="139" t="s">
        <v>123</v>
      </c>
      <c r="J344" s="140" t="s">
        <v>776</v>
      </c>
      <c r="K344" s="141">
        <f t="shared" si="49"/>
        <v>52</v>
      </c>
      <c r="L344" s="141">
        <v>1177402</v>
      </c>
      <c r="M344" s="140" t="s">
        <v>15</v>
      </c>
      <c r="N344" s="140">
        <v>809905</v>
      </c>
      <c r="O344" s="140" t="s">
        <v>246</v>
      </c>
      <c r="P344" s="143">
        <v>46022</v>
      </c>
      <c r="Q344" s="143">
        <v>46191</v>
      </c>
      <c r="R344" s="185" t="s">
        <v>211</v>
      </c>
      <c r="S344" s="144" t="s">
        <v>777</v>
      </c>
      <c r="T344" s="145">
        <v>1</v>
      </c>
      <c r="U344" s="186" t="s">
        <v>82</v>
      </c>
      <c r="V344" s="146">
        <v>544</v>
      </c>
      <c r="W344" s="146">
        <v>544</v>
      </c>
      <c r="X344" s="147">
        <v>0</v>
      </c>
      <c r="Y344" s="146">
        <v>0</v>
      </c>
      <c r="Z344" s="146">
        <v>0</v>
      </c>
      <c r="AA344" s="146">
        <v>0</v>
      </c>
      <c r="AB344" s="146">
        <v>0</v>
      </c>
      <c r="AC344" s="146"/>
      <c r="AD344" s="146">
        <v>0</v>
      </c>
      <c r="AE344" s="146">
        <v>0</v>
      </c>
      <c r="AF344" s="146">
        <v>0</v>
      </c>
      <c r="AG344" s="146">
        <v>0</v>
      </c>
      <c r="AH344" s="146">
        <v>1</v>
      </c>
      <c r="AI344" s="146">
        <v>1</v>
      </c>
      <c r="AJ344" s="146">
        <v>0</v>
      </c>
      <c r="AK344" s="146">
        <v>0</v>
      </c>
      <c r="AL344" s="146">
        <v>3</v>
      </c>
      <c r="AM344" s="146">
        <v>3</v>
      </c>
      <c r="AN344" s="146">
        <v>1</v>
      </c>
      <c r="AO344" s="146">
        <v>1</v>
      </c>
      <c r="AP344" s="146">
        <v>1</v>
      </c>
      <c r="AQ344" s="146">
        <v>1</v>
      </c>
      <c r="AR344" s="146">
        <v>0</v>
      </c>
      <c r="AS344" s="146">
        <v>0</v>
      </c>
      <c r="AT344" s="146">
        <v>1</v>
      </c>
      <c r="AU344" s="146">
        <v>1</v>
      </c>
      <c r="AV344" s="146">
        <v>0</v>
      </c>
      <c r="AW344" s="146">
        <v>0</v>
      </c>
      <c r="AX344" s="146">
        <f t="shared" si="48"/>
        <v>35620</v>
      </c>
      <c r="AY344" s="146">
        <f t="shared" si="45"/>
        <v>35620</v>
      </c>
      <c r="AZ344" s="140" t="s">
        <v>562</v>
      </c>
      <c r="BA344" s="140" t="s">
        <v>562</v>
      </c>
      <c r="BB344" s="137">
        <v>6</v>
      </c>
      <c r="BC344" s="187">
        <v>340</v>
      </c>
      <c r="BD344" s="149"/>
      <c r="BE344" s="145"/>
      <c r="BF344" s="150"/>
      <c r="BG344" s="188">
        <v>46023</v>
      </c>
      <c r="BH344" s="153" t="s">
        <v>15</v>
      </c>
      <c r="BI344" s="153" t="s">
        <v>562</v>
      </c>
    </row>
    <row r="345" spans="1:63" s="16" customFormat="1" ht="44.1" customHeight="1" x14ac:dyDescent="0.3">
      <c r="A345" s="200">
        <v>341</v>
      </c>
      <c r="B345" s="62">
        <v>242890</v>
      </c>
      <c r="C345" s="62">
        <v>341</v>
      </c>
      <c r="D345" s="63">
        <v>46000</v>
      </c>
      <c r="E345" s="63">
        <f t="shared" si="43"/>
        <v>45999</v>
      </c>
      <c r="F345" s="63">
        <f t="shared" si="47"/>
        <v>46010</v>
      </c>
      <c r="G345" s="63">
        <v>46089</v>
      </c>
      <c r="H345" s="63">
        <f t="shared" ca="1" si="50"/>
        <v>46277</v>
      </c>
      <c r="I345" s="63" t="s">
        <v>349</v>
      </c>
      <c r="J345" s="64" t="s">
        <v>778</v>
      </c>
      <c r="K345" s="65">
        <f t="shared" si="49"/>
        <v>79</v>
      </c>
      <c r="L345" s="65">
        <v>1177758</v>
      </c>
      <c r="M345" s="64" t="s">
        <v>77</v>
      </c>
      <c r="N345" s="64">
        <v>811084</v>
      </c>
      <c r="O345" s="253" t="s">
        <v>1462</v>
      </c>
      <c r="P345" s="103">
        <v>46040</v>
      </c>
      <c r="Q345" s="103">
        <v>46198</v>
      </c>
      <c r="R345" s="73" t="s">
        <v>211</v>
      </c>
      <c r="S345" s="66" t="s">
        <v>779</v>
      </c>
      <c r="T345" s="67">
        <v>1</v>
      </c>
      <c r="U345" s="75" t="s">
        <v>81</v>
      </c>
      <c r="V345" s="68">
        <v>65</v>
      </c>
      <c r="W345" s="68"/>
      <c r="X345" s="69">
        <v>1</v>
      </c>
      <c r="Y345" s="68"/>
      <c r="Z345" s="68">
        <v>0</v>
      </c>
      <c r="AA345" s="68">
        <v>0</v>
      </c>
      <c r="AB345" s="68">
        <v>0</v>
      </c>
      <c r="AC345" s="68"/>
      <c r="AD345" s="68">
        <v>0</v>
      </c>
      <c r="AE345" s="68">
        <v>0</v>
      </c>
      <c r="AF345" s="68">
        <v>0</v>
      </c>
      <c r="AG345" s="68">
        <v>0</v>
      </c>
      <c r="AH345" s="68">
        <v>1</v>
      </c>
      <c r="AI345" s="68"/>
      <c r="AJ345" s="68">
        <v>0</v>
      </c>
      <c r="AK345" s="68">
        <v>0</v>
      </c>
      <c r="AL345" s="68">
        <v>3</v>
      </c>
      <c r="AM345" s="68"/>
      <c r="AN345" s="68">
        <v>4</v>
      </c>
      <c r="AO345" s="68"/>
      <c r="AP345" s="68">
        <v>3</v>
      </c>
      <c r="AQ345" s="68"/>
      <c r="AR345" s="68">
        <v>0</v>
      </c>
      <c r="AS345" s="68">
        <v>0</v>
      </c>
      <c r="AT345" s="68">
        <v>0</v>
      </c>
      <c r="AU345" s="68">
        <v>0</v>
      </c>
      <c r="AV345" s="68">
        <v>0</v>
      </c>
      <c r="AW345" s="68">
        <v>0</v>
      </c>
      <c r="AX345" s="146">
        <f t="shared" si="48"/>
        <v>8050</v>
      </c>
      <c r="AY345" s="146">
        <f t="shared" si="45"/>
        <v>0</v>
      </c>
      <c r="AZ345" s="64" t="s">
        <v>77</v>
      </c>
      <c r="BA345" s="64" t="s">
        <v>77</v>
      </c>
      <c r="BB345" s="15" t="s">
        <v>77</v>
      </c>
      <c r="BC345" s="74">
        <v>341</v>
      </c>
      <c r="BD345" s="70"/>
      <c r="BE345" s="67"/>
      <c r="BF345" s="71"/>
      <c r="BG345" s="15"/>
      <c r="BH345" s="72" t="s">
        <v>77</v>
      </c>
      <c r="BI345" s="72" t="s">
        <v>77</v>
      </c>
    </row>
    <row r="346" spans="1:63" s="16" customFormat="1" ht="44.1" customHeight="1" x14ac:dyDescent="0.3">
      <c r="A346" s="200">
        <v>342</v>
      </c>
      <c r="B346" s="62">
        <v>242910</v>
      </c>
      <c r="C346" s="62">
        <v>342</v>
      </c>
      <c r="D346" s="63">
        <v>46000</v>
      </c>
      <c r="E346" s="63">
        <f t="shared" si="43"/>
        <v>45999</v>
      </c>
      <c r="F346" s="63">
        <f t="shared" si="47"/>
        <v>46010</v>
      </c>
      <c r="G346" s="63">
        <v>46089</v>
      </c>
      <c r="H346" s="63">
        <f t="shared" ca="1" si="50"/>
        <v>46277</v>
      </c>
      <c r="I346" s="63" t="s">
        <v>349</v>
      </c>
      <c r="J346" s="64" t="s">
        <v>780</v>
      </c>
      <c r="K346" s="65">
        <f t="shared" si="49"/>
        <v>79</v>
      </c>
      <c r="L346" s="65">
        <v>1177802</v>
      </c>
      <c r="M346" s="64" t="s">
        <v>77</v>
      </c>
      <c r="N346" s="64">
        <v>813146</v>
      </c>
      <c r="O346" s="253" t="s">
        <v>1462</v>
      </c>
      <c r="P346" s="103">
        <v>46056</v>
      </c>
      <c r="Q346" s="103">
        <v>46212</v>
      </c>
      <c r="R346" s="73" t="s">
        <v>211</v>
      </c>
      <c r="S346" s="66" t="s">
        <v>781</v>
      </c>
      <c r="T346" s="67">
        <v>1</v>
      </c>
      <c r="U346" s="75" t="s">
        <v>173</v>
      </c>
      <c r="V346" s="68">
        <v>60</v>
      </c>
      <c r="W346" s="68"/>
      <c r="X346" s="69">
        <v>1</v>
      </c>
      <c r="Y346" s="68"/>
      <c r="Z346" s="68">
        <v>0</v>
      </c>
      <c r="AA346" s="68">
        <v>0</v>
      </c>
      <c r="AB346" s="68">
        <v>0</v>
      </c>
      <c r="AC346" s="68"/>
      <c r="AD346" s="68">
        <v>0</v>
      </c>
      <c r="AE346" s="68">
        <v>0</v>
      </c>
      <c r="AF346" s="68">
        <v>0</v>
      </c>
      <c r="AG346" s="68">
        <v>0</v>
      </c>
      <c r="AH346" s="68">
        <v>1</v>
      </c>
      <c r="AI346" s="68"/>
      <c r="AJ346" s="68">
        <v>0</v>
      </c>
      <c r="AK346" s="68">
        <v>0</v>
      </c>
      <c r="AL346" s="68">
        <v>1</v>
      </c>
      <c r="AM346" s="68"/>
      <c r="AN346" s="68">
        <v>3</v>
      </c>
      <c r="AO346" s="68"/>
      <c r="AP346" s="68">
        <v>3</v>
      </c>
      <c r="AQ346" s="68"/>
      <c r="AR346" s="68">
        <v>0</v>
      </c>
      <c r="AS346" s="68">
        <v>0</v>
      </c>
      <c r="AT346" s="68">
        <v>0</v>
      </c>
      <c r="AU346" s="68">
        <v>0</v>
      </c>
      <c r="AV346" s="68">
        <v>0</v>
      </c>
      <c r="AW346" s="68">
        <v>0</v>
      </c>
      <c r="AX346" s="146">
        <f t="shared" si="48"/>
        <v>6510</v>
      </c>
      <c r="AY346" s="146">
        <f t="shared" si="45"/>
        <v>0</v>
      </c>
      <c r="AZ346" s="64" t="s">
        <v>77</v>
      </c>
      <c r="BA346" s="64" t="s">
        <v>77</v>
      </c>
      <c r="BB346" s="15" t="s">
        <v>77</v>
      </c>
      <c r="BC346" s="74">
        <v>342</v>
      </c>
      <c r="BD346" s="70"/>
      <c r="BE346" s="67"/>
      <c r="BF346" s="71"/>
      <c r="BG346" s="15"/>
      <c r="BH346" s="72" t="s">
        <v>77</v>
      </c>
      <c r="BI346" s="72" t="s">
        <v>77</v>
      </c>
    </row>
    <row r="347" spans="1:63" s="16" customFormat="1" ht="44.1" customHeight="1" x14ac:dyDescent="0.3">
      <c r="A347" s="200">
        <v>343</v>
      </c>
      <c r="B347" s="62">
        <v>242913</v>
      </c>
      <c r="C347" s="62">
        <v>343</v>
      </c>
      <c r="D347" s="63">
        <v>46000</v>
      </c>
      <c r="E347" s="63">
        <f t="shared" si="43"/>
        <v>45999</v>
      </c>
      <c r="F347" s="63">
        <f t="shared" si="47"/>
        <v>46010</v>
      </c>
      <c r="G347" s="63">
        <v>46089</v>
      </c>
      <c r="H347" s="63">
        <f t="shared" ca="1" si="50"/>
        <v>46277</v>
      </c>
      <c r="I347" s="63" t="s">
        <v>349</v>
      </c>
      <c r="J347" s="64" t="s">
        <v>782</v>
      </c>
      <c r="K347" s="65">
        <f t="shared" si="49"/>
        <v>79</v>
      </c>
      <c r="L347" s="65">
        <v>1177804</v>
      </c>
      <c r="M347" s="64" t="s">
        <v>77</v>
      </c>
      <c r="N347" s="64">
        <v>811084</v>
      </c>
      <c r="O347" s="253" t="s">
        <v>1462</v>
      </c>
      <c r="P347" s="103">
        <v>46040</v>
      </c>
      <c r="Q347" s="103">
        <v>46198</v>
      </c>
      <c r="R347" s="73" t="s">
        <v>211</v>
      </c>
      <c r="S347" s="66" t="s">
        <v>783</v>
      </c>
      <c r="T347" s="67">
        <v>1</v>
      </c>
      <c r="U347" s="75" t="s">
        <v>81</v>
      </c>
      <c r="V347" s="68">
        <v>15</v>
      </c>
      <c r="W347" s="68">
        <v>15</v>
      </c>
      <c r="X347" s="69">
        <v>0</v>
      </c>
      <c r="Y347" s="68">
        <v>0</v>
      </c>
      <c r="Z347" s="68">
        <v>0</v>
      </c>
      <c r="AA347" s="68">
        <v>0</v>
      </c>
      <c r="AB347" s="68">
        <v>15</v>
      </c>
      <c r="AC347" s="68">
        <v>15</v>
      </c>
      <c r="AD347" s="68">
        <v>0</v>
      </c>
      <c r="AE347" s="68">
        <v>0</v>
      </c>
      <c r="AF347" s="68">
        <v>0</v>
      </c>
      <c r="AG347" s="68">
        <v>0</v>
      </c>
      <c r="AH347" s="68">
        <v>1</v>
      </c>
      <c r="AI347" s="68">
        <v>1</v>
      </c>
      <c r="AJ347" s="68">
        <v>0</v>
      </c>
      <c r="AK347" s="68">
        <v>0</v>
      </c>
      <c r="AL347" s="68">
        <v>2</v>
      </c>
      <c r="AM347" s="68">
        <v>2</v>
      </c>
      <c r="AN347" s="68">
        <v>1</v>
      </c>
      <c r="AO347" s="68">
        <v>1</v>
      </c>
      <c r="AP347" s="68">
        <v>0</v>
      </c>
      <c r="AQ347" s="68"/>
      <c r="AR347" s="68">
        <v>0</v>
      </c>
      <c r="AS347" s="68">
        <v>0</v>
      </c>
      <c r="AT347" s="68">
        <v>0</v>
      </c>
      <c r="AU347" s="68">
        <v>0</v>
      </c>
      <c r="AV347" s="68">
        <v>0</v>
      </c>
      <c r="AW347" s="68">
        <v>0</v>
      </c>
      <c r="AX347" s="146">
        <f t="shared" si="48"/>
        <v>3165</v>
      </c>
      <c r="AY347" s="146">
        <f t="shared" si="45"/>
        <v>3165</v>
      </c>
      <c r="AZ347" s="64" t="s">
        <v>77</v>
      </c>
      <c r="BA347" s="64" t="s">
        <v>77</v>
      </c>
      <c r="BB347" s="15" t="s">
        <v>77</v>
      </c>
      <c r="BC347" s="74">
        <v>343</v>
      </c>
      <c r="BD347" s="70"/>
      <c r="BE347" s="67"/>
      <c r="BF347" s="71"/>
      <c r="BG347" s="15"/>
      <c r="BH347" s="72" t="s">
        <v>77</v>
      </c>
      <c r="BI347" s="72" t="s">
        <v>77</v>
      </c>
    </row>
    <row r="348" spans="1:63" s="16" customFormat="1" ht="44.1" customHeight="1" x14ac:dyDescent="0.3">
      <c r="A348" s="200">
        <v>344</v>
      </c>
      <c r="B348" s="62">
        <v>242971</v>
      </c>
      <c r="C348" s="62">
        <v>344</v>
      </c>
      <c r="D348" s="63">
        <v>46001</v>
      </c>
      <c r="E348" s="63">
        <f t="shared" si="43"/>
        <v>46000</v>
      </c>
      <c r="F348" s="63">
        <f t="shared" si="47"/>
        <v>46011</v>
      </c>
      <c r="G348" s="63">
        <v>46090</v>
      </c>
      <c r="H348" s="63">
        <f t="shared" ca="1" si="50"/>
        <v>46277</v>
      </c>
      <c r="I348" s="63" t="s">
        <v>349</v>
      </c>
      <c r="J348" s="64" t="s">
        <v>784</v>
      </c>
      <c r="K348" s="65">
        <f t="shared" si="49"/>
        <v>79</v>
      </c>
      <c r="L348" s="65">
        <v>1178083</v>
      </c>
      <c r="M348" s="64" t="s">
        <v>77</v>
      </c>
      <c r="N348" s="64">
        <v>813731</v>
      </c>
      <c r="O348" s="253" t="s">
        <v>1462</v>
      </c>
      <c r="P348" s="103">
        <v>46047</v>
      </c>
      <c r="Q348" s="103">
        <v>46212</v>
      </c>
      <c r="R348" s="73" t="s">
        <v>211</v>
      </c>
      <c r="S348" s="66" t="s">
        <v>785</v>
      </c>
      <c r="T348" s="67">
        <v>1</v>
      </c>
      <c r="U348" s="75" t="s">
        <v>122</v>
      </c>
      <c r="V348" s="68">
        <v>8</v>
      </c>
      <c r="W348" s="68"/>
      <c r="X348" s="69">
        <v>1</v>
      </c>
      <c r="Y348" s="68"/>
      <c r="Z348" s="68">
        <v>0</v>
      </c>
      <c r="AA348" s="68">
        <v>0</v>
      </c>
      <c r="AB348" s="68">
        <v>0</v>
      </c>
      <c r="AC348" s="68"/>
      <c r="AD348" s="68">
        <v>0</v>
      </c>
      <c r="AE348" s="68">
        <v>0</v>
      </c>
      <c r="AF348" s="68">
        <v>0</v>
      </c>
      <c r="AG348" s="68">
        <v>0</v>
      </c>
      <c r="AH348" s="68">
        <v>1</v>
      </c>
      <c r="AI348" s="68"/>
      <c r="AJ348" s="68">
        <v>0</v>
      </c>
      <c r="AK348" s="68">
        <v>0</v>
      </c>
      <c r="AL348" s="68">
        <v>2</v>
      </c>
      <c r="AM348" s="68"/>
      <c r="AN348" s="68">
        <v>2</v>
      </c>
      <c r="AO348" s="68"/>
      <c r="AP348" s="68">
        <v>1</v>
      </c>
      <c r="AQ348" s="68"/>
      <c r="AR348" s="68">
        <v>0</v>
      </c>
      <c r="AS348" s="68">
        <v>0</v>
      </c>
      <c r="AT348" s="68">
        <v>0</v>
      </c>
      <c r="AU348" s="68">
        <v>0</v>
      </c>
      <c r="AV348" s="68">
        <v>0</v>
      </c>
      <c r="AW348" s="68">
        <v>0</v>
      </c>
      <c r="AX348" s="146">
        <f t="shared" si="48"/>
        <v>2660</v>
      </c>
      <c r="AY348" s="146">
        <f t="shared" si="45"/>
        <v>0</v>
      </c>
      <c r="AZ348" s="64" t="s">
        <v>77</v>
      </c>
      <c r="BA348" s="64" t="s">
        <v>77</v>
      </c>
      <c r="BB348" s="15" t="s">
        <v>77</v>
      </c>
      <c r="BC348" s="74">
        <v>344</v>
      </c>
      <c r="BD348" s="70"/>
      <c r="BE348" s="67"/>
      <c r="BF348" s="71"/>
      <c r="BG348" s="15"/>
      <c r="BH348" s="72" t="s">
        <v>77</v>
      </c>
      <c r="BI348" s="72" t="s">
        <v>77</v>
      </c>
    </row>
    <row r="349" spans="1:63" s="16" customFormat="1" ht="44.1" customHeight="1" x14ac:dyDescent="0.3">
      <c r="A349" s="200">
        <v>345</v>
      </c>
      <c r="B349" s="62">
        <v>242977</v>
      </c>
      <c r="C349" s="62">
        <v>345</v>
      </c>
      <c r="D349" s="63">
        <v>46001</v>
      </c>
      <c r="E349" s="63">
        <f t="shared" si="43"/>
        <v>46000</v>
      </c>
      <c r="F349" s="63">
        <f t="shared" si="47"/>
        <v>46011</v>
      </c>
      <c r="G349" s="63">
        <v>46090</v>
      </c>
      <c r="H349" s="63">
        <f t="shared" ca="1" si="50"/>
        <v>46277</v>
      </c>
      <c r="I349" s="63" t="s">
        <v>349</v>
      </c>
      <c r="J349" s="64" t="s">
        <v>786</v>
      </c>
      <c r="K349" s="65">
        <f t="shared" si="49"/>
        <v>79</v>
      </c>
      <c r="L349" s="65">
        <v>1178091</v>
      </c>
      <c r="M349" s="64" t="s">
        <v>77</v>
      </c>
      <c r="N349" s="64">
        <v>812427</v>
      </c>
      <c r="O349" s="253" t="s">
        <v>1462</v>
      </c>
      <c r="P349" s="103">
        <v>46056</v>
      </c>
      <c r="Q349" s="103">
        <v>46205</v>
      </c>
      <c r="R349" s="73" t="s">
        <v>211</v>
      </c>
      <c r="S349" s="66" t="s">
        <v>787</v>
      </c>
      <c r="T349" s="67">
        <v>1</v>
      </c>
      <c r="U349" s="75" t="s">
        <v>160</v>
      </c>
      <c r="V349" s="68">
        <v>11</v>
      </c>
      <c r="W349" s="68"/>
      <c r="X349" s="69">
        <v>1</v>
      </c>
      <c r="Y349" s="68"/>
      <c r="Z349" s="68">
        <v>0</v>
      </c>
      <c r="AA349" s="68">
        <v>0</v>
      </c>
      <c r="AB349" s="68">
        <v>0</v>
      </c>
      <c r="AC349" s="68"/>
      <c r="AD349" s="68">
        <v>0</v>
      </c>
      <c r="AE349" s="68">
        <v>0</v>
      </c>
      <c r="AF349" s="68">
        <v>0</v>
      </c>
      <c r="AG349" s="68">
        <v>0</v>
      </c>
      <c r="AH349" s="68">
        <v>1</v>
      </c>
      <c r="AI349" s="68"/>
      <c r="AJ349" s="68">
        <v>0</v>
      </c>
      <c r="AK349" s="68">
        <v>0</v>
      </c>
      <c r="AL349" s="68">
        <v>2</v>
      </c>
      <c r="AM349" s="68"/>
      <c r="AN349" s="68">
        <v>5</v>
      </c>
      <c r="AO349" s="68"/>
      <c r="AP349" s="68">
        <v>3</v>
      </c>
      <c r="AQ349" s="68"/>
      <c r="AR349" s="68">
        <v>0</v>
      </c>
      <c r="AS349" s="68">
        <v>0</v>
      </c>
      <c r="AT349" s="68">
        <v>0</v>
      </c>
      <c r="AU349" s="68">
        <v>0</v>
      </c>
      <c r="AV349" s="68">
        <v>0</v>
      </c>
      <c r="AW349" s="68">
        <v>0</v>
      </c>
      <c r="AX349" s="146">
        <f t="shared" si="48"/>
        <v>4280</v>
      </c>
      <c r="AY349" s="146">
        <f t="shared" si="45"/>
        <v>0</v>
      </c>
      <c r="AZ349" s="64" t="s">
        <v>77</v>
      </c>
      <c r="BA349" s="64" t="s">
        <v>77</v>
      </c>
      <c r="BB349" s="15" t="s">
        <v>77</v>
      </c>
      <c r="BC349" s="74">
        <v>345</v>
      </c>
      <c r="BD349" s="70"/>
      <c r="BE349" s="67"/>
      <c r="BF349" s="71"/>
      <c r="BG349" s="15"/>
      <c r="BH349" s="72" t="s">
        <v>77</v>
      </c>
      <c r="BI349" s="72" t="s">
        <v>77</v>
      </c>
    </row>
    <row r="350" spans="1:63" s="16" customFormat="1" ht="44.1" customHeight="1" x14ac:dyDescent="0.3">
      <c r="A350" s="200">
        <v>346</v>
      </c>
      <c r="B350" s="62">
        <v>242991</v>
      </c>
      <c r="C350" s="62">
        <v>346</v>
      </c>
      <c r="D350" s="63">
        <v>46001</v>
      </c>
      <c r="E350" s="63">
        <f t="shared" si="43"/>
        <v>46000</v>
      </c>
      <c r="F350" s="63">
        <f t="shared" si="47"/>
        <v>46011</v>
      </c>
      <c r="G350" s="63">
        <v>46090</v>
      </c>
      <c r="H350" s="63">
        <f t="shared" ca="1" si="50"/>
        <v>46277</v>
      </c>
      <c r="I350" s="63" t="s">
        <v>349</v>
      </c>
      <c r="J350" s="64" t="s">
        <v>788</v>
      </c>
      <c r="K350" s="65">
        <f t="shared" si="49"/>
        <v>79</v>
      </c>
      <c r="L350" s="65">
        <v>1178105</v>
      </c>
      <c r="M350" s="64" t="s">
        <v>77</v>
      </c>
      <c r="N350" s="64">
        <v>811699</v>
      </c>
      <c r="O350" s="253" t="s">
        <v>1462</v>
      </c>
      <c r="P350" s="103">
        <v>46029</v>
      </c>
      <c r="Q350" s="103">
        <v>46198</v>
      </c>
      <c r="R350" s="73" t="s">
        <v>211</v>
      </c>
      <c r="S350" s="66" t="s">
        <v>789</v>
      </c>
      <c r="T350" s="67">
        <v>1</v>
      </c>
      <c r="U350" s="75" t="s">
        <v>790</v>
      </c>
      <c r="V350" s="68">
        <v>70</v>
      </c>
      <c r="W350" s="68"/>
      <c r="X350" s="69">
        <v>1</v>
      </c>
      <c r="Y350" s="68"/>
      <c r="Z350" s="68">
        <v>0</v>
      </c>
      <c r="AA350" s="68">
        <v>0</v>
      </c>
      <c r="AB350" s="68">
        <v>0</v>
      </c>
      <c r="AC350" s="68"/>
      <c r="AD350" s="68">
        <v>0</v>
      </c>
      <c r="AE350" s="68">
        <v>0</v>
      </c>
      <c r="AF350" s="68">
        <v>0</v>
      </c>
      <c r="AG350" s="68">
        <v>0</v>
      </c>
      <c r="AH350" s="68">
        <v>1</v>
      </c>
      <c r="AI350" s="68"/>
      <c r="AJ350" s="68">
        <v>0</v>
      </c>
      <c r="AK350" s="68">
        <v>0</v>
      </c>
      <c r="AL350" s="68">
        <v>1</v>
      </c>
      <c r="AM350" s="68"/>
      <c r="AN350" s="68">
        <v>2</v>
      </c>
      <c r="AO350" s="68"/>
      <c r="AP350" s="68">
        <v>2</v>
      </c>
      <c r="AQ350" s="68"/>
      <c r="AR350" s="68">
        <v>0</v>
      </c>
      <c r="AS350" s="68">
        <v>0</v>
      </c>
      <c r="AT350" s="68">
        <v>0</v>
      </c>
      <c r="AU350" s="68">
        <v>0</v>
      </c>
      <c r="AV350" s="68">
        <v>0</v>
      </c>
      <c r="AW350" s="68">
        <v>0</v>
      </c>
      <c r="AX350" s="146">
        <f t="shared" si="48"/>
        <v>6420</v>
      </c>
      <c r="AY350" s="146">
        <f t="shared" si="45"/>
        <v>0</v>
      </c>
      <c r="AZ350" s="64" t="s">
        <v>77</v>
      </c>
      <c r="BA350" s="64" t="s">
        <v>77</v>
      </c>
      <c r="BB350" s="15" t="s">
        <v>77</v>
      </c>
      <c r="BC350" s="74">
        <v>346</v>
      </c>
      <c r="BD350" s="70"/>
      <c r="BE350" s="67"/>
      <c r="BF350" s="71"/>
      <c r="BG350" s="15"/>
      <c r="BH350" s="72" t="s">
        <v>77</v>
      </c>
      <c r="BI350" s="72" t="s">
        <v>77</v>
      </c>
    </row>
    <row r="351" spans="1:63" s="16" customFormat="1" ht="44.1" customHeight="1" x14ac:dyDescent="0.3">
      <c r="A351" s="200">
        <v>347</v>
      </c>
      <c r="B351" s="110">
        <v>242994</v>
      </c>
      <c r="C351" s="110">
        <v>347</v>
      </c>
      <c r="D351" s="111">
        <v>46001</v>
      </c>
      <c r="E351" s="111">
        <f t="shared" si="43"/>
        <v>46000</v>
      </c>
      <c r="F351" s="111">
        <f t="shared" si="47"/>
        <v>46011</v>
      </c>
      <c r="G351" s="111">
        <v>46090</v>
      </c>
      <c r="H351" s="111">
        <f t="shared" ca="1" si="50"/>
        <v>46277</v>
      </c>
      <c r="I351" s="111" t="s">
        <v>349</v>
      </c>
      <c r="J351" s="112" t="s">
        <v>791</v>
      </c>
      <c r="K351" s="113">
        <f t="shared" si="49"/>
        <v>79</v>
      </c>
      <c r="L351" s="113">
        <v>1178108</v>
      </c>
      <c r="M351" s="114" t="s">
        <v>366</v>
      </c>
      <c r="N351" s="112" t="s">
        <v>365</v>
      </c>
      <c r="O351" s="109" t="s">
        <v>365</v>
      </c>
      <c r="P351" s="115" t="s">
        <v>77</v>
      </c>
      <c r="Q351" s="115" t="s">
        <v>77</v>
      </c>
      <c r="R351" s="131" t="s">
        <v>211</v>
      </c>
      <c r="S351" s="117" t="s">
        <v>792</v>
      </c>
      <c r="T351" s="118">
        <v>1</v>
      </c>
      <c r="U351" s="132" t="s">
        <v>186</v>
      </c>
      <c r="V351" s="119">
        <v>220</v>
      </c>
      <c r="W351" s="119"/>
      <c r="X351" s="120">
        <v>1</v>
      </c>
      <c r="Y351" s="119"/>
      <c r="Z351" s="119">
        <v>0</v>
      </c>
      <c r="AA351" s="119">
        <v>0</v>
      </c>
      <c r="AB351" s="119">
        <v>0</v>
      </c>
      <c r="AC351" s="119"/>
      <c r="AD351" s="119">
        <v>0</v>
      </c>
      <c r="AE351" s="119">
        <v>0</v>
      </c>
      <c r="AF351" s="119">
        <v>0</v>
      </c>
      <c r="AG351" s="119">
        <v>0</v>
      </c>
      <c r="AH351" s="119">
        <v>1</v>
      </c>
      <c r="AI351" s="119"/>
      <c r="AJ351" s="119">
        <v>0</v>
      </c>
      <c r="AK351" s="119">
        <v>0</v>
      </c>
      <c r="AL351" s="119">
        <v>2</v>
      </c>
      <c r="AM351" s="119"/>
      <c r="AN351" s="119">
        <v>3</v>
      </c>
      <c r="AO351" s="119"/>
      <c r="AP351" s="119">
        <v>2</v>
      </c>
      <c r="AQ351" s="119"/>
      <c r="AR351" s="119">
        <v>0</v>
      </c>
      <c r="AS351" s="119">
        <v>0</v>
      </c>
      <c r="AT351" s="119">
        <v>0</v>
      </c>
      <c r="AU351" s="119">
        <v>0</v>
      </c>
      <c r="AV351" s="119">
        <v>0</v>
      </c>
      <c r="AW351" s="119">
        <v>0</v>
      </c>
      <c r="AX351" s="146">
        <f t="shared" si="48"/>
        <v>16070</v>
      </c>
      <c r="AY351" s="146">
        <f t="shared" si="45"/>
        <v>0</v>
      </c>
      <c r="AZ351" s="109" t="s">
        <v>365</v>
      </c>
      <c r="BA351" s="112" t="s">
        <v>77</v>
      </c>
      <c r="BB351" s="109" t="s">
        <v>77</v>
      </c>
      <c r="BC351" s="133">
        <v>347</v>
      </c>
      <c r="BD351" s="122"/>
      <c r="BE351" s="118"/>
      <c r="BF351" s="123"/>
      <c r="BG351" s="109"/>
      <c r="BH351" s="125" t="s">
        <v>77</v>
      </c>
      <c r="BI351" s="125" t="s">
        <v>77</v>
      </c>
    </row>
    <row r="352" spans="1:63" s="16" customFormat="1" ht="44.1" hidden="1" customHeight="1" x14ac:dyDescent="0.3">
      <c r="A352" s="26">
        <v>348</v>
      </c>
      <c r="B352" s="138">
        <v>242999</v>
      </c>
      <c r="C352" s="136">
        <v>348</v>
      </c>
      <c r="D352" s="139">
        <v>46002</v>
      </c>
      <c r="E352" s="139">
        <f t="shared" si="43"/>
        <v>46001</v>
      </c>
      <c r="F352" s="139">
        <f t="shared" si="47"/>
        <v>46012</v>
      </c>
      <c r="G352" s="139">
        <v>46063</v>
      </c>
      <c r="H352" s="139">
        <f t="shared" ca="1" si="50"/>
        <v>46277</v>
      </c>
      <c r="I352" s="139" t="s">
        <v>123</v>
      </c>
      <c r="J352" s="140" t="s">
        <v>793</v>
      </c>
      <c r="K352" s="141">
        <f t="shared" si="49"/>
        <v>51</v>
      </c>
      <c r="L352" s="141">
        <v>1178167</v>
      </c>
      <c r="M352" s="140" t="s">
        <v>15</v>
      </c>
      <c r="N352" s="140">
        <v>811700</v>
      </c>
      <c r="O352" s="140" t="s">
        <v>246</v>
      </c>
      <c r="P352" s="143">
        <v>46023</v>
      </c>
      <c r="Q352" s="143">
        <v>46191</v>
      </c>
      <c r="R352" s="185" t="s">
        <v>211</v>
      </c>
      <c r="S352" s="144" t="s">
        <v>794</v>
      </c>
      <c r="T352" s="145">
        <v>1</v>
      </c>
      <c r="U352" s="186" t="s">
        <v>181</v>
      </c>
      <c r="V352" s="146">
        <v>132</v>
      </c>
      <c r="W352" s="146">
        <v>132</v>
      </c>
      <c r="X352" s="147">
        <v>0</v>
      </c>
      <c r="Y352" s="146"/>
      <c r="Z352" s="146">
        <v>0</v>
      </c>
      <c r="AA352" s="146">
        <v>0</v>
      </c>
      <c r="AB352" s="146">
        <v>132</v>
      </c>
      <c r="AC352" s="146">
        <v>132</v>
      </c>
      <c r="AD352" s="146">
        <v>0</v>
      </c>
      <c r="AE352" s="146">
        <v>0</v>
      </c>
      <c r="AF352" s="146">
        <v>0</v>
      </c>
      <c r="AG352" s="146">
        <v>0</v>
      </c>
      <c r="AH352" s="146">
        <v>1</v>
      </c>
      <c r="AI352" s="146">
        <v>1</v>
      </c>
      <c r="AJ352" s="146">
        <v>0</v>
      </c>
      <c r="AK352" s="146">
        <v>0</v>
      </c>
      <c r="AL352" s="146">
        <v>2</v>
      </c>
      <c r="AM352" s="146">
        <v>2</v>
      </c>
      <c r="AN352" s="146">
        <v>1</v>
      </c>
      <c r="AO352" s="146">
        <v>1</v>
      </c>
      <c r="AP352" s="146">
        <v>1</v>
      </c>
      <c r="AQ352" s="146">
        <v>1</v>
      </c>
      <c r="AR352" s="146">
        <v>0</v>
      </c>
      <c r="AS352" s="146">
        <v>0</v>
      </c>
      <c r="AT352" s="146">
        <v>1</v>
      </c>
      <c r="AU352" s="146">
        <v>1</v>
      </c>
      <c r="AV352" s="146">
        <v>0</v>
      </c>
      <c r="AW352" s="146">
        <v>0</v>
      </c>
      <c r="AX352" s="146">
        <f t="shared" si="48"/>
        <v>17834</v>
      </c>
      <c r="AY352" s="146">
        <f t="shared" si="45"/>
        <v>17834</v>
      </c>
      <c r="AZ352" s="140" t="s">
        <v>562</v>
      </c>
      <c r="BA352" s="140" t="s">
        <v>562</v>
      </c>
      <c r="BB352" s="137">
        <v>6</v>
      </c>
      <c r="BC352" s="187">
        <v>348</v>
      </c>
      <c r="BD352" s="149"/>
      <c r="BE352" s="145"/>
      <c r="BF352" s="150"/>
      <c r="BG352" s="188">
        <v>46023</v>
      </c>
      <c r="BH352" s="153" t="s">
        <v>15</v>
      </c>
      <c r="BI352" s="153" t="s">
        <v>562</v>
      </c>
    </row>
    <row r="353" spans="1:63" s="16" customFormat="1" ht="44.1" hidden="1" customHeight="1" x14ac:dyDescent="0.3">
      <c r="A353" s="200">
        <v>349</v>
      </c>
      <c r="B353" s="138">
        <v>243001</v>
      </c>
      <c r="C353" s="136">
        <v>349</v>
      </c>
      <c r="D353" s="139">
        <v>46002</v>
      </c>
      <c r="E353" s="139">
        <f t="shared" si="43"/>
        <v>46001</v>
      </c>
      <c r="F353" s="139">
        <f t="shared" si="47"/>
        <v>46012</v>
      </c>
      <c r="G353" s="139">
        <v>46063</v>
      </c>
      <c r="H353" s="139">
        <v>46049</v>
      </c>
      <c r="I353" s="139" t="s">
        <v>123</v>
      </c>
      <c r="J353" s="140" t="s">
        <v>795</v>
      </c>
      <c r="K353" s="141">
        <f t="shared" si="49"/>
        <v>51</v>
      </c>
      <c r="L353" s="141">
        <v>1178172</v>
      </c>
      <c r="M353" s="140" t="s">
        <v>15</v>
      </c>
      <c r="N353" s="140">
        <v>811701</v>
      </c>
      <c r="O353" s="140" t="s">
        <v>246</v>
      </c>
      <c r="P353" s="143">
        <v>46026</v>
      </c>
      <c r="Q353" s="143">
        <v>46191</v>
      </c>
      <c r="R353" s="185" t="s">
        <v>211</v>
      </c>
      <c r="S353" s="144" t="s">
        <v>796</v>
      </c>
      <c r="T353" s="145">
        <v>1</v>
      </c>
      <c r="U353" s="186" t="s">
        <v>106</v>
      </c>
      <c r="V353" s="146">
        <v>42</v>
      </c>
      <c r="W353" s="146">
        <v>42</v>
      </c>
      <c r="X353" s="147">
        <v>0</v>
      </c>
      <c r="Y353" s="146">
        <v>0</v>
      </c>
      <c r="Z353" s="146">
        <v>0</v>
      </c>
      <c r="AA353" s="146">
        <v>0</v>
      </c>
      <c r="AB353" s="146">
        <v>0</v>
      </c>
      <c r="AC353" s="146"/>
      <c r="AD353" s="146">
        <v>0</v>
      </c>
      <c r="AE353" s="146">
        <v>0</v>
      </c>
      <c r="AF353" s="146">
        <v>0</v>
      </c>
      <c r="AG353" s="146">
        <v>0</v>
      </c>
      <c r="AH353" s="146">
        <v>1</v>
      </c>
      <c r="AI353" s="146">
        <v>1</v>
      </c>
      <c r="AJ353" s="146">
        <v>0</v>
      </c>
      <c r="AK353" s="146">
        <v>0</v>
      </c>
      <c r="AL353" s="146">
        <v>1</v>
      </c>
      <c r="AM353" s="146">
        <v>1</v>
      </c>
      <c r="AN353" s="146">
        <v>1</v>
      </c>
      <c r="AO353" s="146">
        <v>1</v>
      </c>
      <c r="AP353" s="146">
        <v>1</v>
      </c>
      <c r="AQ353" s="146">
        <v>1</v>
      </c>
      <c r="AR353" s="146">
        <v>0</v>
      </c>
      <c r="AS353" s="146">
        <v>0</v>
      </c>
      <c r="AT353" s="146">
        <v>1</v>
      </c>
      <c r="AU353" s="146">
        <v>1</v>
      </c>
      <c r="AV353" s="146">
        <v>0</v>
      </c>
      <c r="AW353" s="146">
        <v>0</v>
      </c>
      <c r="AX353" s="146">
        <f t="shared" si="48"/>
        <v>4320</v>
      </c>
      <c r="AY353" s="146">
        <f t="shared" si="45"/>
        <v>4320</v>
      </c>
      <c r="AZ353" s="140" t="s">
        <v>562</v>
      </c>
      <c r="BA353" s="140" t="s">
        <v>562</v>
      </c>
      <c r="BB353" s="137">
        <v>7</v>
      </c>
      <c r="BC353" s="187">
        <v>349</v>
      </c>
      <c r="BD353" s="149"/>
      <c r="BE353" s="145"/>
      <c r="BF353" s="150"/>
      <c r="BG353" s="188">
        <v>46023</v>
      </c>
      <c r="BH353" s="153" t="s">
        <v>15</v>
      </c>
      <c r="BI353" s="153" t="s">
        <v>562</v>
      </c>
    </row>
    <row r="354" spans="1:63" s="16" customFormat="1" ht="44.1" hidden="1" customHeight="1" x14ac:dyDescent="0.3">
      <c r="A354" s="200">
        <v>350</v>
      </c>
      <c r="B354" s="138">
        <v>243003</v>
      </c>
      <c r="C354" s="136">
        <v>350</v>
      </c>
      <c r="D354" s="139">
        <v>46002</v>
      </c>
      <c r="E354" s="139">
        <f t="shared" si="43"/>
        <v>46001</v>
      </c>
      <c r="F354" s="139">
        <f t="shared" si="47"/>
        <v>46012</v>
      </c>
      <c r="G354" s="139">
        <v>46063</v>
      </c>
      <c r="H354" s="139">
        <v>46049</v>
      </c>
      <c r="I354" s="139" t="s">
        <v>123</v>
      </c>
      <c r="J354" s="140" t="s">
        <v>797</v>
      </c>
      <c r="K354" s="141">
        <f t="shared" si="49"/>
        <v>51</v>
      </c>
      <c r="L354" s="141">
        <v>1178175</v>
      </c>
      <c r="M354" s="140" t="s">
        <v>15</v>
      </c>
      <c r="N354" s="140">
        <v>811701</v>
      </c>
      <c r="O354" s="140" t="s">
        <v>246</v>
      </c>
      <c r="P354" s="143">
        <v>46026</v>
      </c>
      <c r="Q354" s="143">
        <v>46191</v>
      </c>
      <c r="R354" s="185" t="s">
        <v>211</v>
      </c>
      <c r="S354" s="144" t="s">
        <v>798</v>
      </c>
      <c r="T354" s="145">
        <v>1</v>
      </c>
      <c r="U354" s="186" t="s">
        <v>106</v>
      </c>
      <c r="V354" s="146">
        <v>26</v>
      </c>
      <c r="W354" s="146">
        <v>26</v>
      </c>
      <c r="X354" s="147">
        <v>0</v>
      </c>
      <c r="Y354" s="146">
        <v>0</v>
      </c>
      <c r="Z354" s="146">
        <v>0</v>
      </c>
      <c r="AA354" s="146">
        <v>0</v>
      </c>
      <c r="AB354" s="146">
        <v>0</v>
      </c>
      <c r="AC354" s="146"/>
      <c r="AD354" s="146">
        <v>0</v>
      </c>
      <c r="AE354" s="146">
        <v>0</v>
      </c>
      <c r="AF354" s="146">
        <v>0</v>
      </c>
      <c r="AG354" s="146">
        <v>0</v>
      </c>
      <c r="AH354" s="146">
        <v>1</v>
      </c>
      <c r="AI354" s="146">
        <v>1</v>
      </c>
      <c r="AJ354" s="146">
        <v>0</v>
      </c>
      <c r="AK354" s="146">
        <v>0</v>
      </c>
      <c r="AL354" s="146">
        <v>1</v>
      </c>
      <c r="AM354" s="146">
        <v>1</v>
      </c>
      <c r="AN354" s="146">
        <v>1</v>
      </c>
      <c r="AO354" s="146">
        <v>1</v>
      </c>
      <c r="AP354" s="146">
        <v>1</v>
      </c>
      <c r="AQ354" s="146">
        <v>1</v>
      </c>
      <c r="AR354" s="146">
        <v>0</v>
      </c>
      <c r="AS354" s="146">
        <v>0</v>
      </c>
      <c r="AT354" s="146">
        <v>1</v>
      </c>
      <c r="AU354" s="146">
        <v>1</v>
      </c>
      <c r="AV354" s="146">
        <v>0</v>
      </c>
      <c r="AW354" s="146">
        <v>0</v>
      </c>
      <c r="AX354" s="146">
        <f t="shared" si="48"/>
        <v>3360</v>
      </c>
      <c r="AY354" s="146">
        <f t="shared" si="45"/>
        <v>3360</v>
      </c>
      <c r="AZ354" s="140" t="s">
        <v>562</v>
      </c>
      <c r="BA354" s="140" t="s">
        <v>562</v>
      </c>
      <c r="BB354" s="137">
        <v>7</v>
      </c>
      <c r="BC354" s="187">
        <v>350</v>
      </c>
      <c r="BD354" s="149"/>
      <c r="BE354" s="145"/>
      <c r="BF354" s="150"/>
      <c r="BG354" s="188">
        <v>46023</v>
      </c>
      <c r="BH354" s="153" t="s">
        <v>15</v>
      </c>
      <c r="BI354" s="153" t="s">
        <v>562</v>
      </c>
    </row>
    <row r="355" spans="1:63" s="16" customFormat="1" ht="44.1" hidden="1" customHeight="1" x14ac:dyDescent="0.3">
      <c r="A355" s="200">
        <v>351</v>
      </c>
      <c r="B355" s="138">
        <v>243014</v>
      </c>
      <c r="C355" s="138">
        <v>351</v>
      </c>
      <c r="D355" s="139">
        <v>46002</v>
      </c>
      <c r="E355" s="139">
        <f t="shared" si="43"/>
        <v>46001</v>
      </c>
      <c r="F355" s="139">
        <f t="shared" si="47"/>
        <v>46012</v>
      </c>
      <c r="G355" s="139">
        <v>46063</v>
      </c>
      <c r="H355" s="139">
        <v>46111</v>
      </c>
      <c r="I355" s="139" t="s">
        <v>123</v>
      </c>
      <c r="J355" s="140" t="s">
        <v>799</v>
      </c>
      <c r="K355" s="141">
        <f t="shared" si="49"/>
        <v>51</v>
      </c>
      <c r="L355" s="141">
        <v>1178214</v>
      </c>
      <c r="M355" s="140" t="s">
        <v>15</v>
      </c>
      <c r="N355" s="140" t="s">
        <v>1102</v>
      </c>
      <c r="O355" s="140" t="s">
        <v>246</v>
      </c>
      <c r="P355" s="143">
        <v>46033</v>
      </c>
      <c r="Q355" s="143">
        <v>46191</v>
      </c>
      <c r="R355" s="185" t="s">
        <v>211</v>
      </c>
      <c r="S355" s="144" t="s">
        <v>614</v>
      </c>
      <c r="T355" s="145">
        <v>1</v>
      </c>
      <c r="U355" s="186" t="s">
        <v>186</v>
      </c>
      <c r="V355" s="146">
        <v>69</v>
      </c>
      <c r="W355" s="146">
        <v>69</v>
      </c>
      <c r="X355" s="147">
        <v>28</v>
      </c>
      <c r="Y355" s="146">
        <v>28</v>
      </c>
      <c r="Z355" s="146">
        <v>0</v>
      </c>
      <c r="AA355" s="146">
        <v>0</v>
      </c>
      <c r="AB355" s="146">
        <v>12</v>
      </c>
      <c r="AC355" s="146">
        <v>12</v>
      </c>
      <c r="AD355" s="146">
        <v>0</v>
      </c>
      <c r="AE355" s="146">
        <v>0</v>
      </c>
      <c r="AF355" s="146">
        <v>150</v>
      </c>
      <c r="AG355" s="146">
        <v>150</v>
      </c>
      <c r="AH355" s="146">
        <v>1</v>
      </c>
      <c r="AI355" s="146">
        <v>1</v>
      </c>
      <c r="AJ355" s="146">
        <v>0</v>
      </c>
      <c r="AK355" s="146">
        <v>0</v>
      </c>
      <c r="AL355" s="146">
        <v>3</v>
      </c>
      <c r="AM355" s="146">
        <v>3</v>
      </c>
      <c r="AN355" s="146">
        <v>5</v>
      </c>
      <c r="AO355" s="146">
        <v>5</v>
      </c>
      <c r="AP355" s="146">
        <v>4</v>
      </c>
      <c r="AQ355" s="146">
        <v>4</v>
      </c>
      <c r="AR355" s="146">
        <v>0</v>
      </c>
      <c r="AS355" s="146">
        <v>0</v>
      </c>
      <c r="AT355" s="146">
        <v>0</v>
      </c>
      <c r="AU355" s="146">
        <v>0</v>
      </c>
      <c r="AV355" s="146">
        <v>1</v>
      </c>
      <c r="AW355" s="146">
        <v>1</v>
      </c>
      <c r="AX355" s="146">
        <f t="shared" si="48"/>
        <v>36024</v>
      </c>
      <c r="AY355" s="146">
        <f t="shared" si="45"/>
        <v>36024</v>
      </c>
      <c r="AZ355" s="140" t="s">
        <v>562</v>
      </c>
      <c r="BA355" s="140" t="s">
        <v>562</v>
      </c>
      <c r="BB355" s="137">
        <v>9</v>
      </c>
      <c r="BC355" s="187">
        <v>351</v>
      </c>
      <c r="BD355" s="149"/>
      <c r="BE355" s="145"/>
      <c r="BF355" s="150"/>
      <c r="BG355" s="188">
        <v>46107</v>
      </c>
      <c r="BH355" s="153" t="s">
        <v>15</v>
      </c>
      <c r="BI355" s="153" t="s">
        <v>562</v>
      </c>
    </row>
    <row r="356" spans="1:63" s="16" customFormat="1" ht="44.1" customHeight="1" x14ac:dyDescent="0.3">
      <c r="A356" s="200">
        <v>352</v>
      </c>
      <c r="B356" s="62">
        <v>243062</v>
      </c>
      <c r="C356" s="62">
        <v>352</v>
      </c>
      <c r="D356" s="63">
        <v>46005</v>
      </c>
      <c r="E356" s="63">
        <f t="shared" si="43"/>
        <v>46004</v>
      </c>
      <c r="F356" s="63">
        <f t="shared" si="47"/>
        <v>46015</v>
      </c>
      <c r="G356" s="63">
        <v>46095</v>
      </c>
      <c r="H356" s="63">
        <f ca="1">TODAY()</f>
        <v>46277</v>
      </c>
      <c r="I356" s="63" t="s">
        <v>349</v>
      </c>
      <c r="J356" s="64" t="s">
        <v>803</v>
      </c>
      <c r="K356" s="65">
        <f t="shared" si="49"/>
        <v>80</v>
      </c>
      <c r="L356" s="65">
        <v>1178789</v>
      </c>
      <c r="M356" s="64" t="s">
        <v>77</v>
      </c>
      <c r="N356" s="64">
        <v>812428</v>
      </c>
      <c r="O356" s="253" t="s">
        <v>1462</v>
      </c>
      <c r="P356" s="103">
        <v>46035</v>
      </c>
      <c r="Q356" s="103">
        <v>46205</v>
      </c>
      <c r="R356" s="73" t="s">
        <v>211</v>
      </c>
      <c r="S356" s="66" t="s">
        <v>804</v>
      </c>
      <c r="T356" s="67">
        <v>1</v>
      </c>
      <c r="U356" s="75" t="s">
        <v>81</v>
      </c>
      <c r="V356" s="68">
        <v>1</v>
      </c>
      <c r="W356" s="68"/>
      <c r="X356" s="69">
        <v>0</v>
      </c>
      <c r="Y356" s="68">
        <v>0</v>
      </c>
      <c r="Z356" s="68">
        <v>0</v>
      </c>
      <c r="AA356" s="68">
        <v>0</v>
      </c>
      <c r="AB356" s="68">
        <v>0</v>
      </c>
      <c r="AC356" s="68"/>
      <c r="AD356" s="68">
        <v>0</v>
      </c>
      <c r="AE356" s="68">
        <v>0</v>
      </c>
      <c r="AF356" s="68">
        <v>0</v>
      </c>
      <c r="AG356" s="68">
        <v>0</v>
      </c>
      <c r="AH356" s="68">
        <v>1</v>
      </c>
      <c r="AI356" s="68"/>
      <c r="AJ356" s="68">
        <v>1</v>
      </c>
      <c r="AK356" s="68"/>
      <c r="AL356" s="68">
        <v>1</v>
      </c>
      <c r="AM356" s="68"/>
      <c r="AN356" s="68">
        <v>1</v>
      </c>
      <c r="AO356" s="68"/>
      <c r="AP356" s="68">
        <v>1</v>
      </c>
      <c r="AQ356" s="68"/>
      <c r="AR356" s="68">
        <v>0</v>
      </c>
      <c r="AS356" s="68">
        <v>0</v>
      </c>
      <c r="AT356" s="68">
        <v>0</v>
      </c>
      <c r="AU356" s="68">
        <v>0</v>
      </c>
      <c r="AV356" s="68">
        <v>0</v>
      </c>
      <c r="AW356" s="68">
        <v>0</v>
      </c>
      <c r="AX356" s="146">
        <f t="shared" si="48"/>
        <v>1885</v>
      </c>
      <c r="AY356" s="146">
        <f t="shared" si="45"/>
        <v>0</v>
      </c>
      <c r="AZ356" s="64" t="s">
        <v>77</v>
      </c>
      <c r="BA356" s="64" t="s">
        <v>77</v>
      </c>
      <c r="BB356" s="15" t="s">
        <v>77</v>
      </c>
      <c r="BC356" s="74">
        <v>352</v>
      </c>
      <c r="BD356" s="70"/>
      <c r="BE356" s="67"/>
      <c r="BF356" s="71"/>
      <c r="BG356" s="15"/>
      <c r="BH356" s="72" t="s">
        <v>77</v>
      </c>
      <c r="BI356" s="72" t="s">
        <v>77</v>
      </c>
    </row>
    <row r="357" spans="1:63" s="16" customFormat="1" ht="44.1" customHeight="1" x14ac:dyDescent="0.3">
      <c r="A357" s="200">
        <v>353</v>
      </c>
      <c r="B357" s="62">
        <v>243064</v>
      </c>
      <c r="C357" s="62">
        <v>353</v>
      </c>
      <c r="D357" s="63">
        <v>46005</v>
      </c>
      <c r="E357" s="63">
        <f t="shared" si="43"/>
        <v>46004</v>
      </c>
      <c r="F357" s="63">
        <f t="shared" si="47"/>
        <v>46015</v>
      </c>
      <c r="G357" s="63">
        <v>46095</v>
      </c>
      <c r="H357" s="63">
        <f ca="1">TODAY()</f>
        <v>46277</v>
      </c>
      <c r="I357" s="63" t="s">
        <v>349</v>
      </c>
      <c r="J357" s="64" t="s">
        <v>805</v>
      </c>
      <c r="K357" s="65">
        <f t="shared" si="49"/>
        <v>80</v>
      </c>
      <c r="L357" s="65">
        <v>1178898</v>
      </c>
      <c r="M357" s="64" t="s">
        <v>77</v>
      </c>
      <c r="N357" s="64">
        <v>812428</v>
      </c>
      <c r="O357" s="253" t="s">
        <v>1462</v>
      </c>
      <c r="P357" s="103">
        <v>46035</v>
      </c>
      <c r="Q357" s="103">
        <v>46205</v>
      </c>
      <c r="R357" s="73" t="s">
        <v>211</v>
      </c>
      <c r="S357" s="66" t="s">
        <v>806</v>
      </c>
      <c r="T357" s="67">
        <v>1</v>
      </c>
      <c r="U357" s="75" t="s">
        <v>81</v>
      </c>
      <c r="V357" s="68">
        <v>1</v>
      </c>
      <c r="W357" s="68"/>
      <c r="X357" s="69">
        <v>1</v>
      </c>
      <c r="Y357" s="68"/>
      <c r="Z357" s="68">
        <v>0</v>
      </c>
      <c r="AA357" s="68">
        <v>0</v>
      </c>
      <c r="AB357" s="68">
        <v>0</v>
      </c>
      <c r="AC357" s="68"/>
      <c r="AD357" s="68">
        <v>0</v>
      </c>
      <c r="AE357" s="68">
        <v>0</v>
      </c>
      <c r="AF357" s="68">
        <v>0</v>
      </c>
      <c r="AG357" s="68">
        <v>0</v>
      </c>
      <c r="AH357" s="68">
        <v>1</v>
      </c>
      <c r="AI357" s="68"/>
      <c r="AJ357" s="68">
        <v>0</v>
      </c>
      <c r="AK357" s="68">
        <v>0</v>
      </c>
      <c r="AL357" s="68">
        <v>1</v>
      </c>
      <c r="AM357" s="68"/>
      <c r="AN357" s="68">
        <v>1</v>
      </c>
      <c r="AO357" s="68"/>
      <c r="AP357" s="68">
        <v>1</v>
      </c>
      <c r="AQ357" s="68"/>
      <c r="AR357" s="68">
        <v>0</v>
      </c>
      <c r="AS357" s="68">
        <v>0</v>
      </c>
      <c r="AT357" s="68">
        <v>0</v>
      </c>
      <c r="AU357" s="68">
        <v>0</v>
      </c>
      <c r="AV357" s="68">
        <v>0</v>
      </c>
      <c r="AW357" s="68">
        <v>0</v>
      </c>
      <c r="AX357" s="146">
        <f t="shared" si="48"/>
        <v>1590</v>
      </c>
      <c r="AY357" s="146">
        <f t="shared" si="45"/>
        <v>0</v>
      </c>
      <c r="AZ357" s="64" t="s">
        <v>77</v>
      </c>
      <c r="BA357" s="64" t="s">
        <v>77</v>
      </c>
      <c r="BB357" s="15" t="s">
        <v>77</v>
      </c>
      <c r="BC357" s="74">
        <v>353</v>
      </c>
      <c r="BD357" s="70"/>
      <c r="BE357" s="67"/>
      <c r="BF357" s="71"/>
      <c r="BG357" s="15"/>
      <c r="BH357" s="72" t="s">
        <v>77</v>
      </c>
      <c r="BI357" s="72" t="s">
        <v>77</v>
      </c>
    </row>
    <row r="358" spans="1:63" s="16" customFormat="1" ht="44.1" customHeight="1" x14ac:dyDescent="0.3">
      <c r="A358" s="200">
        <v>354</v>
      </c>
      <c r="B358" s="62">
        <v>243078</v>
      </c>
      <c r="C358" s="62">
        <v>354</v>
      </c>
      <c r="D358" s="63">
        <v>46005</v>
      </c>
      <c r="E358" s="63">
        <f t="shared" si="43"/>
        <v>46004</v>
      </c>
      <c r="F358" s="63">
        <f t="shared" si="47"/>
        <v>46015</v>
      </c>
      <c r="G358" s="63">
        <v>46095</v>
      </c>
      <c r="H358" s="63">
        <f ca="1">TODAY()</f>
        <v>46277</v>
      </c>
      <c r="I358" s="63" t="s">
        <v>349</v>
      </c>
      <c r="J358" s="64" t="s">
        <v>807</v>
      </c>
      <c r="K358" s="65">
        <f t="shared" si="49"/>
        <v>80</v>
      </c>
      <c r="L358" s="65">
        <v>1179052</v>
      </c>
      <c r="M358" s="64" t="s">
        <v>77</v>
      </c>
      <c r="N358" s="64">
        <v>812428</v>
      </c>
      <c r="O358" s="253" t="s">
        <v>1462</v>
      </c>
      <c r="P358" s="103">
        <v>46035</v>
      </c>
      <c r="Q358" s="103">
        <v>46205</v>
      </c>
      <c r="R358" s="73" t="s">
        <v>211</v>
      </c>
      <c r="S358" s="66" t="s">
        <v>808</v>
      </c>
      <c r="T358" s="67">
        <v>1</v>
      </c>
      <c r="U358" s="75" t="s">
        <v>81</v>
      </c>
      <c r="V358" s="68">
        <v>8</v>
      </c>
      <c r="W358" s="68"/>
      <c r="X358" s="69">
        <v>1</v>
      </c>
      <c r="Y358" s="68"/>
      <c r="Z358" s="68">
        <v>0</v>
      </c>
      <c r="AA358" s="68">
        <v>0</v>
      </c>
      <c r="AB358" s="68">
        <v>0</v>
      </c>
      <c r="AC358" s="68"/>
      <c r="AD358" s="68">
        <v>0</v>
      </c>
      <c r="AE358" s="68">
        <v>0</v>
      </c>
      <c r="AF358" s="68">
        <v>0</v>
      </c>
      <c r="AG358" s="68">
        <v>0</v>
      </c>
      <c r="AH358" s="68">
        <v>1</v>
      </c>
      <c r="AI358" s="68"/>
      <c r="AJ358" s="68">
        <v>0</v>
      </c>
      <c r="AK358" s="68">
        <v>0</v>
      </c>
      <c r="AL358" s="68">
        <v>1</v>
      </c>
      <c r="AM358" s="68"/>
      <c r="AN358" s="68">
        <v>1</v>
      </c>
      <c r="AO358" s="68"/>
      <c r="AP358" s="68">
        <v>1</v>
      </c>
      <c r="AQ358" s="68"/>
      <c r="AR358" s="68">
        <v>0</v>
      </c>
      <c r="AS358" s="68">
        <v>0</v>
      </c>
      <c r="AT358" s="68">
        <v>0</v>
      </c>
      <c r="AU358" s="68">
        <v>0</v>
      </c>
      <c r="AV358" s="68">
        <v>0</v>
      </c>
      <c r="AW358" s="68">
        <v>0</v>
      </c>
      <c r="AX358" s="146">
        <f t="shared" si="48"/>
        <v>2010</v>
      </c>
      <c r="AY358" s="146">
        <f t="shared" si="45"/>
        <v>0</v>
      </c>
      <c r="AZ358" s="64" t="s">
        <v>77</v>
      </c>
      <c r="BA358" s="64" t="s">
        <v>77</v>
      </c>
      <c r="BB358" s="15" t="s">
        <v>77</v>
      </c>
      <c r="BC358" s="74">
        <v>354</v>
      </c>
      <c r="BD358" s="70"/>
      <c r="BE358" s="67"/>
      <c r="BF358" s="71"/>
      <c r="BG358" s="15"/>
      <c r="BH358" s="72" t="s">
        <v>77</v>
      </c>
      <c r="BI358" s="72" t="s">
        <v>77</v>
      </c>
    </row>
    <row r="359" spans="1:63" s="16" customFormat="1" ht="44.1" customHeight="1" x14ac:dyDescent="0.3">
      <c r="A359" s="200">
        <v>355</v>
      </c>
      <c r="B359" s="62">
        <v>243085</v>
      </c>
      <c r="C359" s="62">
        <v>355</v>
      </c>
      <c r="D359" s="63">
        <v>46005</v>
      </c>
      <c r="E359" s="63">
        <f t="shared" si="43"/>
        <v>46004</v>
      </c>
      <c r="F359" s="63">
        <f t="shared" si="47"/>
        <v>46015</v>
      </c>
      <c r="G359" s="63">
        <v>46095</v>
      </c>
      <c r="H359" s="63">
        <f ca="1">TODAY()</f>
        <v>46277</v>
      </c>
      <c r="I359" s="63" t="s">
        <v>349</v>
      </c>
      <c r="J359" s="64" t="s">
        <v>809</v>
      </c>
      <c r="K359" s="65">
        <f t="shared" si="49"/>
        <v>80</v>
      </c>
      <c r="L359" s="65">
        <v>1179059</v>
      </c>
      <c r="M359" s="64" t="s">
        <v>77</v>
      </c>
      <c r="N359" s="64">
        <v>812428</v>
      </c>
      <c r="O359" s="253" t="s">
        <v>1462</v>
      </c>
      <c r="P359" s="103">
        <v>46035</v>
      </c>
      <c r="Q359" s="103">
        <v>46205</v>
      </c>
      <c r="R359" s="73" t="s">
        <v>211</v>
      </c>
      <c r="S359" s="66" t="s">
        <v>810</v>
      </c>
      <c r="T359" s="67">
        <v>1</v>
      </c>
      <c r="U359" s="75" t="s">
        <v>81</v>
      </c>
      <c r="V359" s="68">
        <v>4</v>
      </c>
      <c r="W359" s="68"/>
      <c r="X359" s="69">
        <v>1</v>
      </c>
      <c r="Y359" s="68"/>
      <c r="Z359" s="68">
        <v>0</v>
      </c>
      <c r="AA359" s="68">
        <v>0</v>
      </c>
      <c r="AB359" s="68">
        <v>0</v>
      </c>
      <c r="AC359" s="68"/>
      <c r="AD359" s="68">
        <v>0</v>
      </c>
      <c r="AE359" s="68">
        <v>0</v>
      </c>
      <c r="AF359" s="68">
        <v>0</v>
      </c>
      <c r="AG359" s="68">
        <v>0</v>
      </c>
      <c r="AH359" s="68">
        <v>1</v>
      </c>
      <c r="AI359" s="68"/>
      <c r="AJ359" s="68">
        <v>0</v>
      </c>
      <c r="AK359" s="68">
        <v>0</v>
      </c>
      <c r="AL359" s="68">
        <v>1</v>
      </c>
      <c r="AM359" s="68"/>
      <c r="AN359" s="68">
        <v>1</v>
      </c>
      <c r="AO359" s="68"/>
      <c r="AP359" s="68">
        <v>1</v>
      </c>
      <c r="AQ359" s="68"/>
      <c r="AR359" s="68">
        <v>0</v>
      </c>
      <c r="AS359" s="68">
        <v>0</v>
      </c>
      <c r="AT359" s="68">
        <v>0</v>
      </c>
      <c r="AU359" s="68">
        <v>0</v>
      </c>
      <c r="AV359" s="68">
        <v>0</v>
      </c>
      <c r="AW359" s="68">
        <v>0</v>
      </c>
      <c r="AX359" s="146">
        <f t="shared" si="48"/>
        <v>1770</v>
      </c>
      <c r="AY359" s="146">
        <f t="shared" si="45"/>
        <v>0</v>
      </c>
      <c r="AZ359" s="64" t="s">
        <v>77</v>
      </c>
      <c r="BA359" s="64" t="s">
        <v>77</v>
      </c>
      <c r="BB359" s="15" t="s">
        <v>77</v>
      </c>
      <c r="BC359" s="74">
        <v>355</v>
      </c>
      <c r="BD359" s="70"/>
      <c r="BE359" s="67"/>
      <c r="BF359" s="71"/>
      <c r="BG359" s="15"/>
      <c r="BH359" s="72" t="s">
        <v>77</v>
      </c>
      <c r="BI359" s="72" t="s">
        <v>77</v>
      </c>
    </row>
    <row r="360" spans="1:63" s="16" customFormat="1" ht="44.1" hidden="1" customHeight="1" x14ac:dyDescent="0.3">
      <c r="A360" s="200">
        <v>356</v>
      </c>
      <c r="B360" s="90">
        <v>243123</v>
      </c>
      <c r="C360" s="90">
        <v>356</v>
      </c>
      <c r="D360" s="91">
        <v>46005</v>
      </c>
      <c r="E360" s="91">
        <f t="shared" si="43"/>
        <v>46004</v>
      </c>
      <c r="F360" s="91">
        <f t="shared" si="47"/>
        <v>46015</v>
      </c>
      <c r="G360" s="91">
        <v>46095</v>
      </c>
      <c r="H360" s="91">
        <f ca="1">TODAY()</f>
        <v>46277</v>
      </c>
      <c r="I360" s="91" t="s">
        <v>349</v>
      </c>
      <c r="J360" s="92" t="s">
        <v>811</v>
      </c>
      <c r="K360" s="93">
        <f t="shared" si="49"/>
        <v>80</v>
      </c>
      <c r="L360" s="93">
        <v>1179163</v>
      </c>
      <c r="M360" s="92" t="s">
        <v>212</v>
      </c>
      <c r="N360" s="92" t="s">
        <v>213</v>
      </c>
      <c r="O360" s="92" t="s">
        <v>213</v>
      </c>
      <c r="P360" s="126" t="s">
        <v>212</v>
      </c>
      <c r="Q360" s="126" t="s">
        <v>212</v>
      </c>
      <c r="R360" s="158" t="s">
        <v>1235</v>
      </c>
      <c r="S360" s="94" t="s">
        <v>713</v>
      </c>
      <c r="T360" s="95">
        <v>1</v>
      </c>
      <c r="U360" s="159" t="s">
        <v>81</v>
      </c>
      <c r="V360" s="96">
        <v>17</v>
      </c>
      <c r="W360" s="96"/>
      <c r="X360" s="97">
        <v>1</v>
      </c>
      <c r="Y360" s="96"/>
      <c r="Z360" s="96">
        <v>0</v>
      </c>
      <c r="AA360" s="96">
        <v>0</v>
      </c>
      <c r="AB360" s="96">
        <v>1</v>
      </c>
      <c r="AC360" s="96"/>
      <c r="AD360" s="96">
        <v>0</v>
      </c>
      <c r="AE360" s="96">
        <v>0</v>
      </c>
      <c r="AF360" s="96">
        <v>0</v>
      </c>
      <c r="AG360" s="96">
        <v>0</v>
      </c>
      <c r="AH360" s="96">
        <v>1</v>
      </c>
      <c r="AI360" s="96"/>
      <c r="AJ360" s="96">
        <v>0</v>
      </c>
      <c r="AK360" s="96">
        <v>0</v>
      </c>
      <c r="AL360" s="96">
        <v>1</v>
      </c>
      <c r="AM360" s="96"/>
      <c r="AN360" s="96">
        <v>1</v>
      </c>
      <c r="AO360" s="96"/>
      <c r="AP360" s="96">
        <v>1</v>
      </c>
      <c r="AQ360" s="96"/>
      <c r="AR360" s="96">
        <v>0</v>
      </c>
      <c r="AS360" s="96">
        <v>0</v>
      </c>
      <c r="AT360" s="96">
        <v>0</v>
      </c>
      <c r="AU360" s="96">
        <v>0</v>
      </c>
      <c r="AV360" s="96">
        <v>0</v>
      </c>
      <c r="AW360" s="96">
        <v>0</v>
      </c>
      <c r="AX360" s="146">
        <f t="shared" si="48"/>
        <v>2607</v>
      </c>
      <c r="AY360" s="146">
        <f t="shared" si="45"/>
        <v>0</v>
      </c>
      <c r="AZ360" s="92" t="s">
        <v>212</v>
      </c>
      <c r="BA360" s="92" t="s">
        <v>212</v>
      </c>
      <c r="BB360" s="89" t="s">
        <v>212</v>
      </c>
      <c r="BC360" s="160">
        <v>356</v>
      </c>
      <c r="BD360" s="100"/>
      <c r="BE360" s="95"/>
      <c r="BF360" s="101"/>
      <c r="BG360" s="89"/>
      <c r="BH360" s="102" t="s">
        <v>212</v>
      </c>
      <c r="BI360" s="102" t="s">
        <v>212</v>
      </c>
    </row>
    <row r="361" spans="1:63" s="16" customFormat="1" ht="44.1" hidden="1" customHeight="1" x14ac:dyDescent="0.3">
      <c r="A361" s="200">
        <v>357</v>
      </c>
      <c r="B361" s="138">
        <v>243129</v>
      </c>
      <c r="C361" s="138">
        <v>357</v>
      </c>
      <c r="D361" s="139">
        <v>46005</v>
      </c>
      <c r="E361" s="139">
        <f t="shared" si="43"/>
        <v>46004</v>
      </c>
      <c r="F361" s="139">
        <f t="shared" si="47"/>
        <v>46015</v>
      </c>
      <c r="G361" s="139">
        <v>46066</v>
      </c>
      <c r="H361" s="139">
        <v>46051</v>
      </c>
      <c r="I361" s="139" t="s">
        <v>123</v>
      </c>
      <c r="J361" s="140" t="s">
        <v>812</v>
      </c>
      <c r="K361" s="141">
        <f t="shared" si="49"/>
        <v>51</v>
      </c>
      <c r="L361" s="141">
        <v>1179174</v>
      </c>
      <c r="M361" s="140" t="s">
        <v>15</v>
      </c>
      <c r="N361" s="140">
        <v>812429</v>
      </c>
      <c r="O361" s="137" t="s">
        <v>246</v>
      </c>
      <c r="P361" s="143">
        <v>46029</v>
      </c>
      <c r="Q361" s="143">
        <v>46205</v>
      </c>
      <c r="R361" s="185" t="s">
        <v>211</v>
      </c>
      <c r="S361" s="144" t="s">
        <v>813</v>
      </c>
      <c r="T361" s="145">
        <v>1</v>
      </c>
      <c r="U361" s="186" t="s">
        <v>790</v>
      </c>
      <c r="V361" s="146">
        <v>16</v>
      </c>
      <c r="W361" s="146">
        <v>16</v>
      </c>
      <c r="X361" s="147">
        <v>0</v>
      </c>
      <c r="Y361" s="146"/>
      <c r="Z361" s="146">
        <v>0</v>
      </c>
      <c r="AA361" s="146">
        <v>0</v>
      </c>
      <c r="AB361" s="146">
        <v>16</v>
      </c>
      <c r="AC361" s="146">
        <v>16</v>
      </c>
      <c r="AD361" s="146">
        <v>0</v>
      </c>
      <c r="AE361" s="146">
        <v>0</v>
      </c>
      <c r="AF361" s="146">
        <v>0</v>
      </c>
      <c r="AG361" s="146">
        <v>0</v>
      </c>
      <c r="AH361" s="146">
        <v>1</v>
      </c>
      <c r="AI361" s="146">
        <v>1</v>
      </c>
      <c r="AJ361" s="146">
        <v>0</v>
      </c>
      <c r="AK361" s="146">
        <v>0</v>
      </c>
      <c r="AL361" s="146">
        <v>1</v>
      </c>
      <c r="AM361" s="146">
        <v>1</v>
      </c>
      <c r="AN361" s="146">
        <v>1</v>
      </c>
      <c r="AO361" s="146">
        <v>1</v>
      </c>
      <c r="AP361" s="146">
        <v>1</v>
      </c>
      <c r="AQ361" s="146">
        <v>1</v>
      </c>
      <c r="AR361" s="146">
        <v>0</v>
      </c>
      <c r="AS361" s="146">
        <v>0</v>
      </c>
      <c r="AT361" s="146">
        <v>1</v>
      </c>
      <c r="AU361" s="146">
        <v>1</v>
      </c>
      <c r="AV361" s="146">
        <v>0</v>
      </c>
      <c r="AW361" s="146">
        <v>0</v>
      </c>
      <c r="AX361" s="146">
        <f t="shared" si="48"/>
        <v>3672</v>
      </c>
      <c r="AY361" s="146">
        <f t="shared" si="45"/>
        <v>3672</v>
      </c>
      <c r="AZ361" s="140" t="s">
        <v>562</v>
      </c>
      <c r="BA361" s="140" t="s">
        <v>562</v>
      </c>
      <c r="BB361" s="137">
        <v>7</v>
      </c>
      <c r="BC361" s="187">
        <v>357</v>
      </c>
      <c r="BD361" s="149"/>
      <c r="BE361" s="145"/>
      <c r="BF361" s="150"/>
      <c r="BG361" s="188">
        <v>46023</v>
      </c>
      <c r="BH361" s="153" t="s">
        <v>15</v>
      </c>
      <c r="BI361" s="153" t="s">
        <v>562</v>
      </c>
    </row>
    <row r="362" spans="1:63" s="16" customFormat="1" ht="44.1" hidden="1" customHeight="1" x14ac:dyDescent="0.3">
      <c r="A362" s="200">
        <v>358</v>
      </c>
      <c r="B362" s="138">
        <v>243142</v>
      </c>
      <c r="C362" s="138">
        <v>358</v>
      </c>
      <c r="D362" s="139">
        <v>46006</v>
      </c>
      <c r="E362" s="139">
        <f t="shared" si="43"/>
        <v>46005</v>
      </c>
      <c r="F362" s="139">
        <f t="shared" si="47"/>
        <v>46016</v>
      </c>
      <c r="G362" s="139">
        <v>46095</v>
      </c>
      <c r="H362" s="139">
        <v>46154</v>
      </c>
      <c r="I362" s="139" t="s">
        <v>321</v>
      </c>
      <c r="J362" s="140" t="s">
        <v>814</v>
      </c>
      <c r="K362" s="141">
        <f t="shared" si="49"/>
        <v>79</v>
      </c>
      <c r="L362" s="141">
        <v>1179305</v>
      </c>
      <c r="M362" s="140" t="s">
        <v>15</v>
      </c>
      <c r="N362" s="140">
        <v>812428</v>
      </c>
      <c r="O362" s="137" t="s">
        <v>246</v>
      </c>
      <c r="P362" s="143">
        <v>46035</v>
      </c>
      <c r="Q362" s="143">
        <v>46205</v>
      </c>
      <c r="R362" s="185" t="s">
        <v>211</v>
      </c>
      <c r="S362" s="144" t="s">
        <v>815</v>
      </c>
      <c r="T362" s="145">
        <v>1</v>
      </c>
      <c r="U362" s="186" t="s">
        <v>81</v>
      </c>
      <c r="V362" s="146">
        <v>122</v>
      </c>
      <c r="W362" s="146">
        <v>122</v>
      </c>
      <c r="X362" s="147">
        <v>0</v>
      </c>
      <c r="Y362" s="146">
        <v>0</v>
      </c>
      <c r="Z362" s="146">
        <v>0</v>
      </c>
      <c r="AA362" s="146">
        <v>0</v>
      </c>
      <c r="AB362" s="146">
        <v>122</v>
      </c>
      <c r="AC362" s="146">
        <v>122</v>
      </c>
      <c r="AD362" s="146">
        <v>0</v>
      </c>
      <c r="AE362" s="146">
        <v>0</v>
      </c>
      <c r="AF362" s="146">
        <v>0</v>
      </c>
      <c r="AG362" s="146">
        <v>0</v>
      </c>
      <c r="AH362" s="146">
        <v>1</v>
      </c>
      <c r="AI362" s="146">
        <v>1</v>
      </c>
      <c r="AJ362" s="146">
        <v>0</v>
      </c>
      <c r="AK362" s="146">
        <v>0</v>
      </c>
      <c r="AL362" s="146">
        <v>0</v>
      </c>
      <c r="AM362" s="146">
        <v>0</v>
      </c>
      <c r="AN362" s="146">
        <v>2</v>
      </c>
      <c r="AO362" s="146">
        <v>2</v>
      </c>
      <c r="AP362" s="146">
        <v>2</v>
      </c>
      <c r="AQ362" s="146">
        <v>2</v>
      </c>
      <c r="AR362" s="146">
        <v>0</v>
      </c>
      <c r="AS362" s="146">
        <v>0</v>
      </c>
      <c r="AT362" s="146">
        <v>0</v>
      </c>
      <c r="AU362" s="146">
        <v>0</v>
      </c>
      <c r="AV362" s="146">
        <v>0</v>
      </c>
      <c r="AW362" s="146">
        <v>0</v>
      </c>
      <c r="AX362" s="146">
        <f t="shared" si="48"/>
        <v>15824</v>
      </c>
      <c r="AY362" s="146">
        <f t="shared" si="45"/>
        <v>15824</v>
      </c>
      <c r="AZ362" s="140" t="s">
        <v>562</v>
      </c>
      <c r="BA362" s="140" t="s">
        <v>562</v>
      </c>
      <c r="BB362" s="137">
        <v>12</v>
      </c>
      <c r="BC362" s="187">
        <v>358</v>
      </c>
      <c r="BD362" s="149"/>
      <c r="BE362" s="145"/>
      <c r="BF362" s="150"/>
      <c r="BG362" s="188">
        <v>46126</v>
      </c>
      <c r="BH362" s="153" t="s">
        <v>15</v>
      </c>
      <c r="BI362" s="153" t="s">
        <v>562</v>
      </c>
      <c r="BK362" s="238"/>
    </row>
    <row r="363" spans="1:63" s="16" customFormat="1" ht="44.1" hidden="1" customHeight="1" x14ac:dyDescent="0.3">
      <c r="A363" s="200">
        <v>359</v>
      </c>
      <c r="B363" s="138">
        <v>243145</v>
      </c>
      <c r="C363" s="138">
        <v>359</v>
      </c>
      <c r="D363" s="139">
        <v>46006</v>
      </c>
      <c r="E363" s="139">
        <f t="shared" si="43"/>
        <v>46005</v>
      </c>
      <c r="F363" s="139">
        <f t="shared" si="47"/>
        <v>46016</v>
      </c>
      <c r="G363" s="139">
        <v>46095</v>
      </c>
      <c r="H363" s="139">
        <v>46126</v>
      </c>
      <c r="I363" s="139" t="s">
        <v>321</v>
      </c>
      <c r="J363" s="140" t="s">
        <v>816</v>
      </c>
      <c r="K363" s="141">
        <f t="shared" si="49"/>
        <v>79</v>
      </c>
      <c r="L363" s="141">
        <v>1179318</v>
      </c>
      <c r="M363" s="140" t="s">
        <v>15</v>
      </c>
      <c r="N363" s="140">
        <v>812427</v>
      </c>
      <c r="O363" s="140" t="s">
        <v>246</v>
      </c>
      <c r="P363" s="143">
        <v>46056</v>
      </c>
      <c r="Q363" s="143">
        <v>46205</v>
      </c>
      <c r="R363" s="185" t="s">
        <v>211</v>
      </c>
      <c r="S363" s="144" t="s">
        <v>817</v>
      </c>
      <c r="T363" s="145">
        <v>1</v>
      </c>
      <c r="U363" s="186" t="s">
        <v>160</v>
      </c>
      <c r="V363" s="146">
        <v>135</v>
      </c>
      <c r="W363" s="146">
        <v>135</v>
      </c>
      <c r="X363" s="147">
        <v>0</v>
      </c>
      <c r="Y363" s="146">
        <v>0</v>
      </c>
      <c r="Z363" s="146">
        <v>0</v>
      </c>
      <c r="AA363" s="146">
        <v>0</v>
      </c>
      <c r="AB363" s="146">
        <v>41</v>
      </c>
      <c r="AC363" s="146">
        <v>41</v>
      </c>
      <c r="AD363" s="146">
        <v>3</v>
      </c>
      <c r="AE363" s="146">
        <v>3</v>
      </c>
      <c r="AF363" s="146">
        <v>0</v>
      </c>
      <c r="AG363" s="146">
        <v>0</v>
      </c>
      <c r="AH363" s="146">
        <v>0</v>
      </c>
      <c r="AI363" s="146">
        <v>0</v>
      </c>
      <c r="AJ363" s="146">
        <v>0</v>
      </c>
      <c r="AK363" s="146">
        <v>0</v>
      </c>
      <c r="AL363" s="146">
        <v>0</v>
      </c>
      <c r="AM363" s="146">
        <v>0</v>
      </c>
      <c r="AN363" s="146">
        <v>1</v>
      </c>
      <c r="AO363" s="146">
        <v>1</v>
      </c>
      <c r="AP363" s="146">
        <v>1</v>
      </c>
      <c r="AQ363" s="146">
        <v>1</v>
      </c>
      <c r="AR363" s="146">
        <v>0</v>
      </c>
      <c r="AS363" s="146">
        <v>0</v>
      </c>
      <c r="AT363" s="146">
        <v>0</v>
      </c>
      <c r="AU363" s="146">
        <v>0</v>
      </c>
      <c r="AV363" s="146">
        <v>0</v>
      </c>
      <c r="AW363" s="146">
        <v>0</v>
      </c>
      <c r="AX363" s="146">
        <f t="shared" si="48"/>
        <v>11352</v>
      </c>
      <c r="AY363" s="146">
        <f t="shared" si="45"/>
        <v>11352</v>
      </c>
      <c r="AZ363" s="140" t="s">
        <v>562</v>
      </c>
      <c r="BA363" s="140" t="s">
        <v>562</v>
      </c>
      <c r="BB363" s="137">
        <v>10</v>
      </c>
      <c r="BC363" s="187">
        <v>359</v>
      </c>
      <c r="BD363" s="149"/>
      <c r="BE363" s="145"/>
      <c r="BF363" s="150"/>
      <c r="BG363" s="188">
        <v>46124</v>
      </c>
      <c r="BH363" s="153" t="s">
        <v>15</v>
      </c>
      <c r="BI363" s="153" t="s">
        <v>562</v>
      </c>
    </row>
    <row r="364" spans="1:63" s="16" customFormat="1" ht="44.1" customHeight="1" x14ac:dyDescent="0.3">
      <c r="A364" s="200">
        <v>360</v>
      </c>
      <c r="B364" s="62">
        <v>243148</v>
      </c>
      <c r="C364" s="62">
        <v>360</v>
      </c>
      <c r="D364" s="63">
        <v>46006</v>
      </c>
      <c r="E364" s="63">
        <f t="shared" si="43"/>
        <v>46005</v>
      </c>
      <c r="F364" s="63">
        <f t="shared" si="47"/>
        <v>46016</v>
      </c>
      <c r="G364" s="63">
        <v>46095</v>
      </c>
      <c r="H364" s="63">
        <f ca="1">TODAY()</f>
        <v>46277</v>
      </c>
      <c r="I364" s="63" t="s">
        <v>321</v>
      </c>
      <c r="J364" s="64" t="s">
        <v>818</v>
      </c>
      <c r="K364" s="65">
        <f t="shared" si="49"/>
        <v>79</v>
      </c>
      <c r="L364" s="65">
        <v>1179329</v>
      </c>
      <c r="M364" s="64" t="s">
        <v>77</v>
      </c>
      <c r="N364" s="64">
        <v>812964</v>
      </c>
      <c r="O364" s="253" t="s">
        <v>1462</v>
      </c>
      <c r="P364" s="103">
        <v>46037</v>
      </c>
      <c r="Q364" s="103">
        <v>46212</v>
      </c>
      <c r="R364" s="73" t="s">
        <v>211</v>
      </c>
      <c r="S364" s="66" t="s">
        <v>819</v>
      </c>
      <c r="T364" s="67">
        <v>1</v>
      </c>
      <c r="U364" s="75" t="s">
        <v>173</v>
      </c>
      <c r="V364" s="68">
        <v>196</v>
      </c>
      <c r="W364" s="68"/>
      <c r="X364" s="69">
        <v>1</v>
      </c>
      <c r="Y364" s="68"/>
      <c r="Z364" s="68">
        <v>0</v>
      </c>
      <c r="AA364" s="68">
        <v>0</v>
      </c>
      <c r="AB364" s="68">
        <v>0</v>
      </c>
      <c r="AC364" s="68"/>
      <c r="AD364" s="68">
        <v>0</v>
      </c>
      <c r="AE364" s="68">
        <v>0</v>
      </c>
      <c r="AF364" s="68">
        <v>0</v>
      </c>
      <c r="AG364" s="68">
        <v>0</v>
      </c>
      <c r="AH364" s="68">
        <v>0</v>
      </c>
      <c r="AI364" s="68">
        <v>0</v>
      </c>
      <c r="AJ364" s="68">
        <v>1</v>
      </c>
      <c r="AK364" s="68"/>
      <c r="AL364" s="68">
        <v>1</v>
      </c>
      <c r="AM364" s="68"/>
      <c r="AN364" s="68">
        <v>1</v>
      </c>
      <c r="AO364" s="68"/>
      <c r="AP364" s="68">
        <v>1</v>
      </c>
      <c r="AQ364" s="68"/>
      <c r="AR364" s="68">
        <v>0</v>
      </c>
      <c r="AS364" s="68">
        <v>0</v>
      </c>
      <c r="AT364" s="68">
        <v>0</v>
      </c>
      <c r="AU364" s="68">
        <v>0</v>
      </c>
      <c r="AV364" s="68">
        <v>0</v>
      </c>
      <c r="AW364" s="68">
        <v>0</v>
      </c>
      <c r="AX364" s="146">
        <f t="shared" si="48"/>
        <v>13495</v>
      </c>
      <c r="AY364" s="146">
        <f t="shared" si="45"/>
        <v>0</v>
      </c>
      <c r="AZ364" s="64" t="s">
        <v>77</v>
      </c>
      <c r="BA364" s="64" t="s">
        <v>77</v>
      </c>
      <c r="BB364" s="15" t="s">
        <v>77</v>
      </c>
      <c r="BC364" s="74">
        <v>360</v>
      </c>
      <c r="BD364" s="70"/>
      <c r="BE364" s="67"/>
      <c r="BF364" s="71"/>
      <c r="BG364" s="15"/>
      <c r="BH364" s="72" t="s">
        <v>77</v>
      </c>
      <c r="BI364" s="72" t="s">
        <v>77</v>
      </c>
    </row>
    <row r="365" spans="1:63" s="16" customFormat="1" ht="44.1" hidden="1" customHeight="1" x14ac:dyDescent="0.3">
      <c r="A365" s="200">
        <v>361</v>
      </c>
      <c r="B365" s="138">
        <v>243238</v>
      </c>
      <c r="C365" s="138">
        <v>361</v>
      </c>
      <c r="D365" s="139">
        <v>46007</v>
      </c>
      <c r="E365" s="139">
        <f t="shared" si="43"/>
        <v>46006</v>
      </c>
      <c r="F365" s="139">
        <f t="shared" si="47"/>
        <v>46017</v>
      </c>
      <c r="G365" s="139">
        <v>46068</v>
      </c>
      <c r="H365" s="139">
        <v>46046</v>
      </c>
      <c r="I365" s="139" t="s">
        <v>123</v>
      </c>
      <c r="J365" s="140" t="s">
        <v>820</v>
      </c>
      <c r="K365" s="141">
        <f t="shared" si="49"/>
        <v>51</v>
      </c>
      <c r="L365" s="141">
        <v>1179757</v>
      </c>
      <c r="M365" s="140" t="s">
        <v>15</v>
      </c>
      <c r="N365" s="140">
        <v>812433</v>
      </c>
      <c r="O365" s="140" t="s">
        <v>246</v>
      </c>
      <c r="P365" s="143">
        <v>46022</v>
      </c>
      <c r="Q365" s="143">
        <v>46205</v>
      </c>
      <c r="R365" s="185" t="s">
        <v>211</v>
      </c>
      <c r="S365" s="144" t="s">
        <v>821</v>
      </c>
      <c r="T365" s="145">
        <v>2</v>
      </c>
      <c r="U365" s="186" t="s">
        <v>82</v>
      </c>
      <c r="V365" s="146">
        <v>92</v>
      </c>
      <c r="W365" s="146">
        <v>92</v>
      </c>
      <c r="X365" s="147">
        <v>0</v>
      </c>
      <c r="Y365" s="146"/>
      <c r="Z365" s="146">
        <v>0</v>
      </c>
      <c r="AA365" s="146">
        <v>0</v>
      </c>
      <c r="AB365" s="146">
        <v>10</v>
      </c>
      <c r="AC365" s="146">
        <v>10</v>
      </c>
      <c r="AD365" s="146">
        <v>0</v>
      </c>
      <c r="AE365" s="146">
        <v>0</v>
      </c>
      <c r="AF365" s="146">
        <v>0</v>
      </c>
      <c r="AG365" s="146">
        <v>0</v>
      </c>
      <c r="AH365" s="146">
        <v>2</v>
      </c>
      <c r="AI365" s="146">
        <v>2</v>
      </c>
      <c r="AJ365" s="146">
        <v>0</v>
      </c>
      <c r="AK365" s="146">
        <v>0</v>
      </c>
      <c r="AL365" s="146">
        <v>1</v>
      </c>
      <c r="AM365" s="146">
        <v>1</v>
      </c>
      <c r="AN365" s="146">
        <v>3</v>
      </c>
      <c r="AO365" s="146">
        <v>3</v>
      </c>
      <c r="AP365" s="146">
        <v>4</v>
      </c>
      <c r="AQ365" s="146">
        <v>4</v>
      </c>
      <c r="AR365" s="146">
        <v>0</v>
      </c>
      <c r="AS365" s="146">
        <v>0</v>
      </c>
      <c r="AT365" s="146">
        <v>2</v>
      </c>
      <c r="AU365" s="146">
        <v>2</v>
      </c>
      <c r="AV365" s="146">
        <v>0</v>
      </c>
      <c r="AW365" s="146">
        <v>0</v>
      </c>
      <c r="AX365" s="146">
        <f t="shared" si="48"/>
        <v>10420</v>
      </c>
      <c r="AY365" s="146">
        <f t="shared" si="45"/>
        <v>10420</v>
      </c>
      <c r="AZ365" s="140" t="s">
        <v>562</v>
      </c>
      <c r="BA365" s="140" t="s">
        <v>562</v>
      </c>
      <c r="BB365" s="137">
        <v>8</v>
      </c>
      <c r="BC365" s="187">
        <v>361</v>
      </c>
      <c r="BD365" s="149"/>
      <c r="BE365" s="145"/>
      <c r="BF365" s="150"/>
      <c r="BG365" s="188">
        <v>46023</v>
      </c>
      <c r="BH365" s="153" t="s">
        <v>15</v>
      </c>
      <c r="BI365" s="153" t="s">
        <v>562</v>
      </c>
    </row>
    <row r="366" spans="1:63" s="16" customFormat="1" ht="44.1" hidden="1" customHeight="1" x14ac:dyDescent="0.3">
      <c r="A366" s="200">
        <v>362</v>
      </c>
      <c r="B366" s="138">
        <v>243239</v>
      </c>
      <c r="C366" s="138">
        <v>362</v>
      </c>
      <c r="D366" s="139">
        <v>46007</v>
      </c>
      <c r="E366" s="139">
        <f t="shared" ref="E366:E429" si="51">D366-1</f>
        <v>46006</v>
      </c>
      <c r="F366" s="139">
        <f t="shared" si="47"/>
        <v>46017</v>
      </c>
      <c r="G366" s="139">
        <v>46068</v>
      </c>
      <c r="H366" s="139">
        <v>46056</v>
      </c>
      <c r="I366" s="139" t="s">
        <v>123</v>
      </c>
      <c r="J366" s="140" t="s">
        <v>822</v>
      </c>
      <c r="K366" s="141">
        <f t="shared" si="49"/>
        <v>51</v>
      </c>
      <c r="L366" s="141">
        <v>1179758</v>
      </c>
      <c r="M366" s="140" t="s">
        <v>15</v>
      </c>
      <c r="N366" s="140">
        <v>812434</v>
      </c>
      <c r="O366" s="140" t="s">
        <v>246</v>
      </c>
      <c r="P366" s="143">
        <v>46028</v>
      </c>
      <c r="Q366" s="143">
        <v>46205</v>
      </c>
      <c r="R366" s="185" t="s">
        <v>211</v>
      </c>
      <c r="S366" s="144" t="s">
        <v>823</v>
      </c>
      <c r="T366" s="145">
        <v>1</v>
      </c>
      <c r="U366" s="186" t="s">
        <v>106</v>
      </c>
      <c r="V366" s="146">
        <v>60</v>
      </c>
      <c r="W366" s="146">
        <v>60</v>
      </c>
      <c r="X366" s="147"/>
      <c r="Y366" s="146"/>
      <c r="Z366" s="146">
        <v>0</v>
      </c>
      <c r="AA366" s="146">
        <v>0</v>
      </c>
      <c r="AB366" s="146">
        <v>10</v>
      </c>
      <c r="AC366" s="146">
        <v>10</v>
      </c>
      <c r="AD366" s="146">
        <v>0</v>
      </c>
      <c r="AE366" s="146">
        <v>0</v>
      </c>
      <c r="AF366" s="146">
        <v>0</v>
      </c>
      <c r="AG366" s="146">
        <v>0</v>
      </c>
      <c r="AH366" s="146">
        <v>1</v>
      </c>
      <c r="AI366" s="146">
        <v>1</v>
      </c>
      <c r="AJ366" s="146">
        <v>0</v>
      </c>
      <c r="AK366" s="146">
        <v>0</v>
      </c>
      <c r="AL366" s="146">
        <v>2</v>
      </c>
      <c r="AM366" s="146">
        <v>2</v>
      </c>
      <c r="AN366" s="146">
        <v>3</v>
      </c>
      <c r="AO366" s="146">
        <v>3</v>
      </c>
      <c r="AP366" s="146">
        <v>1</v>
      </c>
      <c r="AQ366" s="146">
        <v>1</v>
      </c>
      <c r="AR366" s="146">
        <v>0</v>
      </c>
      <c r="AS366" s="146">
        <v>0</v>
      </c>
      <c r="AT366" s="146">
        <v>1</v>
      </c>
      <c r="AU366" s="146">
        <v>1</v>
      </c>
      <c r="AV366" s="146">
        <v>0</v>
      </c>
      <c r="AW366" s="146">
        <v>0</v>
      </c>
      <c r="AX366" s="146">
        <f t="shared" si="48"/>
        <v>6680</v>
      </c>
      <c r="AY366" s="146">
        <f t="shared" si="45"/>
        <v>6680</v>
      </c>
      <c r="AZ366" s="140" t="s">
        <v>562</v>
      </c>
      <c r="BA366" s="140" t="s">
        <v>562</v>
      </c>
      <c r="BB366" s="137">
        <v>8</v>
      </c>
      <c r="BC366" s="187">
        <v>362</v>
      </c>
      <c r="BD366" s="149"/>
      <c r="BE366" s="145"/>
      <c r="BF366" s="150"/>
      <c r="BG366" s="188">
        <v>46023</v>
      </c>
      <c r="BH366" s="153" t="s">
        <v>15</v>
      </c>
      <c r="BI366" s="153" t="s">
        <v>562</v>
      </c>
    </row>
    <row r="367" spans="1:63" s="16" customFormat="1" ht="44.1" customHeight="1" x14ac:dyDescent="0.3">
      <c r="A367" s="200">
        <v>363</v>
      </c>
      <c r="B367" s="62">
        <v>243325</v>
      </c>
      <c r="C367" s="62">
        <v>363</v>
      </c>
      <c r="D367" s="63">
        <v>46008</v>
      </c>
      <c r="E367" s="63">
        <f t="shared" si="51"/>
        <v>46007</v>
      </c>
      <c r="F367" s="63">
        <f t="shared" si="47"/>
        <v>46018</v>
      </c>
      <c r="G367" s="63">
        <v>46097</v>
      </c>
      <c r="H367" s="63">
        <f ca="1">TODAY()</f>
        <v>46277</v>
      </c>
      <c r="I367" s="63" t="s">
        <v>321</v>
      </c>
      <c r="J367" s="64" t="s">
        <v>824</v>
      </c>
      <c r="K367" s="65">
        <f t="shared" si="49"/>
        <v>79</v>
      </c>
      <c r="L367" s="65">
        <v>1180142</v>
      </c>
      <c r="M367" s="64" t="s">
        <v>77</v>
      </c>
      <c r="N367" s="64">
        <v>812427</v>
      </c>
      <c r="O367" s="253" t="s">
        <v>1462</v>
      </c>
      <c r="P367" s="103">
        <v>46056</v>
      </c>
      <c r="Q367" s="103">
        <v>46205</v>
      </c>
      <c r="R367" s="73" t="s">
        <v>211</v>
      </c>
      <c r="S367" s="66" t="s">
        <v>825</v>
      </c>
      <c r="T367" s="67">
        <v>1</v>
      </c>
      <c r="U367" s="75" t="s">
        <v>160</v>
      </c>
      <c r="V367" s="68">
        <v>140</v>
      </c>
      <c r="W367" s="68"/>
      <c r="X367" s="69">
        <v>1</v>
      </c>
      <c r="Y367" s="68"/>
      <c r="Z367" s="68">
        <v>0</v>
      </c>
      <c r="AA367" s="68">
        <v>0</v>
      </c>
      <c r="AB367" s="68">
        <v>0</v>
      </c>
      <c r="AC367" s="68"/>
      <c r="AD367" s="68">
        <v>0</v>
      </c>
      <c r="AE367" s="68">
        <v>0</v>
      </c>
      <c r="AF367" s="68">
        <v>0</v>
      </c>
      <c r="AG367" s="68">
        <v>0</v>
      </c>
      <c r="AH367" s="68">
        <v>0</v>
      </c>
      <c r="AI367" s="68">
        <v>0</v>
      </c>
      <c r="AJ367" s="68">
        <v>1</v>
      </c>
      <c r="AK367" s="68"/>
      <c r="AL367" s="68">
        <v>1</v>
      </c>
      <c r="AM367" s="68"/>
      <c r="AN367" s="68">
        <v>1</v>
      </c>
      <c r="AO367" s="68"/>
      <c r="AP367" s="68">
        <v>1</v>
      </c>
      <c r="AQ367" s="68"/>
      <c r="AR367" s="68">
        <v>0</v>
      </c>
      <c r="AS367" s="68">
        <v>0</v>
      </c>
      <c r="AT367" s="68">
        <v>0</v>
      </c>
      <c r="AU367" s="68">
        <v>0</v>
      </c>
      <c r="AV367" s="68">
        <v>0</v>
      </c>
      <c r="AW367" s="68">
        <v>0</v>
      </c>
      <c r="AX367" s="146">
        <f t="shared" si="48"/>
        <v>10135</v>
      </c>
      <c r="AY367" s="146">
        <f t="shared" si="45"/>
        <v>0</v>
      </c>
      <c r="AZ367" s="64" t="s">
        <v>77</v>
      </c>
      <c r="BA367" s="64" t="s">
        <v>77</v>
      </c>
      <c r="BB367" s="15" t="s">
        <v>77</v>
      </c>
      <c r="BC367" s="74">
        <v>363</v>
      </c>
      <c r="BD367" s="70"/>
      <c r="BE367" s="67"/>
      <c r="BF367" s="71"/>
      <c r="BG367" s="15"/>
      <c r="BH367" s="72" t="s">
        <v>77</v>
      </c>
      <c r="BI367" s="72" t="s">
        <v>77</v>
      </c>
    </row>
    <row r="368" spans="1:63" s="16" customFormat="1" ht="42" hidden="1" x14ac:dyDescent="0.3">
      <c r="A368" s="200">
        <v>364</v>
      </c>
      <c r="B368" s="90">
        <v>243326</v>
      </c>
      <c r="C368" s="90">
        <v>364</v>
      </c>
      <c r="D368" s="91">
        <v>46008</v>
      </c>
      <c r="E368" s="91">
        <f t="shared" si="51"/>
        <v>46007</v>
      </c>
      <c r="F368" s="91">
        <f t="shared" si="47"/>
        <v>46018</v>
      </c>
      <c r="G368" s="91">
        <v>46097</v>
      </c>
      <c r="H368" s="91">
        <f ca="1">TODAY()</f>
        <v>46277</v>
      </c>
      <c r="I368" s="91" t="s">
        <v>321</v>
      </c>
      <c r="J368" s="92" t="s">
        <v>826</v>
      </c>
      <c r="K368" s="93">
        <f t="shared" si="49"/>
        <v>79</v>
      </c>
      <c r="L368" s="93">
        <v>1180144</v>
      </c>
      <c r="M368" s="92" t="s">
        <v>212</v>
      </c>
      <c r="N368" s="92" t="s">
        <v>213</v>
      </c>
      <c r="O368" s="92" t="s">
        <v>213</v>
      </c>
      <c r="P368" s="126" t="s">
        <v>212</v>
      </c>
      <c r="Q368" s="126" t="s">
        <v>212</v>
      </c>
      <c r="R368" s="158" t="s">
        <v>1235</v>
      </c>
      <c r="S368" s="94" t="s">
        <v>827</v>
      </c>
      <c r="T368" s="95">
        <v>1</v>
      </c>
      <c r="U368" s="159" t="s">
        <v>81</v>
      </c>
      <c r="V368" s="96">
        <v>1</v>
      </c>
      <c r="W368" s="96"/>
      <c r="X368" s="97">
        <v>0</v>
      </c>
      <c r="Y368" s="96">
        <v>0</v>
      </c>
      <c r="Z368" s="96">
        <v>1</v>
      </c>
      <c r="AA368" s="96"/>
      <c r="AB368" s="96">
        <v>0</v>
      </c>
      <c r="AC368" s="96">
        <v>0</v>
      </c>
      <c r="AD368" s="96">
        <v>0</v>
      </c>
      <c r="AE368" s="96">
        <v>0</v>
      </c>
      <c r="AF368" s="96">
        <v>0</v>
      </c>
      <c r="AG368" s="96">
        <v>0</v>
      </c>
      <c r="AH368" s="96">
        <v>0</v>
      </c>
      <c r="AI368" s="96">
        <v>0</v>
      </c>
      <c r="AJ368" s="96">
        <v>1</v>
      </c>
      <c r="AK368" s="96"/>
      <c r="AL368" s="96">
        <v>1</v>
      </c>
      <c r="AM368" s="96"/>
      <c r="AN368" s="96">
        <v>2</v>
      </c>
      <c r="AO368" s="96"/>
      <c r="AP368" s="96">
        <v>1</v>
      </c>
      <c r="AQ368" s="96"/>
      <c r="AR368" s="96">
        <v>0</v>
      </c>
      <c r="AS368" s="96">
        <v>0</v>
      </c>
      <c r="AT368" s="96">
        <v>0</v>
      </c>
      <c r="AU368" s="96">
        <v>0</v>
      </c>
      <c r="AV368" s="96">
        <v>0</v>
      </c>
      <c r="AW368" s="96">
        <v>0</v>
      </c>
      <c r="AX368" s="146">
        <f t="shared" si="48"/>
        <v>1813</v>
      </c>
      <c r="AY368" s="146">
        <f t="shared" si="45"/>
        <v>0</v>
      </c>
      <c r="AZ368" s="92" t="s">
        <v>212</v>
      </c>
      <c r="BA368" s="92" t="s">
        <v>212</v>
      </c>
      <c r="BB368" s="89" t="s">
        <v>212</v>
      </c>
      <c r="BC368" s="160">
        <v>364</v>
      </c>
      <c r="BD368" s="100"/>
      <c r="BE368" s="95"/>
      <c r="BF368" s="101"/>
      <c r="BG368" s="89"/>
      <c r="BH368" s="102" t="s">
        <v>212</v>
      </c>
      <c r="BI368" s="102" t="s">
        <v>212</v>
      </c>
    </row>
    <row r="369" spans="1:63" s="16" customFormat="1" ht="42" hidden="1" customHeight="1" x14ac:dyDescent="0.3">
      <c r="A369" s="200">
        <v>365</v>
      </c>
      <c r="B369" s="138">
        <v>243366</v>
      </c>
      <c r="C369" s="138">
        <v>365</v>
      </c>
      <c r="D369" s="139">
        <v>46008</v>
      </c>
      <c r="E369" s="139">
        <f t="shared" si="51"/>
        <v>46007</v>
      </c>
      <c r="F369" s="139">
        <f t="shared" si="47"/>
        <v>46018</v>
      </c>
      <c r="G369" s="139">
        <v>46069</v>
      </c>
      <c r="H369" s="139">
        <v>46047</v>
      </c>
      <c r="I369" s="139" t="s">
        <v>123</v>
      </c>
      <c r="J369" s="140" t="s">
        <v>828</v>
      </c>
      <c r="K369" s="141">
        <f t="shared" si="49"/>
        <v>51</v>
      </c>
      <c r="L369" s="141">
        <v>1180310</v>
      </c>
      <c r="M369" s="140" t="s">
        <v>15</v>
      </c>
      <c r="N369" s="140">
        <v>812435</v>
      </c>
      <c r="O369" s="140" t="s">
        <v>246</v>
      </c>
      <c r="P369" s="143">
        <v>46028</v>
      </c>
      <c r="Q369" s="143">
        <v>46198</v>
      </c>
      <c r="R369" s="185" t="s">
        <v>1235</v>
      </c>
      <c r="S369" s="144" t="s">
        <v>827</v>
      </c>
      <c r="T369" s="145">
        <v>4</v>
      </c>
      <c r="U369" s="186" t="s">
        <v>122</v>
      </c>
      <c r="V369" s="146">
        <v>135</v>
      </c>
      <c r="W369" s="146">
        <v>135</v>
      </c>
      <c r="X369" s="147">
        <v>0</v>
      </c>
      <c r="Y369" s="146"/>
      <c r="Z369" s="146">
        <v>0</v>
      </c>
      <c r="AA369" s="146">
        <v>0</v>
      </c>
      <c r="AB369" s="146">
        <v>85</v>
      </c>
      <c r="AC369" s="146">
        <v>85</v>
      </c>
      <c r="AD369" s="146">
        <v>0</v>
      </c>
      <c r="AE369" s="146">
        <v>0</v>
      </c>
      <c r="AF369" s="146">
        <v>0</v>
      </c>
      <c r="AG369" s="146">
        <v>0</v>
      </c>
      <c r="AH369" s="146">
        <v>4</v>
      </c>
      <c r="AI369" s="146">
        <v>4</v>
      </c>
      <c r="AJ369" s="146">
        <v>0</v>
      </c>
      <c r="AK369" s="146">
        <v>0</v>
      </c>
      <c r="AL369" s="146">
        <v>1</v>
      </c>
      <c r="AM369" s="146">
        <v>1</v>
      </c>
      <c r="AN369" s="146">
        <v>3</v>
      </c>
      <c r="AO369" s="146">
        <v>3</v>
      </c>
      <c r="AP369" s="146">
        <v>6</v>
      </c>
      <c r="AQ369" s="146">
        <v>6</v>
      </c>
      <c r="AR369" s="146">
        <v>0</v>
      </c>
      <c r="AS369" s="146">
        <v>0</v>
      </c>
      <c r="AT369" s="146">
        <v>4</v>
      </c>
      <c r="AU369" s="146">
        <v>4</v>
      </c>
      <c r="AV369" s="146">
        <v>0</v>
      </c>
      <c r="AW369" s="146">
        <v>0</v>
      </c>
      <c r="AX369" s="146">
        <f t="shared" si="48"/>
        <v>19575</v>
      </c>
      <c r="AY369" s="146">
        <f t="shared" si="45"/>
        <v>19575</v>
      </c>
      <c r="AZ369" s="140" t="s">
        <v>562</v>
      </c>
      <c r="BA369" s="140" t="s">
        <v>562</v>
      </c>
      <c r="BB369" s="137">
        <v>8</v>
      </c>
      <c r="BC369" s="187">
        <v>365</v>
      </c>
      <c r="BD369" s="149"/>
      <c r="BE369" s="145"/>
      <c r="BF369" s="150"/>
      <c r="BG369" s="188">
        <v>46023</v>
      </c>
      <c r="BH369" s="153" t="s">
        <v>15</v>
      </c>
      <c r="BI369" s="153" t="s">
        <v>562</v>
      </c>
    </row>
    <row r="370" spans="1:63" s="16" customFormat="1" ht="42" hidden="1" customHeight="1" x14ac:dyDescent="0.3">
      <c r="A370" s="200">
        <v>366</v>
      </c>
      <c r="B370" s="138">
        <v>243373</v>
      </c>
      <c r="C370" s="138">
        <v>366</v>
      </c>
      <c r="D370" s="139">
        <v>46008</v>
      </c>
      <c r="E370" s="139">
        <f t="shared" si="51"/>
        <v>46007</v>
      </c>
      <c r="F370" s="139">
        <f t="shared" si="47"/>
        <v>46018</v>
      </c>
      <c r="G370" s="139">
        <v>46069</v>
      </c>
      <c r="H370" s="139">
        <v>46044</v>
      </c>
      <c r="I370" s="139" t="s">
        <v>123</v>
      </c>
      <c r="J370" s="140" t="s">
        <v>829</v>
      </c>
      <c r="K370" s="141">
        <f t="shared" si="49"/>
        <v>51</v>
      </c>
      <c r="L370" s="141">
        <v>1180323</v>
      </c>
      <c r="M370" s="140" t="s">
        <v>15</v>
      </c>
      <c r="N370" s="140">
        <v>812434</v>
      </c>
      <c r="O370" s="140" t="s">
        <v>246</v>
      </c>
      <c r="P370" s="143">
        <v>46028</v>
      </c>
      <c r="Q370" s="143">
        <v>46205</v>
      </c>
      <c r="R370" s="185" t="s">
        <v>211</v>
      </c>
      <c r="S370" s="144" t="s">
        <v>830</v>
      </c>
      <c r="T370" s="145">
        <v>1</v>
      </c>
      <c r="U370" s="186" t="s">
        <v>106</v>
      </c>
      <c r="V370" s="146">
        <v>181</v>
      </c>
      <c r="W370" s="146">
        <v>181</v>
      </c>
      <c r="X370" s="147">
        <v>0</v>
      </c>
      <c r="Y370" s="146"/>
      <c r="Z370" s="146">
        <v>0</v>
      </c>
      <c r="AA370" s="146">
        <v>0</v>
      </c>
      <c r="AB370" s="146">
        <v>181</v>
      </c>
      <c r="AC370" s="146">
        <v>181</v>
      </c>
      <c r="AD370" s="146">
        <v>0</v>
      </c>
      <c r="AE370" s="146">
        <v>0</v>
      </c>
      <c r="AF370" s="146">
        <v>0</v>
      </c>
      <c r="AG370" s="146">
        <v>0</v>
      </c>
      <c r="AH370" s="146">
        <v>1</v>
      </c>
      <c r="AI370" s="146">
        <v>1</v>
      </c>
      <c r="AJ370" s="146">
        <v>0</v>
      </c>
      <c r="AK370" s="146">
        <v>0</v>
      </c>
      <c r="AL370" s="146">
        <v>2</v>
      </c>
      <c r="AM370" s="146">
        <v>2</v>
      </c>
      <c r="AN370" s="146">
        <v>2</v>
      </c>
      <c r="AO370" s="146">
        <v>2</v>
      </c>
      <c r="AP370" s="146">
        <v>2</v>
      </c>
      <c r="AQ370" s="146">
        <v>2</v>
      </c>
      <c r="AR370" s="146">
        <v>0</v>
      </c>
      <c r="AS370" s="146">
        <v>0</v>
      </c>
      <c r="AT370" s="146">
        <v>1</v>
      </c>
      <c r="AU370" s="146">
        <v>1</v>
      </c>
      <c r="AV370" s="146">
        <v>0</v>
      </c>
      <c r="AW370" s="146">
        <v>0</v>
      </c>
      <c r="AX370" s="146">
        <f t="shared" ref="AX370:AX401" si="52">(V370*60)+(X370*80)+(Z370*38)+(AB370*57)+(AD370*75)+(AF370*155)+(AH370*170)+(AJ370*375)+(AL370*590)+(AN370*60)+(AP370*630)+(AR370*400)+(AT370*350)+(AV370*950)</f>
        <v>24257</v>
      </c>
      <c r="AY370" s="146">
        <f t="shared" si="45"/>
        <v>24257</v>
      </c>
      <c r="AZ370" s="140" t="s">
        <v>562</v>
      </c>
      <c r="BA370" s="140" t="s">
        <v>562</v>
      </c>
      <c r="BB370" s="137">
        <v>7</v>
      </c>
      <c r="BC370" s="187">
        <v>366</v>
      </c>
      <c r="BD370" s="149"/>
      <c r="BE370" s="145"/>
      <c r="BF370" s="150"/>
      <c r="BG370" s="188">
        <v>46023</v>
      </c>
      <c r="BH370" s="153" t="s">
        <v>15</v>
      </c>
      <c r="BI370" s="153" t="s">
        <v>562</v>
      </c>
    </row>
    <row r="371" spans="1:63" s="16" customFormat="1" ht="42" hidden="1" customHeight="1" x14ac:dyDescent="0.3">
      <c r="A371" s="200">
        <v>367</v>
      </c>
      <c r="B371" s="90">
        <v>243396</v>
      </c>
      <c r="C371" s="90">
        <v>367</v>
      </c>
      <c r="D371" s="91">
        <v>46012</v>
      </c>
      <c r="E371" s="91">
        <f t="shared" si="51"/>
        <v>46011</v>
      </c>
      <c r="F371" s="91">
        <f t="shared" si="47"/>
        <v>46022</v>
      </c>
      <c r="G371" s="91">
        <v>46101</v>
      </c>
      <c r="H371" s="91">
        <f ca="1">TODAY()</f>
        <v>46277</v>
      </c>
      <c r="I371" s="91" t="s">
        <v>349</v>
      </c>
      <c r="J371" s="92" t="s">
        <v>832</v>
      </c>
      <c r="K371" s="93">
        <f t="shared" si="49"/>
        <v>79</v>
      </c>
      <c r="L371" s="93">
        <v>1180770</v>
      </c>
      <c r="M371" s="92" t="s">
        <v>212</v>
      </c>
      <c r="N371" s="92">
        <v>813141</v>
      </c>
      <c r="O371" s="92" t="s">
        <v>246</v>
      </c>
      <c r="P371" s="126">
        <v>46047</v>
      </c>
      <c r="Q371" s="126">
        <v>46212</v>
      </c>
      <c r="R371" s="158" t="s">
        <v>1235</v>
      </c>
      <c r="S371" s="94" t="s">
        <v>833</v>
      </c>
      <c r="T371" s="95">
        <v>1</v>
      </c>
      <c r="U371" s="159" t="s">
        <v>82</v>
      </c>
      <c r="V371" s="96">
        <v>1</v>
      </c>
      <c r="W371" s="96"/>
      <c r="X371" s="97">
        <v>1</v>
      </c>
      <c r="Y371" s="96"/>
      <c r="Z371" s="96">
        <v>0</v>
      </c>
      <c r="AA371" s="96">
        <v>0</v>
      </c>
      <c r="AB371" s="96">
        <v>1</v>
      </c>
      <c r="AC371" s="96"/>
      <c r="AD371" s="96">
        <v>0</v>
      </c>
      <c r="AE371" s="96">
        <v>0</v>
      </c>
      <c r="AF371" s="96">
        <v>0</v>
      </c>
      <c r="AG371" s="96">
        <v>0</v>
      </c>
      <c r="AH371" s="96">
        <v>1</v>
      </c>
      <c r="AI371" s="96"/>
      <c r="AJ371" s="96">
        <v>0</v>
      </c>
      <c r="AK371" s="96">
        <v>0</v>
      </c>
      <c r="AL371" s="96">
        <v>1</v>
      </c>
      <c r="AM371" s="96"/>
      <c r="AN371" s="96">
        <v>2</v>
      </c>
      <c r="AO371" s="96"/>
      <c r="AP371" s="96">
        <v>2</v>
      </c>
      <c r="AQ371" s="96"/>
      <c r="AR371" s="96">
        <v>0</v>
      </c>
      <c r="AS371" s="96">
        <v>0</v>
      </c>
      <c r="AT371" s="96">
        <v>0</v>
      </c>
      <c r="AU371" s="96">
        <v>0</v>
      </c>
      <c r="AV371" s="96">
        <v>0</v>
      </c>
      <c r="AW371" s="96">
        <v>0</v>
      </c>
      <c r="AX371" s="146">
        <f t="shared" si="52"/>
        <v>2337</v>
      </c>
      <c r="AY371" s="146">
        <f t="shared" si="45"/>
        <v>0</v>
      </c>
      <c r="AZ371" s="92" t="s">
        <v>212</v>
      </c>
      <c r="BA371" s="92" t="s">
        <v>212</v>
      </c>
      <c r="BB371" s="89" t="s">
        <v>212</v>
      </c>
      <c r="BC371" s="160">
        <v>367</v>
      </c>
      <c r="BD371" s="100"/>
      <c r="BE371" s="95"/>
      <c r="BF371" s="101"/>
      <c r="BG371" s="89"/>
      <c r="BH371" s="102" t="s">
        <v>212</v>
      </c>
      <c r="BI371" s="102" t="s">
        <v>212</v>
      </c>
    </row>
    <row r="372" spans="1:63" s="16" customFormat="1" ht="42" hidden="1" customHeight="1" x14ac:dyDescent="0.3">
      <c r="A372" s="26">
        <v>368</v>
      </c>
      <c r="B372" s="138">
        <v>243397</v>
      </c>
      <c r="C372" s="138">
        <v>368</v>
      </c>
      <c r="D372" s="139">
        <v>46012</v>
      </c>
      <c r="E372" s="139">
        <f t="shared" si="51"/>
        <v>46011</v>
      </c>
      <c r="F372" s="139">
        <f t="shared" si="47"/>
        <v>46022</v>
      </c>
      <c r="G372" s="139">
        <v>46101</v>
      </c>
      <c r="H372" s="139">
        <v>46070</v>
      </c>
      <c r="I372" s="139" t="s">
        <v>349</v>
      </c>
      <c r="J372" s="140" t="s">
        <v>834</v>
      </c>
      <c r="K372" s="141">
        <f t="shared" si="49"/>
        <v>79</v>
      </c>
      <c r="L372" s="141">
        <v>1180788</v>
      </c>
      <c r="M372" s="140" t="s">
        <v>15</v>
      </c>
      <c r="N372" s="140">
        <v>811702</v>
      </c>
      <c r="O372" s="140" t="s">
        <v>246</v>
      </c>
      <c r="P372" s="143">
        <v>46033</v>
      </c>
      <c r="Q372" s="143">
        <v>46191</v>
      </c>
      <c r="R372" s="185" t="s">
        <v>211</v>
      </c>
      <c r="S372" s="144" t="s">
        <v>835</v>
      </c>
      <c r="T372" s="145">
        <v>1</v>
      </c>
      <c r="U372" s="186" t="s">
        <v>186</v>
      </c>
      <c r="V372" s="146">
        <v>10</v>
      </c>
      <c r="W372" s="146">
        <v>10</v>
      </c>
      <c r="X372" s="147">
        <v>0</v>
      </c>
      <c r="Y372" s="146"/>
      <c r="Z372" s="146">
        <v>0</v>
      </c>
      <c r="AA372" s="146">
        <v>0</v>
      </c>
      <c r="AB372" s="146">
        <v>20</v>
      </c>
      <c r="AC372" s="146">
        <v>20</v>
      </c>
      <c r="AD372" s="146">
        <v>0</v>
      </c>
      <c r="AE372" s="146">
        <v>0</v>
      </c>
      <c r="AF372" s="146">
        <v>0</v>
      </c>
      <c r="AG372" s="146">
        <v>0</v>
      </c>
      <c r="AH372" s="146">
        <v>0</v>
      </c>
      <c r="AI372" s="146"/>
      <c r="AJ372" s="146">
        <v>0</v>
      </c>
      <c r="AK372" s="146">
        <v>0</v>
      </c>
      <c r="AL372" s="146">
        <v>0</v>
      </c>
      <c r="AM372" s="146"/>
      <c r="AN372" s="146">
        <v>1</v>
      </c>
      <c r="AO372" s="146">
        <v>1</v>
      </c>
      <c r="AP372" s="146">
        <v>1</v>
      </c>
      <c r="AQ372" s="146">
        <v>1</v>
      </c>
      <c r="AR372" s="146">
        <v>0</v>
      </c>
      <c r="AS372" s="146">
        <v>0</v>
      </c>
      <c r="AT372" s="146">
        <v>0</v>
      </c>
      <c r="AU372" s="146">
        <v>0</v>
      </c>
      <c r="AV372" s="146">
        <v>0</v>
      </c>
      <c r="AW372" s="146">
        <v>0</v>
      </c>
      <c r="AX372" s="146">
        <f t="shared" si="52"/>
        <v>2430</v>
      </c>
      <c r="AY372" s="146">
        <f t="shared" si="45"/>
        <v>2430</v>
      </c>
      <c r="AZ372" s="140" t="s">
        <v>562</v>
      </c>
      <c r="BA372" s="140" t="s">
        <v>562</v>
      </c>
      <c r="BB372" s="137">
        <v>12</v>
      </c>
      <c r="BC372" s="187">
        <v>368</v>
      </c>
      <c r="BD372" s="149"/>
      <c r="BE372" s="145"/>
      <c r="BF372" s="150"/>
      <c r="BG372" s="188">
        <v>46054</v>
      </c>
      <c r="BH372" s="153" t="s">
        <v>15</v>
      </c>
      <c r="BI372" s="153" t="s">
        <v>562</v>
      </c>
      <c r="BK372" s="238"/>
    </row>
    <row r="373" spans="1:63" s="16" customFormat="1" ht="42" customHeight="1" x14ac:dyDescent="0.3">
      <c r="A373" s="200">
        <v>369</v>
      </c>
      <c r="B373" s="62">
        <v>243398</v>
      </c>
      <c r="C373" s="62">
        <v>369</v>
      </c>
      <c r="D373" s="63">
        <v>46012</v>
      </c>
      <c r="E373" s="63">
        <f t="shared" si="51"/>
        <v>46011</v>
      </c>
      <c r="F373" s="63">
        <f t="shared" si="47"/>
        <v>46022</v>
      </c>
      <c r="G373" s="63">
        <v>46101</v>
      </c>
      <c r="H373" s="63">
        <f ca="1">TODAY()</f>
        <v>46277</v>
      </c>
      <c r="I373" s="63" t="s">
        <v>349</v>
      </c>
      <c r="J373" s="64" t="s">
        <v>836</v>
      </c>
      <c r="K373" s="65">
        <f t="shared" si="49"/>
        <v>79</v>
      </c>
      <c r="L373" s="65">
        <v>1180802</v>
      </c>
      <c r="M373" s="183" t="s">
        <v>77</v>
      </c>
      <c r="N373" s="64">
        <v>814351</v>
      </c>
      <c r="O373" s="253" t="s">
        <v>1462</v>
      </c>
      <c r="P373" s="103">
        <v>46072</v>
      </c>
      <c r="Q373" s="103">
        <v>46226</v>
      </c>
      <c r="R373" s="73" t="s">
        <v>211</v>
      </c>
      <c r="S373" s="66" t="s">
        <v>837</v>
      </c>
      <c r="T373" s="67">
        <v>1</v>
      </c>
      <c r="U373" s="75" t="s">
        <v>186</v>
      </c>
      <c r="V373" s="68">
        <v>12</v>
      </c>
      <c r="W373" s="68"/>
      <c r="X373" s="69">
        <v>1</v>
      </c>
      <c r="Y373" s="68"/>
      <c r="Z373" s="68">
        <v>0</v>
      </c>
      <c r="AA373" s="68">
        <v>0</v>
      </c>
      <c r="AB373" s="68">
        <v>0</v>
      </c>
      <c r="AC373" s="68"/>
      <c r="AD373" s="68">
        <v>0</v>
      </c>
      <c r="AE373" s="68">
        <v>0</v>
      </c>
      <c r="AF373" s="68">
        <v>0</v>
      </c>
      <c r="AG373" s="68">
        <v>0</v>
      </c>
      <c r="AH373" s="68">
        <v>1</v>
      </c>
      <c r="AI373" s="68"/>
      <c r="AJ373" s="68">
        <v>0</v>
      </c>
      <c r="AK373" s="68">
        <v>0</v>
      </c>
      <c r="AL373" s="68">
        <v>1</v>
      </c>
      <c r="AM373" s="68"/>
      <c r="AN373" s="68">
        <v>2</v>
      </c>
      <c r="AO373" s="68"/>
      <c r="AP373" s="68">
        <v>2</v>
      </c>
      <c r="AQ373" s="68"/>
      <c r="AR373" s="68">
        <v>0</v>
      </c>
      <c r="AS373" s="68">
        <v>0</v>
      </c>
      <c r="AT373" s="68">
        <v>0</v>
      </c>
      <c r="AU373" s="68">
        <v>0</v>
      </c>
      <c r="AV373" s="68">
        <v>0</v>
      </c>
      <c r="AW373" s="68">
        <v>0</v>
      </c>
      <c r="AX373" s="146">
        <f t="shared" si="52"/>
        <v>2940</v>
      </c>
      <c r="AY373" s="146">
        <f t="shared" ref="AY373:AY420" si="53">(W373*60)+(Y373*80)+(AA373*38)+(AC373*57)+(AE373*75)+(AG373*155)+(AI373*170)+(AK373*375)+(AM373*590)+(AO373*60)+(AQ373*630)+(AS373*400)+(AU373*350)+(AW373*950)</f>
        <v>0</v>
      </c>
      <c r="AZ373" s="64" t="s">
        <v>77</v>
      </c>
      <c r="BA373" s="64" t="s">
        <v>77</v>
      </c>
      <c r="BB373" s="15" t="s">
        <v>77</v>
      </c>
      <c r="BC373" s="74">
        <v>369</v>
      </c>
      <c r="BD373" s="70"/>
      <c r="BE373" s="67"/>
      <c r="BF373" s="71"/>
      <c r="BG373" s="15"/>
      <c r="BH373" s="72" t="s">
        <v>77</v>
      </c>
      <c r="BI373" s="72" t="s">
        <v>77</v>
      </c>
    </row>
    <row r="374" spans="1:63" s="16" customFormat="1" ht="42" customHeight="1" x14ac:dyDescent="0.3">
      <c r="A374" s="200">
        <v>370</v>
      </c>
      <c r="B374" s="62">
        <v>243399</v>
      </c>
      <c r="C374" s="62">
        <v>370</v>
      </c>
      <c r="D374" s="63">
        <v>46012</v>
      </c>
      <c r="E374" s="63">
        <f t="shared" si="51"/>
        <v>46011</v>
      </c>
      <c r="F374" s="63">
        <f t="shared" si="47"/>
        <v>46022</v>
      </c>
      <c r="G374" s="63">
        <v>46101</v>
      </c>
      <c r="H374" s="63">
        <f ca="1">TODAY()</f>
        <v>46277</v>
      </c>
      <c r="I374" s="63" t="s">
        <v>349</v>
      </c>
      <c r="J374" s="64" t="s">
        <v>838</v>
      </c>
      <c r="K374" s="65">
        <f t="shared" si="49"/>
        <v>79</v>
      </c>
      <c r="L374" s="65">
        <v>1180808</v>
      </c>
      <c r="M374" s="64" t="s">
        <v>77</v>
      </c>
      <c r="N374" s="64">
        <v>814585</v>
      </c>
      <c r="O374" s="253" t="s">
        <v>1462</v>
      </c>
      <c r="P374" s="103">
        <v>46056</v>
      </c>
      <c r="Q374" s="103">
        <v>46226</v>
      </c>
      <c r="R374" s="73" t="s">
        <v>211</v>
      </c>
      <c r="S374" s="66" t="s">
        <v>839</v>
      </c>
      <c r="T374" s="67">
        <v>1</v>
      </c>
      <c r="U374" s="75" t="s">
        <v>840</v>
      </c>
      <c r="V374" s="68">
        <v>90</v>
      </c>
      <c r="W374" s="68"/>
      <c r="X374" s="69">
        <v>1</v>
      </c>
      <c r="Y374" s="68"/>
      <c r="Z374" s="68">
        <v>0</v>
      </c>
      <c r="AA374" s="68">
        <v>0</v>
      </c>
      <c r="AB374" s="68">
        <v>0</v>
      </c>
      <c r="AC374" s="68"/>
      <c r="AD374" s="68">
        <v>0</v>
      </c>
      <c r="AE374" s="68">
        <v>0</v>
      </c>
      <c r="AF374" s="68">
        <v>0</v>
      </c>
      <c r="AG374" s="68">
        <v>0</v>
      </c>
      <c r="AH374" s="68">
        <v>1</v>
      </c>
      <c r="AI374" s="68"/>
      <c r="AJ374" s="68">
        <v>0</v>
      </c>
      <c r="AK374" s="68">
        <v>0</v>
      </c>
      <c r="AL374" s="68">
        <v>1</v>
      </c>
      <c r="AM374" s="68"/>
      <c r="AN374" s="68">
        <v>2</v>
      </c>
      <c r="AO374" s="68"/>
      <c r="AP374" s="68">
        <v>1</v>
      </c>
      <c r="AQ374" s="68"/>
      <c r="AR374" s="68">
        <v>0</v>
      </c>
      <c r="AS374" s="68">
        <v>0</v>
      </c>
      <c r="AT374" s="68">
        <v>0</v>
      </c>
      <c r="AU374" s="68">
        <v>0</v>
      </c>
      <c r="AV374" s="68">
        <v>0</v>
      </c>
      <c r="AW374" s="68">
        <v>0</v>
      </c>
      <c r="AX374" s="146">
        <f t="shared" si="52"/>
        <v>6990</v>
      </c>
      <c r="AY374" s="146">
        <f t="shared" si="53"/>
        <v>0</v>
      </c>
      <c r="AZ374" s="64" t="s">
        <v>77</v>
      </c>
      <c r="BA374" s="64" t="s">
        <v>77</v>
      </c>
      <c r="BB374" s="15" t="s">
        <v>77</v>
      </c>
      <c r="BC374" s="74">
        <v>370</v>
      </c>
      <c r="BD374" s="70"/>
      <c r="BE374" s="67"/>
      <c r="BF374" s="71"/>
      <c r="BG374" s="15"/>
      <c r="BH374" s="72" t="s">
        <v>77</v>
      </c>
      <c r="BI374" s="72" t="s">
        <v>77</v>
      </c>
    </row>
    <row r="375" spans="1:63" s="16" customFormat="1" ht="42" customHeight="1" x14ac:dyDescent="0.3">
      <c r="A375" s="200">
        <v>371</v>
      </c>
      <c r="B375" s="62">
        <v>243400</v>
      </c>
      <c r="C375" s="62">
        <v>371</v>
      </c>
      <c r="D375" s="63">
        <v>46012</v>
      </c>
      <c r="E375" s="63">
        <f t="shared" si="51"/>
        <v>46011</v>
      </c>
      <c r="F375" s="63">
        <f t="shared" si="47"/>
        <v>46022</v>
      </c>
      <c r="G375" s="63">
        <v>46101</v>
      </c>
      <c r="H375" s="63">
        <f ca="1">TODAY()</f>
        <v>46277</v>
      </c>
      <c r="I375" s="63" t="s">
        <v>349</v>
      </c>
      <c r="J375" s="64" t="s">
        <v>841</v>
      </c>
      <c r="K375" s="65">
        <f t="shared" si="49"/>
        <v>79</v>
      </c>
      <c r="L375" s="65">
        <v>1180846</v>
      </c>
      <c r="M375" s="64" t="s">
        <v>77</v>
      </c>
      <c r="N375" s="64">
        <v>814585</v>
      </c>
      <c r="O375" s="253" t="s">
        <v>1462</v>
      </c>
      <c r="P375" s="103">
        <v>46056</v>
      </c>
      <c r="Q375" s="103">
        <v>46226</v>
      </c>
      <c r="R375" s="73" t="s">
        <v>211</v>
      </c>
      <c r="S375" s="66" t="s">
        <v>842</v>
      </c>
      <c r="T375" s="67">
        <v>1</v>
      </c>
      <c r="U375" s="75" t="s">
        <v>840</v>
      </c>
      <c r="V375" s="68">
        <v>50</v>
      </c>
      <c r="W375" s="68">
        <v>0</v>
      </c>
      <c r="X375" s="69">
        <v>1</v>
      </c>
      <c r="Y375" s="68"/>
      <c r="Z375" s="68">
        <v>0</v>
      </c>
      <c r="AA375" s="68">
        <v>0</v>
      </c>
      <c r="AB375" s="68">
        <v>0</v>
      </c>
      <c r="AC375" s="68"/>
      <c r="AD375" s="68">
        <v>0</v>
      </c>
      <c r="AE375" s="68">
        <v>0</v>
      </c>
      <c r="AF375" s="68">
        <v>0</v>
      </c>
      <c r="AG375" s="68">
        <v>0</v>
      </c>
      <c r="AH375" s="68">
        <v>1</v>
      </c>
      <c r="AI375" s="68"/>
      <c r="AJ375" s="68">
        <v>0</v>
      </c>
      <c r="AK375" s="68">
        <v>0</v>
      </c>
      <c r="AL375" s="68">
        <v>1</v>
      </c>
      <c r="AM375" s="68"/>
      <c r="AN375" s="68">
        <v>2</v>
      </c>
      <c r="AO375" s="68"/>
      <c r="AP375" s="68">
        <v>2</v>
      </c>
      <c r="AQ375" s="68"/>
      <c r="AR375" s="68">
        <v>0</v>
      </c>
      <c r="AS375" s="68">
        <v>0</v>
      </c>
      <c r="AT375" s="68">
        <v>0</v>
      </c>
      <c r="AU375" s="68">
        <v>0</v>
      </c>
      <c r="AV375" s="68">
        <v>0</v>
      </c>
      <c r="AW375" s="68">
        <v>0</v>
      </c>
      <c r="AX375" s="146">
        <f t="shared" si="52"/>
        <v>5220</v>
      </c>
      <c r="AY375" s="146">
        <f t="shared" si="53"/>
        <v>0</v>
      </c>
      <c r="AZ375" s="64" t="s">
        <v>77</v>
      </c>
      <c r="BA375" s="64" t="s">
        <v>77</v>
      </c>
      <c r="BB375" s="15" t="s">
        <v>77</v>
      </c>
      <c r="BC375" s="74">
        <v>371</v>
      </c>
      <c r="BD375" s="70"/>
      <c r="BE375" s="67"/>
      <c r="BF375" s="71"/>
      <c r="BG375" s="15"/>
      <c r="BH375" s="72" t="s">
        <v>77</v>
      </c>
      <c r="BI375" s="72" t="s">
        <v>77</v>
      </c>
    </row>
    <row r="376" spans="1:63" s="16" customFormat="1" ht="42" customHeight="1" x14ac:dyDescent="0.3">
      <c r="A376" s="200">
        <v>372</v>
      </c>
      <c r="B376" s="62">
        <v>243412</v>
      </c>
      <c r="C376" s="62">
        <v>372</v>
      </c>
      <c r="D376" s="63">
        <v>46035</v>
      </c>
      <c r="E376" s="63">
        <f t="shared" si="51"/>
        <v>46034</v>
      </c>
      <c r="F376" s="63">
        <f t="shared" si="47"/>
        <v>46045</v>
      </c>
      <c r="G376" s="63">
        <v>46125</v>
      </c>
      <c r="H376" s="63">
        <f ca="1">TODAY()</f>
        <v>46277</v>
      </c>
      <c r="I376" s="63" t="s">
        <v>349</v>
      </c>
      <c r="J376" s="64" t="s">
        <v>843</v>
      </c>
      <c r="K376" s="65">
        <f t="shared" si="49"/>
        <v>80</v>
      </c>
      <c r="L376" s="65">
        <v>1180912</v>
      </c>
      <c r="M376" s="64" t="s">
        <v>77</v>
      </c>
      <c r="N376" s="64">
        <v>814585</v>
      </c>
      <c r="O376" s="253" t="s">
        <v>1462</v>
      </c>
      <c r="P376" s="103">
        <v>46056</v>
      </c>
      <c r="Q376" s="103">
        <v>46226</v>
      </c>
      <c r="R376" s="73" t="s">
        <v>211</v>
      </c>
      <c r="S376" s="66" t="s">
        <v>844</v>
      </c>
      <c r="T376" s="67">
        <v>1</v>
      </c>
      <c r="U376" s="75" t="s">
        <v>840</v>
      </c>
      <c r="V376" s="68">
        <v>83</v>
      </c>
      <c r="W376" s="68"/>
      <c r="X376" s="69">
        <v>0</v>
      </c>
      <c r="Y376" s="68">
        <v>0</v>
      </c>
      <c r="Z376" s="68">
        <v>0</v>
      </c>
      <c r="AA376" s="68">
        <v>0</v>
      </c>
      <c r="AB376" s="68">
        <v>0</v>
      </c>
      <c r="AC376" s="68"/>
      <c r="AD376" s="68">
        <v>0</v>
      </c>
      <c r="AE376" s="68">
        <v>0</v>
      </c>
      <c r="AF376" s="68">
        <v>0</v>
      </c>
      <c r="AG376" s="68">
        <v>0</v>
      </c>
      <c r="AH376" s="68">
        <v>1</v>
      </c>
      <c r="AI376" s="68"/>
      <c r="AJ376" s="68">
        <v>0</v>
      </c>
      <c r="AK376" s="68">
        <v>0</v>
      </c>
      <c r="AL376" s="68">
        <v>2</v>
      </c>
      <c r="AM376" s="68"/>
      <c r="AN376" s="68">
        <v>2</v>
      </c>
      <c r="AO376" s="68"/>
      <c r="AP376" s="68">
        <v>2</v>
      </c>
      <c r="AQ376" s="68"/>
      <c r="AR376" s="68">
        <v>0</v>
      </c>
      <c r="AS376" s="68">
        <v>0</v>
      </c>
      <c r="AT376" s="68">
        <v>1</v>
      </c>
      <c r="AU376" s="68"/>
      <c r="AV376" s="68">
        <v>0</v>
      </c>
      <c r="AW376" s="68">
        <v>0</v>
      </c>
      <c r="AX376" s="146">
        <f t="shared" si="52"/>
        <v>8060</v>
      </c>
      <c r="AY376" s="146">
        <f t="shared" si="53"/>
        <v>0</v>
      </c>
      <c r="AZ376" s="64" t="s">
        <v>77</v>
      </c>
      <c r="BA376" s="64" t="s">
        <v>77</v>
      </c>
      <c r="BB376" s="15" t="s">
        <v>77</v>
      </c>
      <c r="BC376" s="74">
        <v>372</v>
      </c>
      <c r="BD376" s="70"/>
      <c r="BE376" s="67"/>
      <c r="BF376" s="71"/>
      <c r="BG376" s="15"/>
      <c r="BH376" s="72" t="s">
        <v>77</v>
      </c>
      <c r="BI376" s="72" t="s">
        <v>77</v>
      </c>
    </row>
    <row r="377" spans="1:63" s="16" customFormat="1" ht="42" hidden="1" customHeight="1" x14ac:dyDescent="0.3">
      <c r="A377" s="200">
        <v>373</v>
      </c>
      <c r="B377" s="138">
        <v>243433</v>
      </c>
      <c r="C377" s="138">
        <v>373</v>
      </c>
      <c r="D377" s="139">
        <v>46012</v>
      </c>
      <c r="E377" s="139">
        <f t="shared" si="51"/>
        <v>46011</v>
      </c>
      <c r="F377" s="139">
        <f t="shared" si="47"/>
        <v>46022</v>
      </c>
      <c r="G377" s="139">
        <v>46101</v>
      </c>
      <c r="H377" s="139">
        <v>46107</v>
      </c>
      <c r="I377" s="139" t="s">
        <v>349</v>
      </c>
      <c r="J377" s="140" t="s">
        <v>845</v>
      </c>
      <c r="K377" s="141">
        <f t="shared" si="49"/>
        <v>79</v>
      </c>
      <c r="L377" s="141">
        <v>1181079</v>
      </c>
      <c r="M377" s="140" t="s">
        <v>15</v>
      </c>
      <c r="N377" s="140">
        <v>814585</v>
      </c>
      <c r="O377" s="140" t="s">
        <v>246</v>
      </c>
      <c r="P377" s="143">
        <v>46056</v>
      </c>
      <c r="Q377" s="143">
        <v>46226</v>
      </c>
      <c r="R377" s="185" t="s">
        <v>211</v>
      </c>
      <c r="S377" s="144" t="s">
        <v>846</v>
      </c>
      <c r="T377" s="145">
        <v>1</v>
      </c>
      <c r="U377" s="186" t="s">
        <v>840</v>
      </c>
      <c r="V377" s="146">
        <v>6</v>
      </c>
      <c r="W377" s="146">
        <v>6</v>
      </c>
      <c r="X377" s="147">
        <v>0</v>
      </c>
      <c r="Y377" s="146">
        <v>0</v>
      </c>
      <c r="Z377" s="146">
        <v>0</v>
      </c>
      <c r="AA377" s="146">
        <v>0</v>
      </c>
      <c r="AB377" s="146">
        <v>6</v>
      </c>
      <c r="AC377" s="146">
        <v>6</v>
      </c>
      <c r="AD377" s="146">
        <v>0</v>
      </c>
      <c r="AE377" s="146">
        <v>0</v>
      </c>
      <c r="AF377" s="146">
        <v>0</v>
      </c>
      <c r="AG377" s="146">
        <v>0</v>
      </c>
      <c r="AH377" s="146">
        <v>1</v>
      </c>
      <c r="AI377" s="146">
        <v>1</v>
      </c>
      <c r="AJ377" s="146">
        <v>0</v>
      </c>
      <c r="AK377" s="146">
        <v>0</v>
      </c>
      <c r="AL377" s="146">
        <v>0</v>
      </c>
      <c r="AM377" s="146">
        <v>0</v>
      </c>
      <c r="AN377" s="146">
        <v>1</v>
      </c>
      <c r="AO377" s="146">
        <v>1</v>
      </c>
      <c r="AP377" s="146">
        <v>1</v>
      </c>
      <c r="AQ377" s="146">
        <v>1</v>
      </c>
      <c r="AR377" s="146">
        <v>0</v>
      </c>
      <c r="AS377" s="146">
        <v>0</v>
      </c>
      <c r="AT377" s="146">
        <v>0</v>
      </c>
      <c r="AU377" s="146">
        <v>0</v>
      </c>
      <c r="AV377" s="146">
        <v>0</v>
      </c>
      <c r="AW377" s="146">
        <v>0</v>
      </c>
      <c r="AX377" s="146">
        <f t="shared" si="52"/>
        <v>1562</v>
      </c>
      <c r="AY377" s="146">
        <f t="shared" si="53"/>
        <v>1562</v>
      </c>
      <c r="AZ377" s="140" t="s">
        <v>562</v>
      </c>
      <c r="BA377" s="140" t="s">
        <v>562</v>
      </c>
      <c r="BB377" s="137">
        <v>8</v>
      </c>
      <c r="BC377" s="187">
        <v>373</v>
      </c>
      <c r="BD377" s="149"/>
      <c r="BE377" s="145"/>
      <c r="BF377" s="150"/>
      <c r="BG377" s="188">
        <v>46105</v>
      </c>
      <c r="BH377" s="153" t="s">
        <v>535</v>
      </c>
      <c r="BI377" s="153" t="s">
        <v>562</v>
      </c>
    </row>
    <row r="378" spans="1:63" s="16" customFormat="1" ht="42" customHeight="1" x14ac:dyDescent="0.3">
      <c r="A378" s="200">
        <v>374</v>
      </c>
      <c r="B378" s="62">
        <v>243435</v>
      </c>
      <c r="C378" s="62">
        <v>374</v>
      </c>
      <c r="D378" s="63">
        <v>46012</v>
      </c>
      <c r="E378" s="63">
        <f t="shared" si="51"/>
        <v>46011</v>
      </c>
      <c r="F378" s="63">
        <f t="shared" si="47"/>
        <v>46022</v>
      </c>
      <c r="G378" s="63">
        <v>46101</v>
      </c>
      <c r="H378" s="63">
        <f ca="1">TODAY()</f>
        <v>46277</v>
      </c>
      <c r="I378" s="63" t="s">
        <v>349</v>
      </c>
      <c r="J378" s="64" t="s">
        <v>847</v>
      </c>
      <c r="K378" s="65">
        <f t="shared" si="49"/>
        <v>79</v>
      </c>
      <c r="L378" s="65">
        <v>1181098</v>
      </c>
      <c r="M378" s="64" t="s">
        <v>77</v>
      </c>
      <c r="N378" s="64">
        <v>814585</v>
      </c>
      <c r="O378" s="253" t="s">
        <v>1462</v>
      </c>
      <c r="P378" s="103">
        <v>46056</v>
      </c>
      <c r="Q378" s="103">
        <v>46226</v>
      </c>
      <c r="R378" s="73" t="s">
        <v>211</v>
      </c>
      <c r="S378" s="66" t="s">
        <v>848</v>
      </c>
      <c r="T378" s="67">
        <v>1</v>
      </c>
      <c r="U378" s="75" t="s">
        <v>840</v>
      </c>
      <c r="V378" s="68">
        <v>53</v>
      </c>
      <c r="W378" s="68"/>
      <c r="X378" s="69">
        <v>1</v>
      </c>
      <c r="Y378" s="68"/>
      <c r="Z378" s="68">
        <v>0</v>
      </c>
      <c r="AA378" s="68">
        <v>0</v>
      </c>
      <c r="AB378" s="68">
        <v>0</v>
      </c>
      <c r="AC378" s="68"/>
      <c r="AD378" s="68">
        <v>0</v>
      </c>
      <c r="AE378" s="68">
        <v>0</v>
      </c>
      <c r="AF378" s="68">
        <v>0</v>
      </c>
      <c r="AG378" s="68">
        <v>0</v>
      </c>
      <c r="AH378" s="68">
        <v>1</v>
      </c>
      <c r="AI378" s="68"/>
      <c r="AJ378" s="68">
        <v>0</v>
      </c>
      <c r="AK378" s="68">
        <v>0</v>
      </c>
      <c r="AL378" s="68">
        <v>1</v>
      </c>
      <c r="AM378" s="68"/>
      <c r="AN378" s="68">
        <v>1</v>
      </c>
      <c r="AO378" s="68"/>
      <c r="AP378" s="68">
        <v>1</v>
      </c>
      <c r="AQ378" s="68"/>
      <c r="AR378" s="68">
        <v>0</v>
      </c>
      <c r="AS378" s="68">
        <v>0</v>
      </c>
      <c r="AT378" s="68">
        <v>0</v>
      </c>
      <c r="AU378" s="68">
        <v>0</v>
      </c>
      <c r="AV378" s="68">
        <v>0</v>
      </c>
      <c r="AW378" s="68">
        <v>0</v>
      </c>
      <c r="AX378" s="146">
        <f t="shared" si="52"/>
        <v>4710</v>
      </c>
      <c r="AY378" s="146">
        <f t="shared" si="53"/>
        <v>0</v>
      </c>
      <c r="AZ378" s="64" t="s">
        <v>77</v>
      </c>
      <c r="BA378" s="64" t="s">
        <v>77</v>
      </c>
      <c r="BB378" s="15" t="s">
        <v>77</v>
      </c>
      <c r="BC378" s="74">
        <v>374</v>
      </c>
      <c r="BD378" s="70"/>
      <c r="BE378" s="67"/>
      <c r="BF378" s="71"/>
      <c r="BG378" s="15"/>
      <c r="BH378" s="72" t="s">
        <v>77</v>
      </c>
      <c r="BI378" s="72" t="s">
        <v>77</v>
      </c>
    </row>
    <row r="379" spans="1:63" s="16" customFormat="1" ht="42" hidden="1" customHeight="1" x14ac:dyDescent="0.3">
      <c r="A379" s="26">
        <v>375</v>
      </c>
      <c r="B379" s="138">
        <v>243426</v>
      </c>
      <c r="C379" s="138">
        <v>375</v>
      </c>
      <c r="D379" s="139">
        <v>46012</v>
      </c>
      <c r="E379" s="139">
        <f t="shared" si="51"/>
        <v>46011</v>
      </c>
      <c r="F379" s="139">
        <f t="shared" si="47"/>
        <v>46022</v>
      </c>
      <c r="G379" s="139">
        <v>46073</v>
      </c>
      <c r="H379" s="139">
        <v>46064</v>
      </c>
      <c r="I379" s="139" t="s">
        <v>123</v>
      </c>
      <c r="J379" s="140" t="s">
        <v>849</v>
      </c>
      <c r="K379" s="141">
        <f t="shared" si="49"/>
        <v>51</v>
      </c>
      <c r="L379" s="141">
        <v>1181004</v>
      </c>
      <c r="M379" s="140" t="s">
        <v>15</v>
      </c>
      <c r="N379" s="140">
        <v>812435</v>
      </c>
      <c r="O379" s="140" t="s">
        <v>246</v>
      </c>
      <c r="P379" s="143">
        <v>46028</v>
      </c>
      <c r="Q379" s="143">
        <v>46198</v>
      </c>
      <c r="R379" s="185" t="s">
        <v>1235</v>
      </c>
      <c r="S379" s="144" t="s">
        <v>730</v>
      </c>
      <c r="T379" s="145">
        <v>1</v>
      </c>
      <c r="U379" s="186" t="s">
        <v>122</v>
      </c>
      <c r="V379" s="146">
        <v>232</v>
      </c>
      <c r="W379" s="146">
        <v>232</v>
      </c>
      <c r="X379" s="147">
        <v>0</v>
      </c>
      <c r="Y379" s="146"/>
      <c r="Z379" s="146">
        <v>0</v>
      </c>
      <c r="AA379" s="146">
        <v>0</v>
      </c>
      <c r="AB379" s="146">
        <v>10</v>
      </c>
      <c r="AC379" s="146">
        <v>10</v>
      </c>
      <c r="AD379" s="146">
        <v>0</v>
      </c>
      <c r="AE379" s="146">
        <v>0</v>
      </c>
      <c r="AF379" s="146">
        <v>0</v>
      </c>
      <c r="AG379" s="146">
        <v>0</v>
      </c>
      <c r="AH379" s="146">
        <v>1</v>
      </c>
      <c r="AI379" s="146">
        <v>1</v>
      </c>
      <c r="AJ379" s="146">
        <v>1</v>
      </c>
      <c r="AK379" s="146">
        <v>1</v>
      </c>
      <c r="AL379" s="146">
        <v>1</v>
      </c>
      <c r="AM379" s="146">
        <v>1</v>
      </c>
      <c r="AN379" s="146">
        <v>1</v>
      </c>
      <c r="AO379" s="146">
        <v>1</v>
      </c>
      <c r="AP379" s="146">
        <v>1</v>
      </c>
      <c r="AQ379" s="146">
        <v>1</v>
      </c>
      <c r="AR379" s="146">
        <v>0</v>
      </c>
      <c r="AS379" s="146">
        <v>0</v>
      </c>
      <c r="AT379" s="146">
        <v>0</v>
      </c>
      <c r="AU379" s="146">
        <v>0</v>
      </c>
      <c r="AV379" s="146">
        <v>1</v>
      </c>
      <c r="AW379" s="146">
        <v>1</v>
      </c>
      <c r="AX379" s="146">
        <f t="shared" si="52"/>
        <v>17265</v>
      </c>
      <c r="AY379" s="146">
        <f t="shared" si="53"/>
        <v>17265</v>
      </c>
      <c r="AZ379" s="140" t="s">
        <v>562</v>
      </c>
      <c r="BA379" s="140" t="s">
        <v>562</v>
      </c>
      <c r="BB379" s="137">
        <v>7</v>
      </c>
      <c r="BC379" s="187">
        <v>375</v>
      </c>
      <c r="BD379" s="149"/>
      <c r="BE379" s="145"/>
      <c r="BF379" s="150"/>
      <c r="BG379" s="188">
        <v>46054</v>
      </c>
      <c r="BH379" s="153" t="s">
        <v>535</v>
      </c>
      <c r="BI379" s="153" t="s">
        <v>562</v>
      </c>
    </row>
    <row r="380" spans="1:63" s="16" customFormat="1" ht="42" customHeight="1" x14ac:dyDescent="0.3">
      <c r="A380" s="200">
        <v>376</v>
      </c>
      <c r="B380" s="62">
        <v>243501</v>
      </c>
      <c r="C380" s="62">
        <v>376</v>
      </c>
      <c r="D380" s="63">
        <v>46014</v>
      </c>
      <c r="E380" s="63">
        <f t="shared" si="51"/>
        <v>46013</v>
      </c>
      <c r="F380" s="63">
        <f t="shared" si="47"/>
        <v>46024</v>
      </c>
      <c r="G380" s="63">
        <v>46103</v>
      </c>
      <c r="H380" s="63">
        <f ca="1">TODAY()</f>
        <v>46277</v>
      </c>
      <c r="I380" s="63" t="s">
        <v>349</v>
      </c>
      <c r="J380" s="64" t="s">
        <v>850</v>
      </c>
      <c r="K380" s="65">
        <f t="shared" si="49"/>
        <v>79</v>
      </c>
      <c r="L380" s="65">
        <v>1181966</v>
      </c>
      <c r="M380" s="64" t="s">
        <v>77</v>
      </c>
      <c r="N380" s="64">
        <v>812966</v>
      </c>
      <c r="O380" s="253" t="s">
        <v>1462</v>
      </c>
      <c r="P380" s="103">
        <v>46043</v>
      </c>
      <c r="Q380" s="103">
        <v>46212</v>
      </c>
      <c r="R380" s="73" t="s">
        <v>211</v>
      </c>
      <c r="S380" s="66" t="s">
        <v>851</v>
      </c>
      <c r="T380" s="67">
        <v>1</v>
      </c>
      <c r="U380" s="75" t="s">
        <v>81</v>
      </c>
      <c r="V380" s="68">
        <v>160</v>
      </c>
      <c r="W380" s="68"/>
      <c r="X380" s="69">
        <v>1</v>
      </c>
      <c r="Y380" s="68"/>
      <c r="Z380" s="68">
        <v>0</v>
      </c>
      <c r="AA380" s="68">
        <v>0</v>
      </c>
      <c r="AB380" s="68">
        <v>0</v>
      </c>
      <c r="AC380" s="68"/>
      <c r="AD380" s="68">
        <v>0</v>
      </c>
      <c r="AE380" s="68">
        <v>0</v>
      </c>
      <c r="AF380" s="68">
        <v>0</v>
      </c>
      <c r="AG380" s="68">
        <v>0</v>
      </c>
      <c r="AH380" s="68">
        <v>0</v>
      </c>
      <c r="AI380" s="68">
        <v>0</v>
      </c>
      <c r="AJ380" s="68">
        <v>1</v>
      </c>
      <c r="AK380" s="68"/>
      <c r="AL380" s="68">
        <v>1</v>
      </c>
      <c r="AM380" s="68"/>
      <c r="AN380" s="68">
        <v>2</v>
      </c>
      <c r="AO380" s="68"/>
      <c r="AP380" s="68">
        <v>1</v>
      </c>
      <c r="AQ380" s="68"/>
      <c r="AR380" s="68">
        <v>0</v>
      </c>
      <c r="AS380" s="68">
        <v>0</v>
      </c>
      <c r="AT380" s="68">
        <v>0</v>
      </c>
      <c r="AU380" s="68">
        <v>0</v>
      </c>
      <c r="AV380" s="68">
        <v>0</v>
      </c>
      <c r="AW380" s="68">
        <v>0</v>
      </c>
      <c r="AX380" s="146">
        <f t="shared" si="52"/>
        <v>11395</v>
      </c>
      <c r="AY380" s="146">
        <f t="shared" si="53"/>
        <v>0</v>
      </c>
      <c r="AZ380" s="64" t="s">
        <v>77</v>
      </c>
      <c r="BA380" s="64" t="s">
        <v>77</v>
      </c>
      <c r="BB380" s="15" t="s">
        <v>77</v>
      </c>
      <c r="BC380" s="74">
        <v>376</v>
      </c>
      <c r="BD380" s="70"/>
      <c r="BE380" s="67"/>
      <c r="BF380" s="71"/>
      <c r="BG380" s="15"/>
      <c r="BH380" s="72" t="s">
        <v>77</v>
      </c>
      <c r="BI380" s="72" t="s">
        <v>77</v>
      </c>
    </row>
    <row r="381" spans="1:63" s="16" customFormat="1" ht="42" customHeight="1" x14ac:dyDescent="0.3">
      <c r="A381" s="200">
        <v>377</v>
      </c>
      <c r="B381" s="62">
        <v>243623</v>
      </c>
      <c r="C381" s="62">
        <v>377</v>
      </c>
      <c r="D381" s="63">
        <v>46015</v>
      </c>
      <c r="E381" s="63">
        <f t="shared" si="51"/>
        <v>46014</v>
      </c>
      <c r="F381" s="63">
        <f t="shared" si="47"/>
        <v>46025</v>
      </c>
      <c r="G381" s="63">
        <v>46104</v>
      </c>
      <c r="H381" s="63">
        <f ca="1">TODAY()</f>
        <v>46277</v>
      </c>
      <c r="I381" s="63" t="s">
        <v>349</v>
      </c>
      <c r="J381" s="64" t="s">
        <v>852</v>
      </c>
      <c r="K381" s="65">
        <f t="shared" si="49"/>
        <v>79</v>
      </c>
      <c r="L381" s="65">
        <v>1182619</v>
      </c>
      <c r="M381" s="64" t="s">
        <v>77</v>
      </c>
      <c r="N381" s="64">
        <v>813146</v>
      </c>
      <c r="O381" s="253" t="s">
        <v>1462</v>
      </c>
      <c r="P381" s="103">
        <v>46056</v>
      </c>
      <c r="Q381" s="103">
        <v>46212</v>
      </c>
      <c r="R381" s="73" t="s">
        <v>211</v>
      </c>
      <c r="S381" s="66" t="s">
        <v>853</v>
      </c>
      <c r="T381" s="67">
        <v>1</v>
      </c>
      <c r="U381" s="75" t="s">
        <v>173</v>
      </c>
      <c r="V381" s="68">
        <v>25</v>
      </c>
      <c r="W381" s="68"/>
      <c r="X381" s="69">
        <v>1</v>
      </c>
      <c r="Y381" s="68"/>
      <c r="Z381" s="68">
        <v>0</v>
      </c>
      <c r="AA381" s="68">
        <v>0</v>
      </c>
      <c r="AB381" s="68">
        <v>0</v>
      </c>
      <c r="AC381" s="68"/>
      <c r="AD381" s="68">
        <v>0</v>
      </c>
      <c r="AE381" s="68">
        <v>0</v>
      </c>
      <c r="AF381" s="68">
        <v>0</v>
      </c>
      <c r="AG381" s="68">
        <v>0</v>
      </c>
      <c r="AH381" s="68">
        <v>0</v>
      </c>
      <c r="AI381" s="68">
        <v>0</v>
      </c>
      <c r="AJ381" s="68">
        <v>1</v>
      </c>
      <c r="AK381" s="68"/>
      <c r="AL381" s="68">
        <v>1</v>
      </c>
      <c r="AM381" s="68"/>
      <c r="AN381" s="68">
        <v>1</v>
      </c>
      <c r="AO381" s="68"/>
      <c r="AP381" s="68">
        <v>1</v>
      </c>
      <c r="AQ381" s="68"/>
      <c r="AR381" s="68">
        <v>0</v>
      </c>
      <c r="AS381" s="68">
        <v>0</v>
      </c>
      <c r="AT381" s="68">
        <v>0</v>
      </c>
      <c r="AU381" s="68">
        <v>0</v>
      </c>
      <c r="AV381" s="68">
        <v>0</v>
      </c>
      <c r="AW381" s="68">
        <v>0</v>
      </c>
      <c r="AX381" s="146">
        <f t="shared" si="52"/>
        <v>3235</v>
      </c>
      <c r="AY381" s="146">
        <f t="shared" si="53"/>
        <v>0</v>
      </c>
      <c r="AZ381" s="64" t="s">
        <v>77</v>
      </c>
      <c r="BA381" s="64" t="s">
        <v>77</v>
      </c>
      <c r="BB381" s="15" t="s">
        <v>77</v>
      </c>
      <c r="BC381" s="74">
        <v>377</v>
      </c>
      <c r="BD381" s="70"/>
      <c r="BE381" s="67"/>
      <c r="BF381" s="71"/>
      <c r="BG381" s="15"/>
      <c r="BH381" s="72" t="s">
        <v>77</v>
      </c>
      <c r="BI381" s="72" t="s">
        <v>77</v>
      </c>
    </row>
    <row r="382" spans="1:63" s="16" customFormat="1" ht="42" customHeight="1" x14ac:dyDescent="0.3">
      <c r="A382" s="200">
        <v>378</v>
      </c>
      <c r="B382" s="62">
        <v>243675</v>
      </c>
      <c r="C382" s="62">
        <v>378</v>
      </c>
      <c r="D382" s="63">
        <v>46019</v>
      </c>
      <c r="E382" s="63">
        <f t="shared" si="51"/>
        <v>46018</v>
      </c>
      <c r="F382" s="63">
        <f t="shared" si="47"/>
        <v>46029</v>
      </c>
      <c r="G382" s="63">
        <v>46108</v>
      </c>
      <c r="H382" s="63">
        <f ca="1">TODAY()</f>
        <v>46277</v>
      </c>
      <c r="I382" s="63" t="s">
        <v>349</v>
      </c>
      <c r="J382" s="64" t="s">
        <v>855</v>
      </c>
      <c r="K382" s="65">
        <f t="shared" si="49"/>
        <v>79</v>
      </c>
      <c r="L382" s="65">
        <v>1183654</v>
      </c>
      <c r="M382" s="64" t="s">
        <v>77</v>
      </c>
      <c r="N382" s="64">
        <v>814432</v>
      </c>
      <c r="O382" s="253" t="s">
        <v>1462</v>
      </c>
      <c r="P382" s="103">
        <v>46049</v>
      </c>
      <c r="Q382" s="103">
        <v>46226</v>
      </c>
      <c r="R382" s="73" t="s">
        <v>211</v>
      </c>
      <c r="S382" s="66" t="s">
        <v>856</v>
      </c>
      <c r="T382" s="67">
        <v>1</v>
      </c>
      <c r="U382" s="75" t="s">
        <v>82</v>
      </c>
      <c r="V382" s="68">
        <v>7</v>
      </c>
      <c r="W382" s="68">
        <v>7</v>
      </c>
      <c r="X382" s="69">
        <v>0</v>
      </c>
      <c r="Y382" s="68">
        <v>0</v>
      </c>
      <c r="Z382" s="68">
        <v>0</v>
      </c>
      <c r="AA382" s="68">
        <v>0</v>
      </c>
      <c r="AB382" s="68">
        <v>7</v>
      </c>
      <c r="AC382" s="68">
        <v>7</v>
      </c>
      <c r="AD382" s="68">
        <v>0</v>
      </c>
      <c r="AE382" s="68">
        <v>0</v>
      </c>
      <c r="AF382" s="68">
        <v>0</v>
      </c>
      <c r="AG382" s="68">
        <v>0</v>
      </c>
      <c r="AH382" s="68">
        <v>0</v>
      </c>
      <c r="AI382" s="68">
        <v>0</v>
      </c>
      <c r="AJ382" s="68">
        <v>0</v>
      </c>
      <c r="AK382" s="68">
        <v>0</v>
      </c>
      <c r="AL382" s="68">
        <v>2</v>
      </c>
      <c r="AM382" s="68">
        <v>2</v>
      </c>
      <c r="AN382" s="68">
        <v>1</v>
      </c>
      <c r="AO382" s="68">
        <v>1</v>
      </c>
      <c r="AP382" s="68">
        <v>0</v>
      </c>
      <c r="AQ382" s="68">
        <v>0</v>
      </c>
      <c r="AR382" s="68">
        <v>0</v>
      </c>
      <c r="AS382" s="68">
        <v>0</v>
      </c>
      <c r="AT382" s="68">
        <v>0</v>
      </c>
      <c r="AU382" s="68">
        <v>0</v>
      </c>
      <c r="AV382" s="68">
        <v>0</v>
      </c>
      <c r="AW382" s="68">
        <v>0</v>
      </c>
      <c r="AX382" s="146">
        <f t="shared" si="52"/>
        <v>2059</v>
      </c>
      <c r="AY382" s="146">
        <f t="shared" si="53"/>
        <v>2059</v>
      </c>
      <c r="AZ382" s="64" t="s">
        <v>77</v>
      </c>
      <c r="BA382" s="64" t="s">
        <v>77</v>
      </c>
      <c r="BB382" s="15" t="s">
        <v>77</v>
      </c>
      <c r="BC382" s="74">
        <v>378</v>
      </c>
      <c r="BD382" s="70"/>
      <c r="BE382" s="67"/>
      <c r="BF382" s="71"/>
      <c r="BG382" s="15"/>
      <c r="BH382" s="72" t="s">
        <v>77</v>
      </c>
      <c r="BI382" s="72" t="s">
        <v>77</v>
      </c>
    </row>
    <row r="383" spans="1:63" s="16" customFormat="1" ht="42" customHeight="1" x14ac:dyDescent="0.3">
      <c r="A383" s="200">
        <v>379</v>
      </c>
      <c r="B383" s="163">
        <v>243676</v>
      </c>
      <c r="C383" s="163">
        <v>379</v>
      </c>
      <c r="D383" s="164">
        <v>46019</v>
      </c>
      <c r="E383" s="164">
        <f t="shared" si="51"/>
        <v>46018</v>
      </c>
      <c r="F383" s="164">
        <f t="shared" si="47"/>
        <v>46029</v>
      </c>
      <c r="G383" s="164">
        <v>46108</v>
      </c>
      <c r="H383" s="164">
        <v>46224</v>
      </c>
      <c r="I383" s="164" t="s">
        <v>349</v>
      </c>
      <c r="J383" s="165" t="s">
        <v>857</v>
      </c>
      <c r="K383" s="166">
        <f t="shared" si="49"/>
        <v>79</v>
      </c>
      <c r="L383" s="166">
        <v>1183711</v>
      </c>
      <c r="M383" s="165" t="s">
        <v>15</v>
      </c>
      <c r="N383" s="165">
        <v>814432</v>
      </c>
      <c r="O383" s="165" t="s">
        <v>246</v>
      </c>
      <c r="P383" s="167">
        <v>46049</v>
      </c>
      <c r="Q383" s="167">
        <v>46226</v>
      </c>
      <c r="R383" s="179" t="s">
        <v>211</v>
      </c>
      <c r="S383" s="168" t="s">
        <v>858</v>
      </c>
      <c r="T383" s="169">
        <v>1</v>
      </c>
      <c r="U383" s="180" t="s">
        <v>82</v>
      </c>
      <c r="V383" s="170">
        <v>13</v>
      </c>
      <c r="W383" s="170">
        <v>13</v>
      </c>
      <c r="X383" s="171">
        <v>0</v>
      </c>
      <c r="Y383" s="170">
        <v>0</v>
      </c>
      <c r="Z383" s="170">
        <v>0</v>
      </c>
      <c r="AA383" s="170">
        <v>0</v>
      </c>
      <c r="AB383" s="170">
        <v>13</v>
      </c>
      <c r="AC383" s="170">
        <v>13</v>
      </c>
      <c r="AD383" s="170">
        <v>0</v>
      </c>
      <c r="AE383" s="170">
        <v>0</v>
      </c>
      <c r="AF383" s="170">
        <v>0</v>
      </c>
      <c r="AG383" s="170">
        <v>0</v>
      </c>
      <c r="AH383" s="170">
        <v>1</v>
      </c>
      <c r="AI383" s="170">
        <v>1</v>
      </c>
      <c r="AJ383" s="170">
        <v>0</v>
      </c>
      <c r="AK383" s="170">
        <v>0</v>
      </c>
      <c r="AL383" s="170">
        <v>2</v>
      </c>
      <c r="AM383" s="170">
        <v>2</v>
      </c>
      <c r="AN383" s="170">
        <v>2</v>
      </c>
      <c r="AO383" s="170">
        <v>2</v>
      </c>
      <c r="AP383" s="170">
        <v>1</v>
      </c>
      <c r="AQ383" s="170">
        <v>1</v>
      </c>
      <c r="AR383" s="170">
        <v>0</v>
      </c>
      <c r="AS383" s="170">
        <v>0</v>
      </c>
      <c r="AT383" s="170">
        <v>0</v>
      </c>
      <c r="AU383" s="170">
        <v>0</v>
      </c>
      <c r="AV383" s="170">
        <v>0</v>
      </c>
      <c r="AW383" s="170">
        <v>0</v>
      </c>
      <c r="AX383" s="170">
        <f t="shared" si="52"/>
        <v>3621</v>
      </c>
      <c r="AY383" s="170">
        <f t="shared" si="53"/>
        <v>3621</v>
      </c>
      <c r="AZ383" s="165" t="s">
        <v>15</v>
      </c>
      <c r="BA383" s="165" t="s">
        <v>77</v>
      </c>
      <c r="BB383" s="162" t="s">
        <v>77</v>
      </c>
      <c r="BC383" s="181">
        <v>379</v>
      </c>
      <c r="BD383" s="173"/>
      <c r="BE383" s="169"/>
      <c r="BF383" s="174"/>
      <c r="BG383" s="178">
        <v>46212</v>
      </c>
      <c r="BH383" s="175" t="s">
        <v>535</v>
      </c>
      <c r="BI383" s="175" t="s">
        <v>77</v>
      </c>
    </row>
    <row r="384" spans="1:63" s="16" customFormat="1" ht="42" customHeight="1" x14ac:dyDescent="0.3">
      <c r="A384" s="200">
        <v>380</v>
      </c>
      <c r="B384" s="62">
        <v>243677</v>
      </c>
      <c r="C384" s="62">
        <v>380</v>
      </c>
      <c r="D384" s="63">
        <v>46019</v>
      </c>
      <c r="E384" s="63">
        <f t="shared" si="51"/>
        <v>46018</v>
      </c>
      <c r="F384" s="63">
        <f t="shared" si="47"/>
        <v>46029</v>
      </c>
      <c r="G384" s="63">
        <v>46108</v>
      </c>
      <c r="H384" s="63">
        <f ca="1">TODAY()</f>
        <v>46277</v>
      </c>
      <c r="I384" s="63" t="s">
        <v>349</v>
      </c>
      <c r="J384" s="64" t="s">
        <v>859</v>
      </c>
      <c r="K384" s="65">
        <f t="shared" si="49"/>
        <v>79</v>
      </c>
      <c r="L384" s="65">
        <v>1183753</v>
      </c>
      <c r="M384" s="64" t="s">
        <v>77</v>
      </c>
      <c r="N384" s="64">
        <v>813141</v>
      </c>
      <c r="O384" s="253" t="s">
        <v>1462</v>
      </c>
      <c r="P384" s="103">
        <v>46047</v>
      </c>
      <c r="Q384" s="103">
        <v>46212</v>
      </c>
      <c r="R384" s="73" t="s">
        <v>211</v>
      </c>
      <c r="S384" s="66" t="s">
        <v>860</v>
      </c>
      <c r="T384" s="67">
        <v>1</v>
      </c>
      <c r="U384" s="75" t="s">
        <v>82</v>
      </c>
      <c r="V384" s="68">
        <v>60</v>
      </c>
      <c r="W384" s="68"/>
      <c r="X384" s="69">
        <v>1</v>
      </c>
      <c r="Y384" s="68"/>
      <c r="Z384" s="68">
        <v>0</v>
      </c>
      <c r="AA384" s="68">
        <v>0</v>
      </c>
      <c r="AB384" s="68">
        <v>0</v>
      </c>
      <c r="AC384" s="68"/>
      <c r="AD384" s="68">
        <v>0</v>
      </c>
      <c r="AE384" s="68">
        <v>0</v>
      </c>
      <c r="AF384" s="68">
        <v>0</v>
      </c>
      <c r="AG384" s="68">
        <v>0</v>
      </c>
      <c r="AH384" s="68">
        <v>1</v>
      </c>
      <c r="AI384" s="68"/>
      <c r="AJ384" s="68">
        <v>0</v>
      </c>
      <c r="AK384" s="68">
        <v>0</v>
      </c>
      <c r="AL384" s="68">
        <v>1</v>
      </c>
      <c r="AM384" s="68"/>
      <c r="AN384" s="68">
        <v>1</v>
      </c>
      <c r="AO384" s="68"/>
      <c r="AP384" s="68">
        <v>1</v>
      </c>
      <c r="AQ384" s="68"/>
      <c r="AR384" s="68">
        <v>0</v>
      </c>
      <c r="AS384" s="68">
        <v>0</v>
      </c>
      <c r="AT384" s="68">
        <v>0</v>
      </c>
      <c r="AU384" s="68">
        <v>0</v>
      </c>
      <c r="AV384" s="68">
        <v>0</v>
      </c>
      <c r="AW384" s="68">
        <v>0</v>
      </c>
      <c r="AX384" s="146">
        <f t="shared" si="52"/>
        <v>5130</v>
      </c>
      <c r="AY384" s="146">
        <f t="shared" si="53"/>
        <v>0</v>
      </c>
      <c r="AZ384" s="64" t="s">
        <v>77</v>
      </c>
      <c r="BA384" s="64" t="s">
        <v>77</v>
      </c>
      <c r="BB384" s="15" t="s">
        <v>77</v>
      </c>
      <c r="BC384" s="74">
        <v>380</v>
      </c>
      <c r="BD384" s="70"/>
      <c r="BE384" s="67"/>
      <c r="BF384" s="71"/>
      <c r="BG384" s="15"/>
      <c r="BH384" s="72" t="s">
        <v>77</v>
      </c>
      <c r="BI384" s="72" t="s">
        <v>77</v>
      </c>
    </row>
    <row r="385" spans="1:61" s="16" customFormat="1" ht="42" customHeight="1" x14ac:dyDescent="0.3">
      <c r="A385" s="200">
        <v>381</v>
      </c>
      <c r="B385" s="62">
        <v>243678</v>
      </c>
      <c r="C385" s="62">
        <v>381</v>
      </c>
      <c r="D385" s="63">
        <v>46019</v>
      </c>
      <c r="E385" s="63">
        <f t="shared" si="51"/>
        <v>46018</v>
      </c>
      <c r="F385" s="63">
        <f t="shared" si="47"/>
        <v>46029</v>
      </c>
      <c r="G385" s="63">
        <v>46108</v>
      </c>
      <c r="H385" s="63">
        <f ca="1">TODAY()</f>
        <v>46277</v>
      </c>
      <c r="I385" s="63" t="s">
        <v>349</v>
      </c>
      <c r="J385" s="64" t="s">
        <v>861</v>
      </c>
      <c r="K385" s="65">
        <f t="shared" si="49"/>
        <v>79</v>
      </c>
      <c r="L385" s="65">
        <v>1183770</v>
      </c>
      <c r="M385" s="64" t="s">
        <v>77</v>
      </c>
      <c r="N385" s="64">
        <v>813141</v>
      </c>
      <c r="O385" s="253" t="s">
        <v>1462</v>
      </c>
      <c r="P385" s="103">
        <v>46047</v>
      </c>
      <c r="Q385" s="103">
        <v>46212</v>
      </c>
      <c r="R385" s="73" t="s">
        <v>211</v>
      </c>
      <c r="S385" s="66" t="s">
        <v>862</v>
      </c>
      <c r="T385" s="67">
        <v>1</v>
      </c>
      <c r="U385" s="75" t="s">
        <v>82</v>
      </c>
      <c r="V385" s="68">
        <v>5</v>
      </c>
      <c r="W385" s="68"/>
      <c r="X385" s="69">
        <v>0</v>
      </c>
      <c r="Y385" s="68">
        <v>0</v>
      </c>
      <c r="Z385" s="68">
        <v>0</v>
      </c>
      <c r="AA385" s="68">
        <v>0</v>
      </c>
      <c r="AB385" s="68">
        <v>0</v>
      </c>
      <c r="AC385" s="68"/>
      <c r="AD385" s="68">
        <v>0</v>
      </c>
      <c r="AE385" s="68">
        <v>0</v>
      </c>
      <c r="AF385" s="68">
        <v>0</v>
      </c>
      <c r="AG385" s="68">
        <v>0</v>
      </c>
      <c r="AH385" s="68">
        <v>1</v>
      </c>
      <c r="AI385" s="68"/>
      <c r="AJ385" s="68">
        <v>1</v>
      </c>
      <c r="AK385" s="68"/>
      <c r="AL385" s="68">
        <v>2</v>
      </c>
      <c r="AM385" s="68"/>
      <c r="AN385" s="68">
        <v>1</v>
      </c>
      <c r="AO385" s="68"/>
      <c r="AP385" s="68">
        <v>1</v>
      </c>
      <c r="AQ385" s="68"/>
      <c r="AR385" s="68">
        <v>0</v>
      </c>
      <c r="AS385" s="68">
        <v>0</v>
      </c>
      <c r="AT385" s="68">
        <v>0</v>
      </c>
      <c r="AU385" s="68">
        <v>0</v>
      </c>
      <c r="AV385" s="68">
        <v>0</v>
      </c>
      <c r="AW385" s="68">
        <v>0</v>
      </c>
      <c r="AX385" s="146">
        <f t="shared" si="52"/>
        <v>2715</v>
      </c>
      <c r="AY385" s="146">
        <f t="shared" si="53"/>
        <v>0</v>
      </c>
      <c r="AZ385" s="64" t="s">
        <v>77</v>
      </c>
      <c r="BA385" s="64" t="s">
        <v>77</v>
      </c>
      <c r="BB385" s="15" t="s">
        <v>77</v>
      </c>
      <c r="BC385" s="74">
        <v>381</v>
      </c>
      <c r="BD385" s="70"/>
      <c r="BE385" s="67"/>
      <c r="BF385" s="71"/>
      <c r="BG385" s="15"/>
      <c r="BH385" s="72" t="s">
        <v>77</v>
      </c>
      <c r="BI385" s="72" t="s">
        <v>77</v>
      </c>
    </row>
    <row r="386" spans="1:61" s="16" customFormat="1" ht="42" customHeight="1" x14ac:dyDescent="0.3">
      <c r="A386" s="200">
        <v>382</v>
      </c>
      <c r="B386" s="62">
        <v>243680</v>
      </c>
      <c r="C386" s="62">
        <v>382</v>
      </c>
      <c r="D386" s="63">
        <v>46019</v>
      </c>
      <c r="E386" s="63">
        <f t="shared" si="51"/>
        <v>46018</v>
      </c>
      <c r="F386" s="63">
        <f t="shared" si="47"/>
        <v>46029</v>
      </c>
      <c r="G386" s="63">
        <v>46108</v>
      </c>
      <c r="H386" s="63">
        <f ca="1">TODAY()</f>
        <v>46277</v>
      </c>
      <c r="I386" s="63" t="s">
        <v>349</v>
      </c>
      <c r="J386" s="64" t="s">
        <v>863</v>
      </c>
      <c r="K386" s="65">
        <f t="shared" si="49"/>
        <v>79</v>
      </c>
      <c r="L386" s="65">
        <v>1183781</v>
      </c>
      <c r="M386" s="64" t="s">
        <v>77</v>
      </c>
      <c r="N386" s="64">
        <v>813141</v>
      </c>
      <c r="O386" s="253" t="s">
        <v>1462</v>
      </c>
      <c r="P386" s="103">
        <v>46047</v>
      </c>
      <c r="Q386" s="103">
        <v>46212</v>
      </c>
      <c r="R386" s="73" t="s">
        <v>211</v>
      </c>
      <c r="S386" s="66" t="s">
        <v>864</v>
      </c>
      <c r="T386" s="67">
        <v>1</v>
      </c>
      <c r="U386" s="75" t="s">
        <v>82</v>
      </c>
      <c r="V386" s="68">
        <v>1</v>
      </c>
      <c r="W386" s="68"/>
      <c r="X386" s="69">
        <v>0</v>
      </c>
      <c r="Y386" s="68">
        <v>0</v>
      </c>
      <c r="Z386" s="68">
        <v>0</v>
      </c>
      <c r="AA386" s="68">
        <v>0</v>
      </c>
      <c r="AB386" s="68">
        <v>0</v>
      </c>
      <c r="AC386" s="68"/>
      <c r="AD386" s="68">
        <v>0</v>
      </c>
      <c r="AE386" s="68">
        <v>0</v>
      </c>
      <c r="AF386" s="68">
        <v>0</v>
      </c>
      <c r="AG386" s="68">
        <v>0</v>
      </c>
      <c r="AH386" s="68">
        <v>1</v>
      </c>
      <c r="AI386" s="68"/>
      <c r="AJ386" s="68">
        <v>1</v>
      </c>
      <c r="AK386" s="68"/>
      <c r="AL386" s="68">
        <v>1</v>
      </c>
      <c r="AM386" s="68"/>
      <c r="AN386" s="68">
        <v>1</v>
      </c>
      <c r="AO386" s="68"/>
      <c r="AP386" s="68">
        <v>1</v>
      </c>
      <c r="AQ386" s="68"/>
      <c r="AR386" s="68">
        <v>0</v>
      </c>
      <c r="AS386" s="68">
        <v>0</v>
      </c>
      <c r="AT386" s="68">
        <v>0</v>
      </c>
      <c r="AU386" s="68">
        <v>0</v>
      </c>
      <c r="AV386" s="68">
        <v>0</v>
      </c>
      <c r="AW386" s="68">
        <v>0</v>
      </c>
      <c r="AX386" s="146">
        <f t="shared" si="52"/>
        <v>1885</v>
      </c>
      <c r="AY386" s="146">
        <f t="shared" si="53"/>
        <v>0</v>
      </c>
      <c r="AZ386" s="64" t="s">
        <v>77</v>
      </c>
      <c r="BA386" s="64" t="s">
        <v>77</v>
      </c>
      <c r="BB386" s="15" t="s">
        <v>77</v>
      </c>
      <c r="BC386" s="74">
        <v>382</v>
      </c>
      <c r="BD386" s="70"/>
      <c r="BE386" s="67"/>
      <c r="BF386" s="71"/>
      <c r="BG386" s="15"/>
      <c r="BH386" s="72" t="s">
        <v>77</v>
      </c>
      <c r="BI386" s="72" t="s">
        <v>77</v>
      </c>
    </row>
    <row r="387" spans="1:61" s="16" customFormat="1" ht="42" customHeight="1" x14ac:dyDescent="0.3">
      <c r="A387" s="200">
        <v>383</v>
      </c>
      <c r="B387" s="62">
        <v>243687</v>
      </c>
      <c r="C387" s="62">
        <v>383</v>
      </c>
      <c r="D387" s="63">
        <v>46019</v>
      </c>
      <c r="E387" s="63">
        <f t="shared" si="51"/>
        <v>46018</v>
      </c>
      <c r="F387" s="63">
        <f t="shared" si="47"/>
        <v>46029</v>
      </c>
      <c r="G387" s="63">
        <v>46108</v>
      </c>
      <c r="H387" s="63">
        <f ca="1">TODAY()</f>
        <v>46277</v>
      </c>
      <c r="I387" s="63" t="s">
        <v>349</v>
      </c>
      <c r="J387" s="64" t="s">
        <v>865</v>
      </c>
      <c r="K387" s="65">
        <f t="shared" si="49"/>
        <v>79</v>
      </c>
      <c r="L387" s="65">
        <v>1183831</v>
      </c>
      <c r="M387" s="64" t="s">
        <v>77</v>
      </c>
      <c r="N387" s="64">
        <v>813141</v>
      </c>
      <c r="O387" s="253" t="s">
        <v>1462</v>
      </c>
      <c r="P387" s="103">
        <v>46047</v>
      </c>
      <c r="Q387" s="103">
        <v>46212</v>
      </c>
      <c r="R387" s="73" t="s">
        <v>211</v>
      </c>
      <c r="S387" s="66" t="s">
        <v>866</v>
      </c>
      <c r="T387" s="67">
        <v>1</v>
      </c>
      <c r="U387" s="75" t="s">
        <v>82</v>
      </c>
      <c r="V387" s="68">
        <v>42</v>
      </c>
      <c r="W387" s="68"/>
      <c r="X387" s="69">
        <v>1</v>
      </c>
      <c r="Y387" s="68"/>
      <c r="Z387" s="68">
        <v>0</v>
      </c>
      <c r="AA387" s="68">
        <v>0</v>
      </c>
      <c r="AB387" s="68">
        <v>0</v>
      </c>
      <c r="AC387" s="68"/>
      <c r="AD387" s="68">
        <v>0</v>
      </c>
      <c r="AE387" s="68">
        <v>0</v>
      </c>
      <c r="AF387" s="68">
        <v>0</v>
      </c>
      <c r="AG387" s="68">
        <v>0</v>
      </c>
      <c r="AH387" s="68">
        <v>1</v>
      </c>
      <c r="AI387" s="68"/>
      <c r="AJ387" s="68">
        <v>0</v>
      </c>
      <c r="AK387" s="68">
        <v>0</v>
      </c>
      <c r="AL387" s="68">
        <v>1</v>
      </c>
      <c r="AM387" s="68"/>
      <c r="AN387" s="68">
        <v>2</v>
      </c>
      <c r="AO387" s="68"/>
      <c r="AP387" s="68">
        <v>2</v>
      </c>
      <c r="AQ387" s="68"/>
      <c r="AR387" s="68">
        <v>0</v>
      </c>
      <c r="AS387" s="68">
        <v>0</v>
      </c>
      <c r="AT387" s="68">
        <v>0</v>
      </c>
      <c r="AU387" s="68">
        <v>0</v>
      </c>
      <c r="AV387" s="68">
        <v>0</v>
      </c>
      <c r="AW387" s="68">
        <v>0</v>
      </c>
      <c r="AX387" s="146">
        <f t="shared" si="52"/>
        <v>4740</v>
      </c>
      <c r="AY387" s="146">
        <f t="shared" si="53"/>
        <v>0</v>
      </c>
      <c r="AZ387" s="64" t="s">
        <v>77</v>
      </c>
      <c r="BA387" s="64" t="s">
        <v>77</v>
      </c>
      <c r="BB387" s="15" t="s">
        <v>77</v>
      </c>
      <c r="BC387" s="74">
        <v>383</v>
      </c>
      <c r="BD387" s="70"/>
      <c r="BE387" s="67"/>
      <c r="BF387" s="71"/>
      <c r="BG387" s="15"/>
      <c r="BH387" s="72" t="s">
        <v>77</v>
      </c>
      <c r="BI387" s="72" t="s">
        <v>77</v>
      </c>
    </row>
    <row r="388" spans="1:61" s="16" customFormat="1" ht="42" hidden="1" customHeight="1" x14ac:dyDescent="0.3">
      <c r="A388" s="200">
        <v>384</v>
      </c>
      <c r="B388" s="138">
        <v>243715</v>
      </c>
      <c r="C388" s="138">
        <v>384</v>
      </c>
      <c r="D388" s="139">
        <v>46019</v>
      </c>
      <c r="E388" s="139">
        <f t="shared" si="51"/>
        <v>46018</v>
      </c>
      <c r="F388" s="139">
        <f t="shared" si="47"/>
        <v>46029</v>
      </c>
      <c r="G388" s="139">
        <v>46109</v>
      </c>
      <c r="H388" s="139">
        <v>46130</v>
      </c>
      <c r="I388" s="139" t="s">
        <v>321</v>
      </c>
      <c r="J388" s="140" t="s">
        <v>867</v>
      </c>
      <c r="K388" s="141">
        <f t="shared" si="49"/>
        <v>80</v>
      </c>
      <c r="L388" s="141">
        <v>1183891</v>
      </c>
      <c r="M388" s="140" t="s">
        <v>15</v>
      </c>
      <c r="N388" s="140">
        <v>813143</v>
      </c>
      <c r="O388" s="137" t="s">
        <v>246</v>
      </c>
      <c r="P388" s="143">
        <v>46035</v>
      </c>
      <c r="Q388" s="143">
        <v>46212</v>
      </c>
      <c r="R388" s="185" t="s">
        <v>211</v>
      </c>
      <c r="S388" s="144" t="s">
        <v>868</v>
      </c>
      <c r="T388" s="145">
        <v>1</v>
      </c>
      <c r="U388" s="186" t="s">
        <v>81</v>
      </c>
      <c r="V388" s="146">
        <v>556</v>
      </c>
      <c r="W388" s="146">
        <v>556</v>
      </c>
      <c r="X388" s="147">
        <v>0</v>
      </c>
      <c r="Y388" s="146">
        <v>0</v>
      </c>
      <c r="Z388" s="146">
        <v>0</v>
      </c>
      <c r="AA388" s="146">
        <v>0</v>
      </c>
      <c r="AB388" s="146">
        <v>0</v>
      </c>
      <c r="AC388" s="146">
        <v>0</v>
      </c>
      <c r="AD388" s="146">
        <v>0</v>
      </c>
      <c r="AE388" s="146">
        <v>0</v>
      </c>
      <c r="AF388" s="146">
        <v>0</v>
      </c>
      <c r="AG388" s="146">
        <v>0</v>
      </c>
      <c r="AH388" s="146">
        <v>0</v>
      </c>
      <c r="AI388" s="146">
        <v>0</v>
      </c>
      <c r="AJ388" s="146">
        <v>0</v>
      </c>
      <c r="AK388" s="146">
        <v>0</v>
      </c>
      <c r="AL388" s="146">
        <v>0</v>
      </c>
      <c r="AM388" s="146">
        <v>0</v>
      </c>
      <c r="AN388" s="146">
        <v>4</v>
      </c>
      <c r="AO388" s="146">
        <v>4</v>
      </c>
      <c r="AP388" s="146">
        <v>4</v>
      </c>
      <c r="AQ388" s="146">
        <v>4</v>
      </c>
      <c r="AR388" s="146">
        <v>0</v>
      </c>
      <c r="AS388" s="146">
        <v>0</v>
      </c>
      <c r="AT388" s="146">
        <v>0</v>
      </c>
      <c r="AU388" s="146">
        <v>0</v>
      </c>
      <c r="AV388" s="146">
        <v>0</v>
      </c>
      <c r="AW388" s="146">
        <v>0</v>
      </c>
      <c r="AX388" s="146">
        <f t="shared" si="52"/>
        <v>36120</v>
      </c>
      <c r="AY388" s="146">
        <f t="shared" si="53"/>
        <v>36120</v>
      </c>
      <c r="AZ388" s="140" t="s">
        <v>562</v>
      </c>
      <c r="BA388" s="140" t="s">
        <v>562</v>
      </c>
      <c r="BB388" s="137">
        <v>10</v>
      </c>
      <c r="BC388" s="187">
        <v>384</v>
      </c>
      <c r="BD388" s="149"/>
      <c r="BE388" s="145"/>
      <c r="BF388" s="150"/>
      <c r="BG388" s="188">
        <v>46086</v>
      </c>
      <c r="BH388" s="153" t="s">
        <v>15</v>
      </c>
      <c r="BI388" s="153" t="s">
        <v>562</v>
      </c>
    </row>
    <row r="389" spans="1:61" s="16" customFormat="1" ht="42" hidden="1" customHeight="1" x14ac:dyDescent="0.3">
      <c r="A389" s="200">
        <v>385</v>
      </c>
      <c r="B389" s="138">
        <v>243710</v>
      </c>
      <c r="C389" s="138">
        <v>385</v>
      </c>
      <c r="D389" s="139">
        <v>46019</v>
      </c>
      <c r="E389" s="139">
        <f t="shared" si="51"/>
        <v>46018</v>
      </c>
      <c r="F389" s="139">
        <f t="shared" si="47"/>
        <v>46029</v>
      </c>
      <c r="G389" s="139">
        <v>46109</v>
      </c>
      <c r="H389" s="139">
        <v>46203</v>
      </c>
      <c r="I389" s="139" t="s">
        <v>321</v>
      </c>
      <c r="J389" s="140" t="s">
        <v>869</v>
      </c>
      <c r="K389" s="141">
        <f t="shared" si="49"/>
        <v>80</v>
      </c>
      <c r="L389" s="141">
        <v>1183880</v>
      </c>
      <c r="M389" s="140" t="s">
        <v>15</v>
      </c>
      <c r="N389" s="140">
        <v>813731</v>
      </c>
      <c r="O389" s="140" t="s">
        <v>246</v>
      </c>
      <c r="P389" s="143">
        <v>46047</v>
      </c>
      <c r="Q389" s="143">
        <v>46212</v>
      </c>
      <c r="R389" s="185" t="s">
        <v>211</v>
      </c>
      <c r="S389" s="144" t="s">
        <v>870</v>
      </c>
      <c r="T389" s="145">
        <v>1</v>
      </c>
      <c r="U389" s="186" t="s">
        <v>122</v>
      </c>
      <c r="V389" s="146">
        <v>308</v>
      </c>
      <c r="W389" s="146">
        <v>308</v>
      </c>
      <c r="X389" s="147">
        <v>0</v>
      </c>
      <c r="Y389" s="146">
        <v>0</v>
      </c>
      <c r="Z389" s="146">
        <v>0</v>
      </c>
      <c r="AA389" s="146">
        <v>0</v>
      </c>
      <c r="AB389" s="146">
        <v>85</v>
      </c>
      <c r="AC389" s="146">
        <v>85</v>
      </c>
      <c r="AD389" s="146">
        <v>10</v>
      </c>
      <c r="AE389" s="146">
        <v>10</v>
      </c>
      <c r="AF389" s="146">
        <v>0</v>
      </c>
      <c r="AG389" s="146">
        <v>0</v>
      </c>
      <c r="AH389" s="146">
        <v>0</v>
      </c>
      <c r="AI389" s="146">
        <v>0</v>
      </c>
      <c r="AJ389" s="146">
        <v>0</v>
      </c>
      <c r="AK389" s="146">
        <v>0</v>
      </c>
      <c r="AL389" s="146">
        <v>1</v>
      </c>
      <c r="AM389" s="146">
        <v>1</v>
      </c>
      <c r="AN389" s="146">
        <v>1</v>
      </c>
      <c r="AO389" s="146">
        <v>1</v>
      </c>
      <c r="AP389" s="146">
        <v>1</v>
      </c>
      <c r="AQ389" s="146">
        <v>1</v>
      </c>
      <c r="AR389" s="146">
        <v>0</v>
      </c>
      <c r="AS389" s="146">
        <v>0</v>
      </c>
      <c r="AT389" s="146">
        <v>0</v>
      </c>
      <c r="AU389" s="146">
        <v>0</v>
      </c>
      <c r="AV389" s="146">
        <v>0</v>
      </c>
      <c r="AW389" s="146">
        <v>0</v>
      </c>
      <c r="AX389" s="146">
        <f t="shared" si="52"/>
        <v>25355</v>
      </c>
      <c r="AY389" s="146">
        <f t="shared" si="53"/>
        <v>25355</v>
      </c>
      <c r="AZ389" s="140" t="s">
        <v>562</v>
      </c>
      <c r="BA389" s="140" t="s">
        <v>562</v>
      </c>
      <c r="BB389" s="137">
        <v>13</v>
      </c>
      <c r="BC389" s="187">
        <v>385</v>
      </c>
      <c r="BD389" s="149"/>
      <c r="BE389" s="145"/>
      <c r="BF389" s="150"/>
      <c r="BG389" s="188">
        <v>46198</v>
      </c>
      <c r="BH389" s="153" t="s">
        <v>15</v>
      </c>
      <c r="BI389" s="153" t="s">
        <v>562</v>
      </c>
    </row>
    <row r="390" spans="1:61" s="16" customFormat="1" ht="42" hidden="1" customHeight="1" x14ac:dyDescent="0.3">
      <c r="A390" s="200">
        <v>386</v>
      </c>
      <c r="B390" s="138">
        <v>243726</v>
      </c>
      <c r="C390" s="138">
        <v>386</v>
      </c>
      <c r="D390" s="139">
        <v>46019</v>
      </c>
      <c r="E390" s="139">
        <f t="shared" si="51"/>
        <v>46018</v>
      </c>
      <c r="F390" s="139">
        <f t="shared" si="47"/>
        <v>46029</v>
      </c>
      <c r="G390" s="139">
        <v>46109</v>
      </c>
      <c r="H390" s="139">
        <v>46090</v>
      </c>
      <c r="I390" s="139" t="s">
        <v>321</v>
      </c>
      <c r="J390" s="140" t="s">
        <v>871</v>
      </c>
      <c r="K390" s="141">
        <f t="shared" si="49"/>
        <v>80</v>
      </c>
      <c r="L390" s="141">
        <v>1183910</v>
      </c>
      <c r="M390" s="140" t="s">
        <v>15</v>
      </c>
      <c r="N390" s="140">
        <v>813141</v>
      </c>
      <c r="O390" s="140" t="s">
        <v>246</v>
      </c>
      <c r="P390" s="143">
        <v>46047</v>
      </c>
      <c r="Q390" s="143">
        <v>46212</v>
      </c>
      <c r="R390" s="185" t="s">
        <v>211</v>
      </c>
      <c r="S390" s="144" t="s">
        <v>150</v>
      </c>
      <c r="T390" s="145">
        <v>2</v>
      </c>
      <c r="U390" s="186" t="s">
        <v>82</v>
      </c>
      <c r="V390" s="146">
        <v>76</v>
      </c>
      <c r="W390" s="146">
        <v>76</v>
      </c>
      <c r="X390" s="147">
        <v>0</v>
      </c>
      <c r="Y390" s="146">
        <v>0</v>
      </c>
      <c r="Z390" s="146">
        <v>0</v>
      </c>
      <c r="AA390" s="146">
        <v>0</v>
      </c>
      <c r="AB390" s="146">
        <v>0</v>
      </c>
      <c r="AC390" s="146">
        <v>0</v>
      </c>
      <c r="AD390" s="146">
        <v>0</v>
      </c>
      <c r="AE390" s="146">
        <v>0</v>
      </c>
      <c r="AF390" s="146">
        <v>0</v>
      </c>
      <c r="AG390" s="146">
        <v>0</v>
      </c>
      <c r="AH390" s="146">
        <v>0</v>
      </c>
      <c r="AI390" s="146">
        <v>0</v>
      </c>
      <c r="AJ390" s="146">
        <v>0</v>
      </c>
      <c r="AK390" s="146">
        <v>0</v>
      </c>
      <c r="AL390" s="146">
        <v>1</v>
      </c>
      <c r="AM390" s="146">
        <v>1</v>
      </c>
      <c r="AN390" s="146">
        <v>1</v>
      </c>
      <c r="AO390" s="146">
        <v>1</v>
      </c>
      <c r="AP390" s="146">
        <v>0</v>
      </c>
      <c r="AQ390" s="146">
        <v>0</v>
      </c>
      <c r="AR390" s="146">
        <v>0</v>
      </c>
      <c r="AS390" s="146">
        <v>0</v>
      </c>
      <c r="AT390" s="146">
        <v>0</v>
      </c>
      <c r="AU390" s="146">
        <v>0</v>
      </c>
      <c r="AV390" s="146">
        <v>0</v>
      </c>
      <c r="AW390" s="146">
        <v>0</v>
      </c>
      <c r="AX390" s="146">
        <f t="shared" si="52"/>
        <v>5210</v>
      </c>
      <c r="AY390" s="146">
        <f t="shared" si="53"/>
        <v>5210</v>
      </c>
      <c r="AZ390" s="140" t="s">
        <v>562</v>
      </c>
      <c r="BA390" s="140" t="s">
        <v>562</v>
      </c>
      <c r="BB390" s="137">
        <v>9</v>
      </c>
      <c r="BC390" s="187">
        <v>386</v>
      </c>
      <c r="BD390" s="149"/>
      <c r="BE390" s="145"/>
      <c r="BF390" s="150"/>
      <c r="BG390" s="188">
        <v>46090</v>
      </c>
      <c r="BH390" s="153" t="s">
        <v>15</v>
      </c>
      <c r="BI390" s="153" t="s">
        <v>562</v>
      </c>
    </row>
    <row r="391" spans="1:61" s="16" customFormat="1" ht="42" hidden="1" customHeight="1" x14ac:dyDescent="0.3">
      <c r="A391" s="26">
        <v>387</v>
      </c>
      <c r="B391" s="138">
        <v>243825</v>
      </c>
      <c r="C391" s="138">
        <v>387</v>
      </c>
      <c r="D391" s="139">
        <v>46021</v>
      </c>
      <c r="E391" s="139">
        <f t="shared" si="51"/>
        <v>46020</v>
      </c>
      <c r="F391" s="139">
        <f t="shared" si="47"/>
        <v>46031</v>
      </c>
      <c r="G391" s="139">
        <v>46082</v>
      </c>
      <c r="H391" s="139">
        <v>46062</v>
      </c>
      <c r="I391" s="139" t="s">
        <v>123</v>
      </c>
      <c r="J391" s="140" t="s">
        <v>873</v>
      </c>
      <c r="K391" s="141">
        <f t="shared" si="49"/>
        <v>51</v>
      </c>
      <c r="L391" s="141">
        <v>1184749</v>
      </c>
      <c r="M391" s="140" t="s">
        <v>15</v>
      </c>
      <c r="N391" s="140">
        <v>813542</v>
      </c>
      <c r="O391" s="137" t="s">
        <v>246</v>
      </c>
      <c r="P391" s="143">
        <v>46035</v>
      </c>
      <c r="Q391" s="143">
        <v>46212</v>
      </c>
      <c r="R391" s="185" t="s">
        <v>1013</v>
      </c>
      <c r="S391" s="144" t="s">
        <v>874</v>
      </c>
      <c r="T391" s="145">
        <v>1</v>
      </c>
      <c r="U391" s="186" t="s">
        <v>82</v>
      </c>
      <c r="V391" s="146">
        <v>138</v>
      </c>
      <c r="W391" s="146">
        <v>138</v>
      </c>
      <c r="X391" s="147">
        <v>0</v>
      </c>
      <c r="Y391" s="146"/>
      <c r="Z391" s="146">
        <v>0</v>
      </c>
      <c r="AA391" s="146">
        <v>0</v>
      </c>
      <c r="AB391" s="146">
        <v>4</v>
      </c>
      <c r="AC391" s="146">
        <v>4</v>
      </c>
      <c r="AD391" s="146">
        <v>0</v>
      </c>
      <c r="AE391" s="146">
        <v>0</v>
      </c>
      <c r="AF391" s="146">
        <v>0</v>
      </c>
      <c r="AG391" s="146">
        <v>0</v>
      </c>
      <c r="AH391" s="146">
        <v>1</v>
      </c>
      <c r="AI391" s="146">
        <v>1</v>
      </c>
      <c r="AJ391" s="146">
        <v>0</v>
      </c>
      <c r="AK391" s="146">
        <v>0</v>
      </c>
      <c r="AL391" s="146">
        <v>1</v>
      </c>
      <c r="AM391" s="146">
        <v>1</v>
      </c>
      <c r="AN391" s="146">
        <v>1</v>
      </c>
      <c r="AO391" s="146">
        <v>1</v>
      </c>
      <c r="AP391" s="146">
        <v>1</v>
      </c>
      <c r="AQ391" s="146">
        <v>1</v>
      </c>
      <c r="AR391" s="146">
        <v>0</v>
      </c>
      <c r="AS391" s="146">
        <v>0</v>
      </c>
      <c r="AT391" s="146">
        <v>1</v>
      </c>
      <c r="AU391" s="146">
        <v>1</v>
      </c>
      <c r="AV391" s="146">
        <v>0</v>
      </c>
      <c r="AW391" s="146">
        <v>0</v>
      </c>
      <c r="AX391" s="146">
        <f t="shared" si="52"/>
        <v>10308</v>
      </c>
      <c r="AY391" s="146">
        <f t="shared" si="53"/>
        <v>10308</v>
      </c>
      <c r="AZ391" s="140" t="s">
        <v>562</v>
      </c>
      <c r="BA391" s="140" t="s">
        <v>562</v>
      </c>
      <c r="BB391" s="137">
        <v>7</v>
      </c>
      <c r="BC391" s="187">
        <v>387</v>
      </c>
      <c r="BD391" s="149"/>
      <c r="BE391" s="145"/>
      <c r="BF391" s="150"/>
      <c r="BG391" s="188">
        <v>46054</v>
      </c>
      <c r="BH391" s="153" t="s">
        <v>15</v>
      </c>
      <c r="BI391" s="153" t="s">
        <v>562</v>
      </c>
    </row>
    <row r="392" spans="1:61" s="16" customFormat="1" ht="42" customHeight="1" x14ac:dyDescent="0.3">
      <c r="A392" s="200">
        <v>388</v>
      </c>
      <c r="B392" s="221">
        <v>243937</v>
      </c>
      <c r="C392" s="221">
        <v>388</v>
      </c>
      <c r="D392" s="222">
        <v>46023</v>
      </c>
      <c r="E392" s="222">
        <f t="shared" si="51"/>
        <v>46022</v>
      </c>
      <c r="F392" s="222">
        <f t="shared" si="47"/>
        <v>46033</v>
      </c>
      <c r="G392" s="222">
        <v>46114</v>
      </c>
      <c r="H392" s="222">
        <f ca="1">TODAY()</f>
        <v>46277</v>
      </c>
      <c r="I392" s="222" t="s">
        <v>349</v>
      </c>
      <c r="J392" s="183" t="s">
        <v>875</v>
      </c>
      <c r="K392" s="223">
        <f t="shared" si="49"/>
        <v>81</v>
      </c>
      <c r="L392" s="223">
        <v>1185429</v>
      </c>
      <c r="M392" s="183" t="s">
        <v>77</v>
      </c>
      <c r="N392" s="183">
        <v>813962</v>
      </c>
      <c r="O392" s="253" t="s">
        <v>1462</v>
      </c>
      <c r="P392" s="184">
        <v>46048</v>
      </c>
      <c r="Q392" s="184">
        <v>46219</v>
      </c>
      <c r="R392" s="225" t="s">
        <v>211</v>
      </c>
      <c r="S392" s="226" t="s">
        <v>876</v>
      </c>
      <c r="T392" s="227">
        <v>1</v>
      </c>
      <c r="U392" s="228" t="s">
        <v>122</v>
      </c>
      <c r="V392" s="229">
        <v>10</v>
      </c>
      <c r="W392" s="229"/>
      <c r="X392" s="230">
        <v>1</v>
      </c>
      <c r="Y392" s="229"/>
      <c r="Z392" s="229">
        <v>0</v>
      </c>
      <c r="AA392" s="229">
        <v>0</v>
      </c>
      <c r="AB392" s="68">
        <v>0</v>
      </c>
      <c r="AC392" s="229"/>
      <c r="AD392" s="229">
        <v>0</v>
      </c>
      <c r="AE392" s="229">
        <v>0</v>
      </c>
      <c r="AF392" s="229">
        <v>0</v>
      </c>
      <c r="AG392" s="229">
        <v>0</v>
      </c>
      <c r="AH392" s="229">
        <v>1</v>
      </c>
      <c r="AI392" s="229"/>
      <c r="AJ392" s="229">
        <v>0</v>
      </c>
      <c r="AK392" s="229">
        <v>0</v>
      </c>
      <c r="AL392" s="229">
        <v>1</v>
      </c>
      <c r="AM392" s="229"/>
      <c r="AN392" s="229">
        <v>3</v>
      </c>
      <c r="AO392" s="229"/>
      <c r="AP392" s="229">
        <v>3</v>
      </c>
      <c r="AQ392" s="229"/>
      <c r="AR392" s="229">
        <v>0</v>
      </c>
      <c r="AS392" s="229">
        <v>0</v>
      </c>
      <c r="AT392" s="229">
        <v>0</v>
      </c>
      <c r="AU392" s="229">
        <v>0</v>
      </c>
      <c r="AV392" s="229">
        <v>0</v>
      </c>
      <c r="AW392" s="229">
        <v>0</v>
      </c>
      <c r="AX392" s="229">
        <f t="shared" si="52"/>
        <v>3510</v>
      </c>
      <c r="AY392" s="229">
        <f t="shared" si="53"/>
        <v>0</v>
      </c>
      <c r="AZ392" s="183" t="s">
        <v>77</v>
      </c>
      <c r="BA392" s="183" t="s">
        <v>77</v>
      </c>
      <c r="BB392" s="224" t="s">
        <v>77</v>
      </c>
      <c r="BC392" s="231">
        <v>388</v>
      </c>
      <c r="BD392" s="232"/>
      <c r="BE392" s="227"/>
      <c r="BF392" s="233"/>
      <c r="BG392" s="224"/>
      <c r="BH392" s="234" t="s">
        <v>77</v>
      </c>
      <c r="BI392" s="234" t="s">
        <v>77</v>
      </c>
    </row>
    <row r="393" spans="1:61" s="16" customFormat="1" ht="42" customHeight="1" x14ac:dyDescent="0.3">
      <c r="A393" s="200">
        <v>389</v>
      </c>
      <c r="B393" s="62">
        <v>243940</v>
      </c>
      <c r="C393" s="62">
        <v>389</v>
      </c>
      <c r="D393" s="63">
        <v>46023</v>
      </c>
      <c r="E393" s="63">
        <f t="shared" si="51"/>
        <v>46022</v>
      </c>
      <c r="F393" s="63">
        <f t="shared" ref="F393:F456" si="54">D393+10</f>
        <v>46033</v>
      </c>
      <c r="G393" s="63">
        <v>46114</v>
      </c>
      <c r="H393" s="63">
        <f ca="1">TODAY()</f>
        <v>46277</v>
      </c>
      <c r="I393" s="63" t="s">
        <v>349</v>
      </c>
      <c r="J393" s="64" t="s">
        <v>877</v>
      </c>
      <c r="K393" s="65">
        <f t="shared" si="49"/>
        <v>81</v>
      </c>
      <c r="L393" s="65">
        <v>1185537</v>
      </c>
      <c r="M393" s="64" t="s">
        <v>77</v>
      </c>
      <c r="N393" s="64">
        <v>813962</v>
      </c>
      <c r="O393" s="253" t="s">
        <v>1462</v>
      </c>
      <c r="P393" s="103">
        <v>46048</v>
      </c>
      <c r="Q393" s="103">
        <v>46219</v>
      </c>
      <c r="R393" s="73" t="s">
        <v>211</v>
      </c>
      <c r="S393" s="66" t="s">
        <v>878</v>
      </c>
      <c r="T393" s="67">
        <v>1</v>
      </c>
      <c r="U393" s="75" t="s">
        <v>122</v>
      </c>
      <c r="V393" s="68">
        <v>8</v>
      </c>
      <c r="W393" s="68"/>
      <c r="X393" s="69">
        <v>1</v>
      </c>
      <c r="Y393" s="68"/>
      <c r="Z393" s="68">
        <v>0</v>
      </c>
      <c r="AA393" s="68">
        <v>0</v>
      </c>
      <c r="AB393" s="68">
        <v>0</v>
      </c>
      <c r="AC393" s="68"/>
      <c r="AD393" s="68">
        <v>0</v>
      </c>
      <c r="AE393" s="68">
        <v>0</v>
      </c>
      <c r="AF393" s="68">
        <v>0</v>
      </c>
      <c r="AG393" s="68">
        <v>0</v>
      </c>
      <c r="AH393" s="68">
        <v>1</v>
      </c>
      <c r="AI393" s="68"/>
      <c r="AJ393" s="68">
        <v>0</v>
      </c>
      <c r="AK393" s="68">
        <v>0</v>
      </c>
      <c r="AL393" s="68">
        <v>1</v>
      </c>
      <c r="AM393" s="68"/>
      <c r="AN393" s="68">
        <v>4</v>
      </c>
      <c r="AO393" s="68"/>
      <c r="AP393" s="68">
        <v>4</v>
      </c>
      <c r="AQ393" s="68"/>
      <c r="AR393" s="68">
        <v>0</v>
      </c>
      <c r="AS393" s="68">
        <v>0</v>
      </c>
      <c r="AT393" s="68">
        <v>0</v>
      </c>
      <c r="AU393" s="68">
        <v>0</v>
      </c>
      <c r="AV393" s="68">
        <v>0</v>
      </c>
      <c r="AW393" s="68">
        <v>0</v>
      </c>
      <c r="AX393" s="146">
        <f t="shared" si="52"/>
        <v>4080</v>
      </c>
      <c r="AY393" s="146">
        <f t="shared" si="53"/>
        <v>0</v>
      </c>
      <c r="AZ393" s="64" t="s">
        <v>77</v>
      </c>
      <c r="BA393" s="64" t="s">
        <v>77</v>
      </c>
      <c r="BB393" s="15" t="s">
        <v>77</v>
      </c>
      <c r="BC393" s="74">
        <v>389</v>
      </c>
      <c r="BD393" s="70"/>
      <c r="BE393" s="67"/>
      <c r="BF393" s="71"/>
      <c r="BG393" s="15"/>
      <c r="BH393" s="72" t="s">
        <v>77</v>
      </c>
      <c r="BI393" s="72" t="s">
        <v>77</v>
      </c>
    </row>
    <row r="394" spans="1:61" s="16" customFormat="1" ht="42" customHeight="1" x14ac:dyDescent="0.3">
      <c r="A394" s="200">
        <v>390</v>
      </c>
      <c r="B394" s="62">
        <v>244013</v>
      </c>
      <c r="C394" s="62">
        <v>390</v>
      </c>
      <c r="D394" s="63">
        <v>46023</v>
      </c>
      <c r="E394" s="63">
        <f t="shared" si="51"/>
        <v>46022</v>
      </c>
      <c r="F394" s="63">
        <f t="shared" si="54"/>
        <v>46033</v>
      </c>
      <c r="G394" s="63">
        <v>46114</v>
      </c>
      <c r="H394" s="63">
        <f ca="1">TODAY()</f>
        <v>46277</v>
      </c>
      <c r="I394" s="63" t="s">
        <v>349</v>
      </c>
      <c r="J394" s="64" t="s">
        <v>879</v>
      </c>
      <c r="K394" s="65">
        <f t="shared" si="49"/>
        <v>81</v>
      </c>
      <c r="L394" s="65">
        <v>1185770</v>
      </c>
      <c r="M394" s="64" t="s">
        <v>77</v>
      </c>
      <c r="N394" s="64">
        <v>813962</v>
      </c>
      <c r="O394" s="253" t="s">
        <v>1462</v>
      </c>
      <c r="P394" s="103">
        <v>46048</v>
      </c>
      <c r="Q394" s="103">
        <v>46219</v>
      </c>
      <c r="R394" s="73" t="s">
        <v>211</v>
      </c>
      <c r="S394" s="66" t="s">
        <v>880</v>
      </c>
      <c r="T394" s="67">
        <v>1</v>
      </c>
      <c r="U394" s="75" t="s">
        <v>122</v>
      </c>
      <c r="V394" s="68">
        <v>11</v>
      </c>
      <c r="W394" s="68"/>
      <c r="X394" s="69">
        <v>1</v>
      </c>
      <c r="Y394" s="68"/>
      <c r="Z394" s="68">
        <v>0</v>
      </c>
      <c r="AA394" s="68">
        <v>0</v>
      </c>
      <c r="AB394" s="68">
        <v>0</v>
      </c>
      <c r="AC394" s="68"/>
      <c r="AD394" s="68">
        <v>0</v>
      </c>
      <c r="AE394" s="68">
        <v>0</v>
      </c>
      <c r="AF394" s="68">
        <v>0</v>
      </c>
      <c r="AG394" s="68">
        <v>0</v>
      </c>
      <c r="AH394" s="68">
        <v>1</v>
      </c>
      <c r="AI394" s="68"/>
      <c r="AJ394" s="68">
        <v>0</v>
      </c>
      <c r="AK394" s="68">
        <v>0</v>
      </c>
      <c r="AL394" s="68">
        <v>1</v>
      </c>
      <c r="AM394" s="68"/>
      <c r="AN394" s="68">
        <v>2</v>
      </c>
      <c r="AO394" s="68"/>
      <c r="AP394" s="68">
        <v>2</v>
      </c>
      <c r="AQ394" s="68"/>
      <c r="AR394" s="68">
        <v>0</v>
      </c>
      <c r="AS394" s="68">
        <v>0</v>
      </c>
      <c r="AT394" s="68">
        <v>0</v>
      </c>
      <c r="AU394" s="68">
        <v>0</v>
      </c>
      <c r="AV394" s="68">
        <v>0</v>
      </c>
      <c r="AW394" s="68">
        <v>0</v>
      </c>
      <c r="AX394" s="146">
        <f t="shared" si="52"/>
        <v>2880</v>
      </c>
      <c r="AY394" s="146">
        <f t="shared" si="53"/>
        <v>0</v>
      </c>
      <c r="AZ394" s="64" t="s">
        <v>77</v>
      </c>
      <c r="BA394" s="64" t="s">
        <v>77</v>
      </c>
      <c r="BB394" s="15" t="s">
        <v>77</v>
      </c>
      <c r="BC394" s="74">
        <v>390</v>
      </c>
      <c r="BD394" s="70"/>
      <c r="BE394" s="67"/>
      <c r="BF394" s="71"/>
      <c r="BG394" s="15"/>
      <c r="BH394" s="72" t="s">
        <v>77</v>
      </c>
      <c r="BI394" s="72" t="s">
        <v>77</v>
      </c>
    </row>
    <row r="395" spans="1:61" s="16" customFormat="1" ht="42" customHeight="1" x14ac:dyDescent="0.3">
      <c r="A395" s="200">
        <v>391</v>
      </c>
      <c r="B395" s="62">
        <v>244017</v>
      </c>
      <c r="C395" s="62">
        <v>391</v>
      </c>
      <c r="D395" s="63">
        <v>46023</v>
      </c>
      <c r="E395" s="63">
        <f t="shared" si="51"/>
        <v>46022</v>
      </c>
      <c r="F395" s="63">
        <f t="shared" si="54"/>
        <v>46033</v>
      </c>
      <c r="G395" s="63">
        <v>46114</v>
      </c>
      <c r="H395" s="63">
        <f ca="1">TODAY()</f>
        <v>46277</v>
      </c>
      <c r="I395" s="63" t="s">
        <v>349</v>
      </c>
      <c r="J395" s="64" t="s">
        <v>881</v>
      </c>
      <c r="K395" s="65">
        <f t="shared" si="49"/>
        <v>81</v>
      </c>
      <c r="L395" s="65">
        <v>1185775</v>
      </c>
      <c r="M395" s="64" t="s">
        <v>77</v>
      </c>
      <c r="N395" s="64">
        <v>813962</v>
      </c>
      <c r="O395" s="253" t="s">
        <v>1462</v>
      </c>
      <c r="P395" s="103">
        <v>46048</v>
      </c>
      <c r="Q395" s="103">
        <v>46219</v>
      </c>
      <c r="R395" s="73" t="s">
        <v>211</v>
      </c>
      <c r="S395" s="66" t="s">
        <v>882</v>
      </c>
      <c r="T395" s="67">
        <v>1</v>
      </c>
      <c r="U395" s="75" t="s">
        <v>122</v>
      </c>
      <c r="V395" s="68">
        <v>3</v>
      </c>
      <c r="W395" s="68"/>
      <c r="X395" s="69">
        <v>1</v>
      </c>
      <c r="Y395" s="68"/>
      <c r="Z395" s="68">
        <v>0</v>
      </c>
      <c r="AA395" s="68">
        <v>0</v>
      </c>
      <c r="AB395" s="68">
        <v>0</v>
      </c>
      <c r="AC395" s="68"/>
      <c r="AD395" s="68">
        <v>0</v>
      </c>
      <c r="AE395" s="68">
        <v>0</v>
      </c>
      <c r="AF395" s="68">
        <v>0</v>
      </c>
      <c r="AG395" s="68">
        <v>0</v>
      </c>
      <c r="AH395" s="68">
        <v>1</v>
      </c>
      <c r="AI395" s="68"/>
      <c r="AJ395" s="68">
        <v>0</v>
      </c>
      <c r="AK395" s="68">
        <v>0</v>
      </c>
      <c r="AL395" s="68">
        <v>1</v>
      </c>
      <c r="AM395" s="68"/>
      <c r="AN395" s="68">
        <v>1</v>
      </c>
      <c r="AO395" s="68"/>
      <c r="AP395" s="68">
        <v>1</v>
      </c>
      <c r="AQ395" s="68"/>
      <c r="AR395" s="68">
        <v>0</v>
      </c>
      <c r="AS395" s="68">
        <v>0</v>
      </c>
      <c r="AT395" s="68">
        <v>0</v>
      </c>
      <c r="AU395" s="68">
        <v>0</v>
      </c>
      <c r="AV395" s="68">
        <v>0</v>
      </c>
      <c r="AW395" s="68">
        <v>0</v>
      </c>
      <c r="AX395" s="146">
        <f t="shared" si="52"/>
        <v>1710</v>
      </c>
      <c r="AY395" s="146">
        <f t="shared" si="53"/>
        <v>0</v>
      </c>
      <c r="AZ395" s="64" t="s">
        <v>77</v>
      </c>
      <c r="BA395" s="64" t="s">
        <v>77</v>
      </c>
      <c r="BB395" s="15" t="s">
        <v>77</v>
      </c>
      <c r="BC395" s="74">
        <v>391</v>
      </c>
      <c r="BD395" s="70"/>
      <c r="BE395" s="67"/>
      <c r="BF395" s="71"/>
      <c r="BG395" s="15"/>
      <c r="BH395" s="72" t="s">
        <v>77</v>
      </c>
      <c r="BI395" s="72" t="s">
        <v>77</v>
      </c>
    </row>
    <row r="396" spans="1:61" s="16" customFormat="1" ht="42" customHeight="1" x14ac:dyDescent="0.3">
      <c r="A396" s="200">
        <v>392</v>
      </c>
      <c r="B396" s="62">
        <v>244169</v>
      </c>
      <c r="C396" s="62">
        <v>392</v>
      </c>
      <c r="D396" s="63">
        <v>46028</v>
      </c>
      <c r="E396" s="63">
        <f t="shared" si="51"/>
        <v>46027</v>
      </c>
      <c r="F396" s="63">
        <f t="shared" si="54"/>
        <v>46038</v>
      </c>
      <c r="G396" s="63">
        <v>46118</v>
      </c>
      <c r="H396" s="63">
        <f ca="1">TODAY()</f>
        <v>46277</v>
      </c>
      <c r="I396" s="63" t="s">
        <v>349</v>
      </c>
      <c r="J396" s="64" t="s">
        <v>883</v>
      </c>
      <c r="K396" s="65">
        <f t="shared" si="49"/>
        <v>80</v>
      </c>
      <c r="L396" s="65">
        <v>1187034</v>
      </c>
      <c r="M396" s="64" t="s">
        <v>77</v>
      </c>
      <c r="N396" s="64">
        <v>814969</v>
      </c>
      <c r="O396" s="253" t="s">
        <v>1462</v>
      </c>
      <c r="P396" s="103">
        <v>46064</v>
      </c>
      <c r="Q396" s="103">
        <v>46233</v>
      </c>
      <c r="R396" s="73" t="s">
        <v>211</v>
      </c>
      <c r="S396" s="66" t="s">
        <v>884</v>
      </c>
      <c r="T396" s="67">
        <v>1</v>
      </c>
      <c r="U396" s="75" t="s">
        <v>885</v>
      </c>
      <c r="V396" s="68">
        <v>1</v>
      </c>
      <c r="W396" s="68"/>
      <c r="X396" s="69">
        <v>0</v>
      </c>
      <c r="Y396" s="68">
        <v>0</v>
      </c>
      <c r="Z396" s="68">
        <v>0</v>
      </c>
      <c r="AA396" s="68">
        <v>0</v>
      </c>
      <c r="AB396" s="68">
        <v>0</v>
      </c>
      <c r="AC396" s="68"/>
      <c r="AD396" s="68">
        <v>0</v>
      </c>
      <c r="AE396" s="68">
        <v>0</v>
      </c>
      <c r="AF396" s="68">
        <v>0</v>
      </c>
      <c r="AG396" s="68">
        <v>0</v>
      </c>
      <c r="AH396" s="68">
        <v>1</v>
      </c>
      <c r="AI396" s="68"/>
      <c r="AJ396" s="68">
        <v>0</v>
      </c>
      <c r="AK396" s="68">
        <v>0</v>
      </c>
      <c r="AL396" s="68">
        <v>1</v>
      </c>
      <c r="AM396" s="68"/>
      <c r="AN396" s="68">
        <v>1</v>
      </c>
      <c r="AO396" s="68"/>
      <c r="AP396" s="68">
        <v>1</v>
      </c>
      <c r="AQ396" s="68"/>
      <c r="AR396" s="68">
        <v>0</v>
      </c>
      <c r="AS396" s="68">
        <v>0</v>
      </c>
      <c r="AT396" s="68">
        <v>1</v>
      </c>
      <c r="AU396" s="68"/>
      <c r="AV396" s="68">
        <v>0</v>
      </c>
      <c r="AW396" s="68">
        <v>0</v>
      </c>
      <c r="AX396" s="146">
        <f t="shared" si="52"/>
        <v>1860</v>
      </c>
      <c r="AY396" s="146">
        <f t="shared" si="53"/>
        <v>0</v>
      </c>
      <c r="AZ396" s="64" t="s">
        <v>77</v>
      </c>
      <c r="BA396" s="64" t="s">
        <v>77</v>
      </c>
      <c r="BB396" s="15" t="s">
        <v>77</v>
      </c>
      <c r="BC396" s="74">
        <v>392</v>
      </c>
      <c r="BD396" s="70"/>
      <c r="BE396" s="67"/>
      <c r="BF396" s="71"/>
      <c r="BG396" s="15"/>
      <c r="BH396" s="72" t="s">
        <v>77</v>
      </c>
      <c r="BI396" s="72" t="s">
        <v>77</v>
      </c>
    </row>
    <row r="397" spans="1:61" s="16" customFormat="1" ht="42" customHeight="1" x14ac:dyDescent="0.3">
      <c r="A397" s="200">
        <v>393</v>
      </c>
      <c r="B397" s="163">
        <v>244180</v>
      </c>
      <c r="C397" s="163">
        <v>393</v>
      </c>
      <c r="D397" s="164">
        <v>46028</v>
      </c>
      <c r="E397" s="164">
        <f t="shared" si="51"/>
        <v>46027</v>
      </c>
      <c r="F397" s="164">
        <f t="shared" si="54"/>
        <v>46038</v>
      </c>
      <c r="G397" s="164">
        <v>46118</v>
      </c>
      <c r="H397" s="164">
        <v>46215</v>
      </c>
      <c r="I397" s="164" t="s">
        <v>349</v>
      </c>
      <c r="J397" s="165" t="s">
        <v>886</v>
      </c>
      <c r="K397" s="166">
        <f t="shared" si="49"/>
        <v>80</v>
      </c>
      <c r="L397" s="166">
        <v>1187109</v>
      </c>
      <c r="M397" s="165" t="s">
        <v>15</v>
      </c>
      <c r="N397" s="165">
        <v>814969</v>
      </c>
      <c r="O397" s="165" t="s">
        <v>246</v>
      </c>
      <c r="P397" s="167">
        <v>46064</v>
      </c>
      <c r="Q397" s="167">
        <v>46233</v>
      </c>
      <c r="R397" s="179" t="s">
        <v>211</v>
      </c>
      <c r="S397" s="168" t="s">
        <v>887</v>
      </c>
      <c r="T397" s="169">
        <v>1</v>
      </c>
      <c r="U397" s="180" t="s">
        <v>885</v>
      </c>
      <c r="V397" s="170">
        <v>6</v>
      </c>
      <c r="W397" s="170">
        <v>6</v>
      </c>
      <c r="X397" s="171">
        <v>0</v>
      </c>
      <c r="Y397" s="170">
        <v>0</v>
      </c>
      <c r="Z397" s="170">
        <v>0</v>
      </c>
      <c r="AA397" s="170">
        <v>0</v>
      </c>
      <c r="AB397" s="170">
        <v>0</v>
      </c>
      <c r="AC397" s="170"/>
      <c r="AD397" s="170">
        <v>0</v>
      </c>
      <c r="AE397" s="170">
        <v>0</v>
      </c>
      <c r="AF397" s="170">
        <v>0</v>
      </c>
      <c r="AG397" s="170">
        <v>0</v>
      </c>
      <c r="AH397" s="170">
        <v>0</v>
      </c>
      <c r="AI397" s="170">
        <v>0</v>
      </c>
      <c r="AJ397" s="170">
        <v>0</v>
      </c>
      <c r="AK397" s="170">
        <v>0</v>
      </c>
      <c r="AL397" s="170">
        <v>1</v>
      </c>
      <c r="AM397" s="170">
        <v>1</v>
      </c>
      <c r="AN397" s="170">
        <v>1</v>
      </c>
      <c r="AO397" s="170">
        <v>1</v>
      </c>
      <c r="AP397" s="170">
        <v>1</v>
      </c>
      <c r="AQ397" s="170">
        <v>1</v>
      </c>
      <c r="AR397" s="170">
        <v>0</v>
      </c>
      <c r="AS397" s="170">
        <v>0</v>
      </c>
      <c r="AT397" s="170">
        <v>0</v>
      </c>
      <c r="AU397" s="170">
        <v>0</v>
      </c>
      <c r="AV397" s="170">
        <v>0</v>
      </c>
      <c r="AW397" s="170">
        <v>0</v>
      </c>
      <c r="AX397" s="170">
        <f t="shared" si="52"/>
        <v>1640</v>
      </c>
      <c r="AY397" s="170">
        <f t="shared" si="53"/>
        <v>1640</v>
      </c>
      <c r="AZ397" s="165" t="s">
        <v>15</v>
      </c>
      <c r="BA397" s="165" t="s">
        <v>77</v>
      </c>
      <c r="BB397" s="162" t="s">
        <v>77</v>
      </c>
      <c r="BC397" s="181">
        <v>393</v>
      </c>
      <c r="BD397" s="173"/>
      <c r="BE397" s="169"/>
      <c r="BF397" s="174"/>
      <c r="BG397" s="178">
        <v>46209</v>
      </c>
      <c r="BH397" s="175" t="s">
        <v>77</v>
      </c>
      <c r="BI397" s="175" t="s">
        <v>77</v>
      </c>
    </row>
    <row r="398" spans="1:61" s="16" customFormat="1" ht="42" customHeight="1" x14ac:dyDescent="0.3">
      <c r="A398" s="200">
        <v>394</v>
      </c>
      <c r="B398" s="163">
        <v>244184</v>
      </c>
      <c r="C398" s="163">
        <v>394</v>
      </c>
      <c r="D398" s="164">
        <v>46028</v>
      </c>
      <c r="E398" s="164">
        <f t="shared" si="51"/>
        <v>46027</v>
      </c>
      <c r="F398" s="164">
        <f t="shared" si="54"/>
        <v>46038</v>
      </c>
      <c r="G398" s="164">
        <v>46118</v>
      </c>
      <c r="H398" s="164">
        <v>46223</v>
      </c>
      <c r="I398" s="164" t="s">
        <v>349</v>
      </c>
      <c r="J398" s="165" t="s">
        <v>889</v>
      </c>
      <c r="K398" s="166">
        <f t="shared" si="49"/>
        <v>80</v>
      </c>
      <c r="L398" s="166">
        <v>1187115</v>
      </c>
      <c r="M398" s="165" t="s">
        <v>15</v>
      </c>
      <c r="N398" s="165">
        <v>814969</v>
      </c>
      <c r="O398" s="165" t="s">
        <v>246</v>
      </c>
      <c r="P398" s="167">
        <v>46064</v>
      </c>
      <c r="Q398" s="167">
        <v>46233</v>
      </c>
      <c r="R398" s="179" t="s">
        <v>211</v>
      </c>
      <c r="S398" s="168" t="s">
        <v>888</v>
      </c>
      <c r="T398" s="169">
        <v>1</v>
      </c>
      <c r="U398" s="180" t="s">
        <v>885</v>
      </c>
      <c r="V398" s="170">
        <v>6</v>
      </c>
      <c r="W398" s="170">
        <v>6</v>
      </c>
      <c r="X398" s="171">
        <v>0</v>
      </c>
      <c r="Y398" s="170">
        <v>0</v>
      </c>
      <c r="Z398" s="170">
        <v>0</v>
      </c>
      <c r="AA398" s="170">
        <v>0</v>
      </c>
      <c r="AB398" s="170">
        <v>6</v>
      </c>
      <c r="AC398" s="170">
        <v>6</v>
      </c>
      <c r="AD398" s="170">
        <v>0</v>
      </c>
      <c r="AE398" s="170">
        <v>0</v>
      </c>
      <c r="AF398" s="170">
        <v>0</v>
      </c>
      <c r="AG398" s="170">
        <v>0</v>
      </c>
      <c r="AH398" s="170">
        <v>0</v>
      </c>
      <c r="AI398" s="170">
        <v>0</v>
      </c>
      <c r="AJ398" s="170">
        <v>0</v>
      </c>
      <c r="AK398" s="170">
        <v>0</v>
      </c>
      <c r="AL398" s="170">
        <v>1</v>
      </c>
      <c r="AM398" s="170">
        <v>1</v>
      </c>
      <c r="AN398" s="170">
        <v>1</v>
      </c>
      <c r="AO398" s="170">
        <v>1</v>
      </c>
      <c r="AP398" s="170">
        <v>1</v>
      </c>
      <c r="AQ398" s="170">
        <v>1</v>
      </c>
      <c r="AR398" s="170">
        <v>0</v>
      </c>
      <c r="AS398" s="170">
        <v>0</v>
      </c>
      <c r="AT398" s="170">
        <v>0</v>
      </c>
      <c r="AU398" s="170">
        <v>0</v>
      </c>
      <c r="AV398" s="170">
        <v>0</v>
      </c>
      <c r="AW398" s="170">
        <v>0</v>
      </c>
      <c r="AX398" s="170">
        <f t="shared" si="52"/>
        <v>1982</v>
      </c>
      <c r="AY398" s="170">
        <f t="shared" si="53"/>
        <v>1982</v>
      </c>
      <c r="AZ398" s="165" t="s">
        <v>15</v>
      </c>
      <c r="BA398" s="165" t="s">
        <v>77</v>
      </c>
      <c r="BB398" s="162" t="s">
        <v>77</v>
      </c>
      <c r="BC398" s="181">
        <v>394</v>
      </c>
      <c r="BD398" s="173"/>
      <c r="BE398" s="169"/>
      <c r="BF398" s="174"/>
      <c r="BG398" s="178">
        <v>46209</v>
      </c>
      <c r="BH398" s="175" t="s">
        <v>77</v>
      </c>
      <c r="BI398" s="175" t="s">
        <v>77</v>
      </c>
    </row>
    <row r="399" spans="1:61" s="16" customFormat="1" ht="42" hidden="1" customHeight="1" x14ac:dyDescent="0.3">
      <c r="A399" s="26">
        <v>395</v>
      </c>
      <c r="B399" s="138">
        <v>244306</v>
      </c>
      <c r="C399" s="138">
        <v>395</v>
      </c>
      <c r="D399" s="139">
        <v>46029</v>
      </c>
      <c r="E399" s="139">
        <f t="shared" si="51"/>
        <v>46028</v>
      </c>
      <c r="F399" s="139">
        <f t="shared" si="54"/>
        <v>46039</v>
      </c>
      <c r="G399" s="139">
        <v>46090</v>
      </c>
      <c r="H399" s="139">
        <v>46068</v>
      </c>
      <c r="I399" s="139" t="s">
        <v>123</v>
      </c>
      <c r="J399" s="140" t="s">
        <v>890</v>
      </c>
      <c r="K399" s="141">
        <f t="shared" si="49"/>
        <v>51</v>
      </c>
      <c r="L399" s="141">
        <v>1187862</v>
      </c>
      <c r="M399" s="140" t="s">
        <v>15</v>
      </c>
      <c r="N399" s="140">
        <v>814627</v>
      </c>
      <c r="O399" s="140" t="s">
        <v>246</v>
      </c>
      <c r="P399" s="143">
        <v>46043</v>
      </c>
      <c r="Q399" s="143">
        <v>46219</v>
      </c>
      <c r="R399" s="185" t="s">
        <v>211</v>
      </c>
      <c r="S399" s="144" t="s">
        <v>545</v>
      </c>
      <c r="T399" s="145">
        <v>1</v>
      </c>
      <c r="U399" s="186" t="s">
        <v>82</v>
      </c>
      <c r="V399" s="146">
        <v>17</v>
      </c>
      <c r="W399" s="146">
        <v>17</v>
      </c>
      <c r="X399" s="147">
        <v>0</v>
      </c>
      <c r="Y399" s="146">
        <v>0</v>
      </c>
      <c r="Z399" s="146">
        <v>0</v>
      </c>
      <c r="AA399" s="146">
        <v>0</v>
      </c>
      <c r="AB399" s="146">
        <v>0</v>
      </c>
      <c r="AC399" s="146">
        <v>0</v>
      </c>
      <c r="AD399" s="146">
        <v>0</v>
      </c>
      <c r="AE399" s="146">
        <v>0</v>
      </c>
      <c r="AF399" s="146">
        <v>0</v>
      </c>
      <c r="AG399" s="146">
        <v>0</v>
      </c>
      <c r="AH399" s="146">
        <v>1</v>
      </c>
      <c r="AI399" s="146">
        <v>1</v>
      </c>
      <c r="AJ399" s="146">
        <v>0</v>
      </c>
      <c r="AK399" s="146">
        <v>0</v>
      </c>
      <c r="AL399" s="146">
        <v>1</v>
      </c>
      <c r="AM399" s="146">
        <v>1</v>
      </c>
      <c r="AN399" s="146">
        <v>1</v>
      </c>
      <c r="AO399" s="146">
        <v>1</v>
      </c>
      <c r="AP399" s="146">
        <v>2</v>
      </c>
      <c r="AQ399" s="146">
        <v>2</v>
      </c>
      <c r="AR399" s="146">
        <v>0</v>
      </c>
      <c r="AS399" s="146">
        <v>0</v>
      </c>
      <c r="AT399" s="146">
        <v>1</v>
      </c>
      <c r="AU399" s="146">
        <v>1</v>
      </c>
      <c r="AV399" s="146">
        <v>0</v>
      </c>
      <c r="AW399" s="146">
        <v>0</v>
      </c>
      <c r="AX399" s="146">
        <f t="shared" si="52"/>
        <v>3450</v>
      </c>
      <c r="AY399" s="146">
        <f t="shared" si="53"/>
        <v>3450</v>
      </c>
      <c r="AZ399" s="140" t="s">
        <v>562</v>
      </c>
      <c r="BA399" s="140" t="s">
        <v>562</v>
      </c>
      <c r="BB399" s="137">
        <v>7</v>
      </c>
      <c r="BC399" s="187">
        <v>395</v>
      </c>
      <c r="BD399" s="149"/>
      <c r="BE399" s="145"/>
      <c r="BF399" s="150"/>
      <c r="BG399" s="188">
        <v>46054</v>
      </c>
      <c r="BH399" s="153" t="s">
        <v>15</v>
      </c>
      <c r="BI399" s="153" t="s">
        <v>562</v>
      </c>
    </row>
    <row r="400" spans="1:61" s="16" customFormat="1" ht="42" hidden="1" customHeight="1" x14ac:dyDescent="0.3">
      <c r="A400" s="26">
        <v>396</v>
      </c>
      <c r="B400" s="138">
        <v>244363</v>
      </c>
      <c r="C400" s="138">
        <v>396</v>
      </c>
      <c r="D400" s="139">
        <v>46030</v>
      </c>
      <c r="E400" s="139">
        <f t="shared" si="51"/>
        <v>46029</v>
      </c>
      <c r="F400" s="139">
        <f t="shared" si="54"/>
        <v>46040</v>
      </c>
      <c r="G400" s="139">
        <v>46091</v>
      </c>
      <c r="H400" s="139">
        <v>46069</v>
      </c>
      <c r="I400" s="139" t="s">
        <v>123</v>
      </c>
      <c r="J400" s="140" t="s">
        <v>892</v>
      </c>
      <c r="K400" s="141">
        <f t="shared" si="49"/>
        <v>51</v>
      </c>
      <c r="L400" s="141">
        <v>1188351</v>
      </c>
      <c r="M400" s="140" t="s">
        <v>15</v>
      </c>
      <c r="N400" s="140">
        <v>814628</v>
      </c>
      <c r="O400" s="140" t="s">
        <v>246</v>
      </c>
      <c r="P400" s="143">
        <v>46048</v>
      </c>
      <c r="Q400" s="143">
        <v>46219</v>
      </c>
      <c r="R400" s="185" t="s">
        <v>211</v>
      </c>
      <c r="S400" s="144" t="s">
        <v>893</v>
      </c>
      <c r="T400" s="145">
        <v>1</v>
      </c>
      <c r="U400" s="186" t="s">
        <v>81</v>
      </c>
      <c r="V400" s="146">
        <v>120</v>
      </c>
      <c r="W400" s="146">
        <v>120</v>
      </c>
      <c r="X400" s="147">
        <v>0</v>
      </c>
      <c r="Y400" s="146"/>
      <c r="Z400" s="146">
        <v>0</v>
      </c>
      <c r="AA400" s="146">
        <v>0</v>
      </c>
      <c r="AB400" s="146">
        <v>120</v>
      </c>
      <c r="AC400" s="146">
        <v>120</v>
      </c>
      <c r="AD400" s="146">
        <v>0</v>
      </c>
      <c r="AE400" s="146">
        <v>0</v>
      </c>
      <c r="AF400" s="146">
        <v>0</v>
      </c>
      <c r="AG400" s="146">
        <v>0</v>
      </c>
      <c r="AH400" s="146">
        <v>1</v>
      </c>
      <c r="AI400" s="146">
        <v>1</v>
      </c>
      <c r="AJ400" s="146">
        <v>0</v>
      </c>
      <c r="AK400" s="146">
        <v>0</v>
      </c>
      <c r="AL400" s="146">
        <v>1</v>
      </c>
      <c r="AM400" s="146">
        <v>1</v>
      </c>
      <c r="AN400" s="146">
        <v>3</v>
      </c>
      <c r="AO400" s="146">
        <v>3</v>
      </c>
      <c r="AP400" s="146">
        <v>3</v>
      </c>
      <c r="AQ400" s="146">
        <v>3</v>
      </c>
      <c r="AR400" s="146">
        <v>0</v>
      </c>
      <c r="AS400" s="146">
        <v>0</v>
      </c>
      <c r="AT400" s="146">
        <v>1</v>
      </c>
      <c r="AU400" s="146">
        <v>1</v>
      </c>
      <c r="AV400" s="146">
        <v>0</v>
      </c>
      <c r="AW400" s="146">
        <v>0</v>
      </c>
      <c r="AX400" s="146">
        <f t="shared" si="52"/>
        <v>17220</v>
      </c>
      <c r="AY400" s="146">
        <f t="shared" si="53"/>
        <v>17220</v>
      </c>
      <c r="AZ400" s="140" t="s">
        <v>562</v>
      </c>
      <c r="BA400" s="140" t="s">
        <v>562</v>
      </c>
      <c r="BB400" s="137">
        <v>8</v>
      </c>
      <c r="BC400" s="187">
        <v>396</v>
      </c>
      <c r="BD400" s="149"/>
      <c r="BE400" s="145"/>
      <c r="BF400" s="150"/>
      <c r="BG400" s="188">
        <v>46174</v>
      </c>
      <c r="BH400" s="153" t="s">
        <v>15</v>
      </c>
      <c r="BI400" s="153" t="s">
        <v>562</v>
      </c>
    </row>
    <row r="401" spans="1:63" s="16" customFormat="1" ht="42" customHeight="1" x14ac:dyDescent="0.3">
      <c r="A401" s="200">
        <v>397</v>
      </c>
      <c r="B401" s="163">
        <v>244376</v>
      </c>
      <c r="C401" s="163">
        <v>397</v>
      </c>
      <c r="D401" s="164">
        <v>46033</v>
      </c>
      <c r="E401" s="164">
        <f t="shared" si="51"/>
        <v>46032</v>
      </c>
      <c r="F401" s="164">
        <f t="shared" si="54"/>
        <v>46043</v>
      </c>
      <c r="G401" s="164">
        <v>46123</v>
      </c>
      <c r="H401" s="164">
        <v>46223</v>
      </c>
      <c r="I401" s="164" t="s">
        <v>349</v>
      </c>
      <c r="J401" s="165" t="s">
        <v>894</v>
      </c>
      <c r="K401" s="166">
        <f t="shared" si="49"/>
        <v>80</v>
      </c>
      <c r="L401" s="166">
        <v>1188786</v>
      </c>
      <c r="M401" s="165" t="s">
        <v>15</v>
      </c>
      <c r="N401" s="165">
        <v>814969</v>
      </c>
      <c r="O401" s="165" t="s">
        <v>246</v>
      </c>
      <c r="P401" s="167">
        <v>46064</v>
      </c>
      <c r="Q401" s="167">
        <v>46233</v>
      </c>
      <c r="R401" s="179" t="s">
        <v>211</v>
      </c>
      <c r="S401" s="168" t="s">
        <v>895</v>
      </c>
      <c r="T401" s="169">
        <v>1</v>
      </c>
      <c r="U401" s="180" t="s">
        <v>885</v>
      </c>
      <c r="V401" s="170">
        <v>6</v>
      </c>
      <c r="W401" s="170">
        <v>6</v>
      </c>
      <c r="X401" s="171">
        <v>0</v>
      </c>
      <c r="Y401" s="170">
        <v>0</v>
      </c>
      <c r="Z401" s="170">
        <v>0</v>
      </c>
      <c r="AA401" s="170">
        <v>0</v>
      </c>
      <c r="AB401" s="170">
        <v>6</v>
      </c>
      <c r="AC401" s="170">
        <v>6</v>
      </c>
      <c r="AD401" s="170">
        <v>0</v>
      </c>
      <c r="AE401" s="170">
        <v>0</v>
      </c>
      <c r="AF401" s="170">
        <v>0</v>
      </c>
      <c r="AG401" s="170">
        <v>0</v>
      </c>
      <c r="AH401" s="170">
        <v>1</v>
      </c>
      <c r="AI401" s="170">
        <v>1</v>
      </c>
      <c r="AJ401" s="170">
        <v>0</v>
      </c>
      <c r="AK401" s="170">
        <v>0</v>
      </c>
      <c r="AL401" s="170">
        <v>0</v>
      </c>
      <c r="AM401" s="170">
        <v>0</v>
      </c>
      <c r="AN401" s="170">
        <v>1</v>
      </c>
      <c r="AO401" s="170">
        <v>1</v>
      </c>
      <c r="AP401" s="170">
        <v>1</v>
      </c>
      <c r="AQ401" s="170">
        <v>1</v>
      </c>
      <c r="AR401" s="170">
        <v>0</v>
      </c>
      <c r="AS401" s="170">
        <v>0</v>
      </c>
      <c r="AT401" s="170">
        <v>1</v>
      </c>
      <c r="AU401" s="170">
        <v>1</v>
      </c>
      <c r="AV401" s="170">
        <v>0</v>
      </c>
      <c r="AW401" s="170">
        <v>0</v>
      </c>
      <c r="AX401" s="170">
        <f t="shared" si="52"/>
        <v>1912</v>
      </c>
      <c r="AY401" s="170">
        <f t="shared" si="53"/>
        <v>1912</v>
      </c>
      <c r="AZ401" s="165" t="s">
        <v>15</v>
      </c>
      <c r="BA401" s="165" t="s">
        <v>77</v>
      </c>
      <c r="BB401" s="162" t="s">
        <v>77</v>
      </c>
      <c r="BC401" s="181">
        <v>397</v>
      </c>
      <c r="BD401" s="173"/>
      <c r="BE401" s="169"/>
      <c r="BF401" s="174"/>
      <c r="BG401" s="178">
        <v>46211</v>
      </c>
      <c r="BH401" s="175" t="s">
        <v>77</v>
      </c>
      <c r="BI401" s="175" t="s">
        <v>77</v>
      </c>
    </row>
    <row r="402" spans="1:63" s="16" customFormat="1" ht="42" customHeight="1" x14ac:dyDescent="0.3">
      <c r="A402" s="200">
        <v>398</v>
      </c>
      <c r="B402" s="62">
        <v>244436</v>
      </c>
      <c r="C402" s="62">
        <v>398</v>
      </c>
      <c r="D402" s="63">
        <v>46034</v>
      </c>
      <c r="E402" s="63">
        <f t="shared" si="51"/>
        <v>46033</v>
      </c>
      <c r="F402" s="63">
        <f t="shared" si="54"/>
        <v>46044</v>
      </c>
      <c r="G402" s="63">
        <v>46124</v>
      </c>
      <c r="H402" s="63">
        <f ca="1">TODAY()</f>
        <v>46277</v>
      </c>
      <c r="I402" s="63" t="s">
        <v>321</v>
      </c>
      <c r="J402" s="64" t="s">
        <v>896</v>
      </c>
      <c r="K402" s="65">
        <f t="shared" si="49"/>
        <v>80</v>
      </c>
      <c r="L402" s="65">
        <v>1189375</v>
      </c>
      <c r="M402" s="64" t="s">
        <v>77</v>
      </c>
      <c r="N402" s="64">
        <v>814970</v>
      </c>
      <c r="O402" s="253" t="s">
        <v>1462</v>
      </c>
      <c r="P402" s="103">
        <v>46056</v>
      </c>
      <c r="Q402" s="103">
        <v>46233</v>
      </c>
      <c r="R402" s="73" t="s">
        <v>211</v>
      </c>
      <c r="S402" s="66" t="s">
        <v>897</v>
      </c>
      <c r="T402" s="67">
        <v>1</v>
      </c>
      <c r="U402" s="75" t="s">
        <v>840</v>
      </c>
      <c r="V402" s="68">
        <v>64</v>
      </c>
      <c r="W402" s="68"/>
      <c r="X402" s="69">
        <v>1</v>
      </c>
      <c r="Y402" s="68"/>
      <c r="Z402" s="68">
        <v>0</v>
      </c>
      <c r="AA402" s="68">
        <v>0</v>
      </c>
      <c r="AB402" s="68">
        <v>0</v>
      </c>
      <c r="AC402" s="68"/>
      <c r="AD402" s="68">
        <v>0</v>
      </c>
      <c r="AE402" s="68">
        <v>0</v>
      </c>
      <c r="AF402" s="68">
        <v>0</v>
      </c>
      <c r="AG402" s="68">
        <v>0</v>
      </c>
      <c r="AH402" s="68">
        <v>0</v>
      </c>
      <c r="AI402" s="68">
        <v>0</v>
      </c>
      <c r="AJ402" s="68">
        <v>1</v>
      </c>
      <c r="AK402" s="68"/>
      <c r="AL402" s="68">
        <v>2</v>
      </c>
      <c r="AM402" s="68"/>
      <c r="AN402" s="68">
        <v>1</v>
      </c>
      <c r="AO402" s="68"/>
      <c r="AP402" s="68">
        <v>1</v>
      </c>
      <c r="AQ402" s="68"/>
      <c r="AR402" s="68">
        <v>0</v>
      </c>
      <c r="AS402" s="68">
        <v>0</v>
      </c>
      <c r="AT402" s="68">
        <v>0</v>
      </c>
      <c r="AU402" s="68">
        <v>0</v>
      </c>
      <c r="AV402" s="68">
        <v>0</v>
      </c>
      <c r="AW402" s="68">
        <v>0</v>
      </c>
      <c r="AX402" s="146">
        <f t="shared" ref="AX402:AX420" si="55">(V402*60)+(X402*80)+(Z402*38)+(AB402*57)+(AD402*75)+(AF402*155)+(AH402*170)+(AJ402*375)+(AL402*590)+(AN402*60)+(AP402*630)+(AR402*400)+(AT402*350)+(AV402*950)</f>
        <v>6165</v>
      </c>
      <c r="AY402" s="146">
        <f t="shared" si="53"/>
        <v>0</v>
      </c>
      <c r="AZ402" s="64" t="s">
        <v>77</v>
      </c>
      <c r="BA402" s="64" t="s">
        <v>77</v>
      </c>
      <c r="BB402" s="15" t="s">
        <v>77</v>
      </c>
      <c r="BC402" s="74">
        <v>398</v>
      </c>
      <c r="BD402" s="70"/>
      <c r="BE402" s="67"/>
      <c r="BF402" s="71"/>
      <c r="BG402" s="15"/>
      <c r="BH402" s="72" t="s">
        <v>77</v>
      </c>
      <c r="BI402" s="72" t="s">
        <v>77</v>
      </c>
    </row>
    <row r="403" spans="1:63" s="16" customFormat="1" ht="42" hidden="1" customHeight="1" x14ac:dyDescent="0.3">
      <c r="A403" s="200">
        <v>399</v>
      </c>
      <c r="B403" s="138">
        <v>244438</v>
      </c>
      <c r="C403" s="138">
        <v>399</v>
      </c>
      <c r="D403" s="139">
        <v>46034</v>
      </c>
      <c r="E403" s="139">
        <f t="shared" si="51"/>
        <v>46033</v>
      </c>
      <c r="F403" s="139">
        <f t="shared" si="54"/>
        <v>46044</v>
      </c>
      <c r="G403" s="139">
        <v>46124</v>
      </c>
      <c r="H403" s="139">
        <v>46201</v>
      </c>
      <c r="I403" s="139" t="s">
        <v>321</v>
      </c>
      <c r="J403" s="140" t="s">
        <v>898</v>
      </c>
      <c r="K403" s="141">
        <f t="shared" ref="K403:K466" si="56">G403-F403</f>
        <v>80</v>
      </c>
      <c r="L403" s="141">
        <v>1189378</v>
      </c>
      <c r="M403" s="140" t="s">
        <v>15</v>
      </c>
      <c r="N403" s="140">
        <v>815574</v>
      </c>
      <c r="O403" s="140" t="s">
        <v>246</v>
      </c>
      <c r="P403" s="143">
        <v>46064</v>
      </c>
      <c r="Q403" s="143">
        <v>46233</v>
      </c>
      <c r="R403" s="185" t="s">
        <v>211</v>
      </c>
      <c r="S403" s="144" t="s">
        <v>899</v>
      </c>
      <c r="T403" s="145">
        <v>1</v>
      </c>
      <c r="U403" s="186" t="s">
        <v>173</v>
      </c>
      <c r="V403" s="146">
        <v>96</v>
      </c>
      <c r="W403" s="146">
        <v>96</v>
      </c>
      <c r="X403" s="147">
        <v>0</v>
      </c>
      <c r="Y403" s="146">
        <v>0</v>
      </c>
      <c r="Z403" s="146">
        <v>0</v>
      </c>
      <c r="AA403" s="146">
        <v>0</v>
      </c>
      <c r="AB403" s="146">
        <v>5</v>
      </c>
      <c r="AC403" s="146">
        <v>5</v>
      </c>
      <c r="AD403" s="146">
        <v>3</v>
      </c>
      <c r="AE403" s="146">
        <v>3</v>
      </c>
      <c r="AF403" s="146">
        <v>0</v>
      </c>
      <c r="AG403" s="146">
        <v>0</v>
      </c>
      <c r="AH403" s="146">
        <v>1</v>
      </c>
      <c r="AI403" s="146">
        <v>1</v>
      </c>
      <c r="AJ403" s="146">
        <v>0</v>
      </c>
      <c r="AK403" s="146">
        <v>0</v>
      </c>
      <c r="AL403" s="146">
        <v>1</v>
      </c>
      <c r="AM403" s="146">
        <v>1</v>
      </c>
      <c r="AN403" s="146">
        <v>3</v>
      </c>
      <c r="AO403" s="146">
        <v>3</v>
      </c>
      <c r="AP403" s="146">
        <v>1</v>
      </c>
      <c r="AQ403" s="146">
        <v>1</v>
      </c>
      <c r="AR403" s="146">
        <v>0</v>
      </c>
      <c r="AS403" s="146">
        <v>0</v>
      </c>
      <c r="AT403" s="146">
        <v>0</v>
      </c>
      <c r="AU403" s="146">
        <v>0</v>
      </c>
      <c r="AV403" s="146">
        <v>0</v>
      </c>
      <c r="AW403" s="146">
        <v>0</v>
      </c>
      <c r="AX403" s="146">
        <f t="shared" si="55"/>
        <v>7840</v>
      </c>
      <c r="AY403" s="146">
        <f t="shared" si="53"/>
        <v>7840</v>
      </c>
      <c r="AZ403" s="140" t="s">
        <v>562</v>
      </c>
      <c r="BA403" s="140" t="s">
        <v>562</v>
      </c>
      <c r="BB403" s="137">
        <v>13</v>
      </c>
      <c r="BC403" s="187">
        <v>399</v>
      </c>
      <c r="BD403" s="149"/>
      <c r="BE403" s="145"/>
      <c r="BF403" s="150"/>
      <c r="BG403" s="188">
        <v>46194</v>
      </c>
      <c r="BH403" s="153" t="s">
        <v>15</v>
      </c>
      <c r="BI403" s="153" t="s">
        <v>562</v>
      </c>
    </row>
    <row r="404" spans="1:63" s="16" customFormat="1" ht="42" hidden="1" customHeight="1" x14ac:dyDescent="0.3">
      <c r="A404" s="201">
        <v>400</v>
      </c>
      <c r="B404" s="138">
        <v>244439</v>
      </c>
      <c r="C404" s="138">
        <v>400</v>
      </c>
      <c r="D404" s="139">
        <v>46034</v>
      </c>
      <c r="E404" s="139">
        <f t="shared" si="51"/>
        <v>46033</v>
      </c>
      <c r="F404" s="139">
        <f t="shared" si="54"/>
        <v>46044</v>
      </c>
      <c r="G404" s="139">
        <v>46124</v>
      </c>
      <c r="H404" s="139">
        <v>46097</v>
      </c>
      <c r="I404" s="139" t="s">
        <v>321</v>
      </c>
      <c r="J404" s="140" t="s">
        <v>900</v>
      </c>
      <c r="K404" s="141">
        <f t="shared" si="56"/>
        <v>80</v>
      </c>
      <c r="L404" s="141">
        <v>1189379</v>
      </c>
      <c r="M404" s="140" t="s">
        <v>15</v>
      </c>
      <c r="N404" s="140">
        <v>815575</v>
      </c>
      <c r="O404" s="140" t="s">
        <v>246</v>
      </c>
      <c r="P404" s="143">
        <v>46072</v>
      </c>
      <c r="Q404" s="143">
        <v>46233</v>
      </c>
      <c r="R404" s="185" t="s">
        <v>211</v>
      </c>
      <c r="S404" s="144" t="s">
        <v>577</v>
      </c>
      <c r="T404" s="145">
        <v>1</v>
      </c>
      <c r="U404" s="186" t="s">
        <v>82</v>
      </c>
      <c r="V404" s="146">
        <v>110</v>
      </c>
      <c r="W404" s="146">
        <v>110</v>
      </c>
      <c r="X404" s="147">
        <v>12</v>
      </c>
      <c r="Y404" s="146">
        <v>12</v>
      </c>
      <c r="Z404" s="146">
        <v>0</v>
      </c>
      <c r="AA404" s="146">
        <v>0</v>
      </c>
      <c r="AB404" s="146">
        <v>20</v>
      </c>
      <c r="AC404" s="146">
        <v>20</v>
      </c>
      <c r="AD404" s="146">
        <v>0</v>
      </c>
      <c r="AE404" s="146">
        <v>0</v>
      </c>
      <c r="AF404" s="146">
        <v>0</v>
      </c>
      <c r="AG404" s="146">
        <v>0</v>
      </c>
      <c r="AH404" s="146">
        <v>0</v>
      </c>
      <c r="AI404" s="146">
        <v>0</v>
      </c>
      <c r="AJ404" s="146"/>
      <c r="AK404" s="146"/>
      <c r="AL404" s="146">
        <v>1</v>
      </c>
      <c r="AM404" s="146">
        <v>1</v>
      </c>
      <c r="AN404" s="146">
        <v>1</v>
      </c>
      <c r="AO404" s="146">
        <v>1</v>
      </c>
      <c r="AP404" s="146"/>
      <c r="AQ404" s="146"/>
      <c r="AR404" s="146">
        <v>0</v>
      </c>
      <c r="AS404" s="146">
        <v>0</v>
      </c>
      <c r="AT404" s="146">
        <v>0</v>
      </c>
      <c r="AU404" s="146">
        <v>0</v>
      </c>
      <c r="AV404" s="146">
        <v>0</v>
      </c>
      <c r="AW404" s="146">
        <v>0</v>
      </c>
      <c r="AX404" s="146">
        <f t="shared" si="55"/>
        <v>9350</v>
      </c>
      <c r="AY404" s="146">
        <f t="shared" si="53"/>
        <v>9350</v>
      </c>
      <c r="AZ404" s="140" t="s">
        <v>562</v>
      </c>
      <c r="BA404" s="140" t="s">
        <v>562</v>
      </c>
      <c r="BB404" s="137">
        <v>8</v>
      </c>
      <c r="BC404" s="187">
        <v>400</v>
      </c>
      <c r="BD404" s="149"/>
      <c r="BE404" s="145"/>
      <c r="BF404" s="150"/>
      <c r="BG404" s="188">
        <v>46096</v>
      </c>
      <c r="BH404" s="153" t="s">
        <v>15</v>
      </c>
      <c r="BI404" s="153" t="s">
        <v>562</v>
      </c>
    </row>
    <row r="405" spans="1:63" s="16" customFormat="1" ht="42" hidden="1" customHeight="1" x14ac:dyDescent="0.3">
      <c r="A405" s="200">
        <v>401</v>
      </c>
      <c r="B405" s="138">
        <v>244449</v>
      </c>
      <c r="C405" s="138">
        <v>401</v>
      </c>
      <c r="D405" s="139">
        <v>46034</v>
      </c>
      <c r="E405" s="139">
        <f t="shared" si="51"/>
        <v>46033</v>
      </c>
      <c r="F405" s="139">
        <f t="shared" si="54"/>
        <v>46044</v>
      </c>
      <c r="G405" s="139">
        <v>46095</v>
      </c>
      <c r="H405" s="139">
        <v>46116</v>
      </c>
      <c r="I405" s="139" t="s">
        <v>123</v>
      </c>
      <c r="J405" s="140" t="s">
        <v>901</v>
      </c>
      <c r="K405" s="141">
        <f t="shared" si="56"/>
        <v>51</v>
      </c>
      <c r="L405" s="141">
        <v>1189395</v>
      </c>
      <c r="M405" s="140" t="s">
        <v>15</v>
      </c>
      <c r="N405" s="140">
        <v>814971</v>
      </c>
      <c r="O405" s="140" t="s">
        <v>246</v>
      </c>
      <c r="P405" s="143">
        <v>46056</v>
      </c>
      <c r="Q405" s="143">
        <v>46226</v>
      </c>
      <c r="R405" s="185" t="s">
        <v>1237</v>
      </c>
      <c r="S405" s="144" t="s">
        <v>902</v>
      </c>
      <c r="T405" s="145">
        <v>1</v>
      </c>
      <c r="U405" s="186" t="s">
        <v>904</v>
      </c>
      <c r="V405" s="146">
        <v>268</v>
      </c>
      <c r="W405" s="146">
        <v>268</v>
      </c>
      <c r="X405" s="147">
        <v>0</v>
      </c>
      <c r="Y405" s="146">
        <v>0</v>
      </c>
      <c r="Z405" s="146">
        <v>0</v>
      </c>
      <c r="AA405" s="146">
        <v>0</v>
      </c>
      <c r="AB405" s="146">
        <v>138</v>
      </c>
      <c r="AC405" s="146">
        <v>138</v>
      </c>
      <c r="AD405" s="146">
        <v>130</v>
      </c>
      <c r="AE405" s="146">
        <v>130</v>
      </c>
      <c r="AF405" s="146">
        <v>0</v>
      </c>
      <c r="AG405" s="146">
        <v>0</v>
      </c>
      <c r="AH405" s="146">
        <v>3</v>
      </c>
      <c r="AI405" s="146">
        <v>3</v>
      </c>
      <c r="AJ405" s="146">
        <v>1</v>
      </c>
      <c r="AK405" s="146">
        <v>1</v>
      </c>
      <c r="AL405" s="146">
        <v>1</v>
      </c>
      <c r="AM405" s="146">
        <v>1</v>
      </c>
      <c r="AN405" s="146">
        <v>3</v>
      </c>
      <c r="AO405" s="146">
        <v>3</v>
      </c>
      <c r="AP405" s="146">
        <v>2</v>
      </c>
      <c r="AQ405" s="146">
        <v>2</v>
      </c>
      <c r="AR405" s="146">
        <v>0</v>
      </c>
      <c r="AS405" s="146">
        <v>0</v>
      </c>
      <c r="AT405" s="146">
        <v>1</v>
      </c>
      <c r="AU405" s="146">
        <v>1</v>
      </c>
      <c r="AV405" s="146">
        <v>0</v>
      </c>
      <c r="AW405" s="146">
        <v>0</v>
      </c>
      <c r="AX405" s="146">
        <f t="shared" si="55"/>
        <v>36961</v>
      </c>
      <c r="AY405" s="146">
        <f t="shared" si="53"/>
        <v>36961</v>
      </c>
      <c r="AZ405" s="140" t="s">
        <v>562</v>
      </c>
      <c r="BA405" s="140" t="s">
        <v>562</v>
      </c>
      <c r="BB405" s="137">
        <v>10</v>
      </c>
      <c r="BC405" s="187">
        <v>401</v>
      </c>
      <c r="BD405" s="149"/>
      <c r="BE405" s="145"/>
      <c r="BF405" s="150"/>
      <c r="BG405" s="188">
        <v>46112</v>
      </c>
      <c r="BH405" s="153" t="s">
        <v>15</v>
      </c>
      <c r="BI405" s="153" t="s">
        <v>562</v>
      </c>
    </row>
    <row r="406" spans="1:63" s="16" customFormat="1" ht="42" hidden="1" customHeight="1" x14ac:dyDescent="0.3">
      <c r="A406" s="200">
        <v>402</v>
      </c>
      <c r="B406" s="90">
        <v>244539</v>
      </c>
      <c r="C406" s="90">
        <v>402</v>
      </c>
      <c r="D406" s="91">
        <v>46034</v>
      </c>
      <c r="E406" s="91">
        <f t="shared" si="51"/>
        <v>46033</v>
      </c>
      <c r="F406" s="91">
        <f t="shared" si="54"/>
        <v>46044</v>
      </c>
      <c r="G406" s="91">
        <v>46124</v>
      </c>
      <c r="H406" s="91">
        <f ca="1">TODAY()</f>
        <v>46277</v>
      </c>
      <c r="I406" s="91" t="s">
        <v>349</v>
      </c>
      <c r="J406" s="92" t="s">
        <v>903</v>
      </c>
      <c r="K406" s="93">
        <f t="shared" si="56"/>
        <v>80</v>
      </c>
      <c r="L406" s="93">
        <v>1189687</v>
      </c>
      <c r="M406" s="92" t="s">
        <v>212</v>
      </c>
      <c r="N406" s="92" t="s">
        <v>213</v>
      </c>
      <c r="O406" s="92" t="s">
        <v>213</v>
      </c>
      <c r="P406" s="126" t="s">
        <v>212</v>
      </c>
      <c r="Q406" s="126" t="s">
        <v>212</v>
      </c>
      <c r="R406" s="158" t="s">
        <v>211</v>
      </c>
      <c r="S406" s="94" t="s">
        <v>905</v>
      </c>
      <c r="T406" s="95">
        <v>1</v>
      </c>
      <c r="U406" s="159" t="s">
        <v>81</v>
      </c>
      <c r="V406" s="96">
        <v>71</v>
      </c>
      <c r="W406" s="96"/>
      <c r="X406" s="97">
        <v>1</v>
      </c>
      <c r="Y406" s="96"/>
      <c r="Z406" s="96">
        <v>0</v>
      </c>
      <c r="AA406" s="96">
        <v>0</v>
      </c>
      <c r="AB406" s="96">
        <v>1</v>
      </c>
      <c r="AC406" s="96"/>
      <c r="AD406" s="96">
        <v>0</v>
      </c>
      <c r="AE406" s="96">
        <v>0</v>
      </c>
      <c r="AF406" s="96">
        <v>0</v>
      </c>
      <c r="AG406" s="96">
        <v>0</v>
      </c>
      <c r="AH406" s="96">
        <v>1</v>
      </c>
      <c r="AI406" s="96"/>
      <c r="AJ406" s="96">
        <v>0</v>
      </c>
      <c r="AK406" s="96">
        <v>0</v>
      </c>
      <c r="AL406" s="96">
        <v>1</v>
      </c>
      <c r="AM406" s="96"/>
      <c r="AN406" s="96">
        <v>2</v>
      </c>
      <c r="AO406" s="96"/>
      <c r="AP406" s="96">
        <v>2</v>
      </c>
      <c r="AQ406" s="96"/>
      <c r="AR406" s="96">
        <v>0</v>
      </c>
      <c r="AS406" s="96">
        <v>0</v>
      </c>
      <c r="AT406" s="96">
        <v>0</v>
      </c>
      <c r="AU406" s="96">
        <v>0</v>
      </c>
      <c r="AV406" s="96">
        <v>0</v>
      </c>
      <c r="AW406" s="96">
        <v>0</v>
      </c>
      <c r="AX406" s="146">
        <f t="shared" si="55"/>
        <v>6537</v>
      </c>
      <c r="AY406" s="146">
        <f t="shared" si="53"/>
        <v>0</v>
      </c>
      <c r="AZ406" s="92" t="s">
        <v>212</v>
      </c>
      <c r="BA406" s="92" t="s">
        <v>212</v>
      </c>
      <c r="BB406" s="89" t="s">
        <v>212</v>
      </c>
      <c r="BC406" s="160">
        <v>402</v>
      </c>
      <c r="BD406" s="100"/>
      <c r="BE406" s="95"/>
      <c r="BF406" s="101"/>
      <c r="BG406" s="89"/>
      <c r="BH406" s="102" t="s">
        <v>212</v>
      </c>
      <c r="BI406" s="102" t="s">
        <v>212</v>
      </c>
    </row>
    <row r="407" spans="1:63" s="16" customFormat="1" ht="42" customHeight="1" x14ac:dyDescent="0.3">
      <c r="A407" s="200">
        <v>403</v>
      </c>
      <c r="B407" s="62">
        <v>244545</v>
      </c>
      <c r="C407" s="62">
        <v>403</v>
      </c>
      <c r="D407" s="63">
        <v>46035</v>
      </c>
      <c r="E407" s="63">
        <f t="shared" si="51"/>
        <v>46034</v>
      </c>
      <c r="F407" s="63">
        <f t="shared" si="54"/>
        <v>46045</v>
      </c>
      <c r="G407" s="63">
        <v>46125</v>
      </c>
      <c r="H407" s="63">
        <f ca="1">TODAY()</f>
        <v>46277</v>
      </c>
      <c r="I407" s="63" t="s">
        <v>349</v>
      </c>
      <c r="J407" s="64" t="s">
        <v>906</v>
      </c>
      <c r="K407" s="65">
        <f t="shared" si="56"/>
        <v>80</v>
      </c>
      <c r="L407" s="65">
        <v>1189873</v>
      </c>
      <c r="M407" s="64" t="s">
        <v>77</v>
      </c>
      <c r="N407" s="64">
        <v>816534</v>
      </c>
      <c r="O407" s="253" t="s">
        <v>1462</v>
      </c>
      <c r="P407" s="103">
        <v>46092</v>
      </c>
      <c r="Q407" s="103">
        <v>46240</v>
      </c>
      <c r="R407" s="73" t="s">
        <v>211</v>
      </c>
      <c r="S407" s="66" t="s">
        <v>907</v>
      </c>
      <c r="T407" s="67">
        <v>1</v>
      </c>
      <c r="U407" s="75" t="s">
        <v>81</v>
      </c>
      <c r="V407" s="68">
        <v>20</v>
      </c>
      <c r="W407" s="68"/>
      <c r="X407" s="69">
        <v>1</v>
      </c>
      <c r="Y407" s="68"/>
      <c r="Z407" s="68">
        <v>0</v>
      </c>
      <c r="AA407" s="68">
        <v>0</v>
      </c>
      <c r="AB407" s="68">
        <v>0</v>
      </c>
      <c r="AC407" s="68"/>
      <c r="AD407" s="68">
        <v>0</v>
      </c>
      <c r="AE407" s="68">
        <v>0</v>
      </c>
      <c r="AF407" s="68">
        <v>0</v>
      </c>
      <c r="AG407" s="68">
        <v>0</v>
      </c>
      <c r="AH407" s="68">
        <v>1</v>
      </c>
      <c r="AI407" s="68"/>
      <c r="AJ407" s="68">
        <v>0</v>
      </c>
      <c r="AK407" s="68">
        <v>0</v>
      </c>
      <c r="AL407" s="68">
        <v>2</v>
      </c>
      <c r="AM407" s="68"/>
      <c r="AN407" s="68">
        <v>3</v>
      </c>
      <c r="AO407" s="68"/>
      <c r="AP407" s="68">
        <v>1</v>
      </c>
      <c r="AQ407" s="68"/>
      <c r="AR407" s="68">
        <v>0</v>
      </c>
      <c r="AS407" s="68">
        <v>0</v>
      </c>
      <c r="AT407" s="68">
        <v>0</v>
      </c>
      <c r="AU407" s="68">
        <v>0</v>
      </c>
      <c r="AV407" s="68">
        <v>0</v>
      </c>
      <c r="AW407" s="68">
        <v>0</v>
      </c>
      <c r="AX407" s="146">
        <f t="shared" si="55"/>
        <v>3440</v>
      </c>
      <c r="AY407" s="146">
        <f t="shared" si="53"/>
        <v>0</v>
      </c>
      <c r="AZ407" s="64" t="s">
        <v>77</v>
      </c>
      <c r="BA407" s="64" t="s">
        <v>77</v>
      </c>
      <c r="BB407" s="15" t="s">
        <v>77</v>
      </c>
      <c r="BC407" s="74">
        <v>403</v>
      </c>
      <c r="BD407" s="70"/>
      <c r="BE407" s="67"/>
      <c r="BF407" s="71"/>
      <c r="BG407" s="15"/>
      <c r="BH407" s="72" t="s">
        <v>77</v>
      </c>
      <c r="BI407" s="72" t="s">
        <v>77</v>
      </c>
    </row>
    <row r="408" spans="1:63" s="16" customFormat="1" ht="42" hidden="1" customHeight="1" x14ac:dyDescent="0.3">
      <c r="A408" s="200">
        <v>404</v>
      </c>
      <c r="B408" s="138">
        <v>244617</v>
      </c>
      <c r="C408" s="138">
        <v>404</v>
      </c>
      <c r="D408" s="139">
        <v>46035</v>
      </c>
      <c r="E408" s="139">
        <f t="shared" si="51"/>
        <v>46034</v>
      </c>
      <c r="F408" s="139">
        <f t="shared" si="54"/>
        <v>46045</v>
      </c>
      <c r="G408" s="139">
        <v>46125</v>
      </c>
      <c r="H408" s="139">
        <v>46125</v>
      </c>
      <c r="I408" s="139" t="s">
        <v>321</v>
      </c>
      <c r="J408" s="140" t="s">
        <v>910</v>
      </c>
      <c r="K408" s="141">
        <f t="shared" si="56"/>
        <v>80</v>
      </c>
      <c r="L408" s="141">
        <v>1190130</v>
      </c>
      <c r="M408" s="140" t="s">
        <v>15</v>
      </c>
      <c r="N408" s="140">
        <v>815575</v>
      </c>
      <c r="O408" s="140" t="s">
        <v>246</v>
      </c>
      <c r="P408" s="143">
        <v>46072</v>
      </c>
      <c r="Q408" s="143">
        <v>46233</v>
      </c>
      <c r="R408" s="185" t="s">
        <v>211</v>
      </c>
      <c r="S408" s="144" t="s">
        <v>911</v>
      </c>
      <c r="T408" s="145">
        <v>2</v>
      </c>
      <c r="U408" s="186" t="s">
        <v>82</v>
      </c>
      <c r="V408" s="146">
        <v>5</v>
      </c>
      <c r="W408" s="146">
        <v>5</v>
      </c>
      <c r="X408" s="147">
        <v>0</v>
      </c>
      <c r="Y408" s="146">
        <v>0</v>
      </c>
      <c r="Z408" s="146">
        <v>0</v>
      </c>
      <c r="AA408" s="146">
        <v>0</v>
      </c>
      <c r="AB408" s="146">
        <v>0</v>
      </c>
      <c r="AC408" s="146">
        <v>0</v>
      </c>
      <c r="AD408" s="146">
        <v>0</v>
      </c>
      <c r="AE408" s="146">
        <v>0</v>
      </c>
      <c r="AF408" s="146">
        <v>0</v>
      </c>
      <c r="AG408" s="146">
        <v>0</v>
      </c>
      <c r="AH408" s="146">
        <v>0</v>
      </c>
      <c r="AI408" s="146">
        <v>0</v>
      </c>
      <c r="AJ408" s="146">
        <v>0</v>
      </c>
      <c r="AK408" s="146">
        <v>0</v>
      </c>
      <c r="AL408" s="146">
        <v>2</v>
      </c>
      <c r="AM408" s="146">
        <v>2</v>
      </c>
      <c r="AN408" s="146">
        <v>2</v>
      </c>
      <c r="AO408" s="146">
        <v>2</v>
      </c>
      <c r="AP408" s="146">
        <v>0</v>
      </c>
      <c r="AQ408" s="146">
        <v>0</v>
      </c>
      <c r="AR408" s="146">
        <v>0</v>
      </c>
      <c r="AS408" s="146">
        <v>0</v>
      </c>
      <c r="AT408" s="146">
        <v>0</v>
      </c>
      <c r="AU408" s="146">
        <v>0</v>
      </c>
      <c r="AV408" s="146">
        <v>0</v>
      </c>
      <c r="AW408" s="146">
        <v>0</v>
      </c>
      <c r="AX408" s="146">
        <f t="shared" si="55"/>
        <v>1600</v>
      </c>
      <c r="AY408" s="146">
        <f t="shared" si="53"/>
        <v>1600</v>
      </c>
      <c r="AZ408" s="137" t="s">
        <v>562</v>
      </c>
      <c r="BA408" s="137" t="s">
        <v>562</v>
      </c>
      <c r="BB408" s="137">
        <v>11</v>
      </c>
      <c r="BC408" s="187">
        <v>404</v>
      </c>
      <c r="BD408" s="149"/>
      <c r="BE408" s="145"/>
      <c r="BF408" s="150"/>
      <c r="BG408" s="188">
        <v>46118</v>
      </c>
      <c r="BH408" s="153" t="s">
        <v>15</v>
      </c>
      <c r="BI408" s="153" t="s">
        <v>562</v>
      </c>
      <c r="BK408" s="238"/>
    </row>
    <row r="409" spans="1:63" s="16" customFormat="1" ht="42" hidden="1" customHeight="1" x14ac:dyDescent="0.3">
      <c r="A409" s="200">
        <v>405</v>
      </c>
      <c r="B409" s="138">
        <v>244616</v>
      </c>
      <c r="C409" s="138">
        <v>405</v>
      </c>
      <c r="D409" s="139">
        <v>46035</v>
      </c>
      <c r="E409" s="139">
        <f t="shared" si="51"/>
        <v>46034</v>
      </c>
      <c r="F409" s="139">
        <f t="shared" si="54"/>
        <v>46045</v>
      </c>
      <c r="G409" s="139">
        <v>46125</v>
      </c>
      <c r="H409" s="139">
        <v>46212</v>
      </c>
      <c r="I409" s="139" t="s">
        <v>321</v>
      </c>
      <c r="J409" s="140" t="s">
        <v>912</v>
      </c>
      <c r="K409" s="141">
        <f t="shared" si="56"/>
        <v>80</v>
      </c>
      <c r="L409" s="141">
        <v>1190131</v>
      </c>
      <c r="M409" s="140" t="s">
        <v>15</v>
      </c>
      <c r="N409" s="140">
        <v>815575</v>
      </c>
      <c r="O409" s="140" t="s">
        <v>246</v>
      </c>
      <c r="P409" s="143">
        <v>46072</v>
      </c>
      <c r="Q409" s="143">
        <v>46233</v>
      </c>
      <c r="R409" s="185" t="s">
        <v>1235</v>
      </c>
      <c r="S409" s="144" t="s">
        <v>913</v>
      </c>
      <c r="T409" s="145">
        <v>1</v>
      </c>
      <c r="U409" s="186" t="s">
        <v>82</v>
      </c>
      <c r="V409" s="146">
        <v>134</v>
      </c>
      <c r="W409" s="146">
        <v>134</v>
      </c>
      <c r="X409" s="147">
        <v>0</v>
      </c>
      <c r="Y409" s="146"/>
      <c r="Z409" s="146">
        <v>0</v>
      </c>
      <c r="AA409" s="146">
        <v>0</v>
      </c>
      <c r="AB409" s="146">
        <v>70</v>
      </c>
      <c r="AC409" s="146">
        <v>70</v>
      </c>
      <c r="AD409" s="146">
        <v>0</v>
      </c>
      <c r="AE409" s="146">
        <v>0</v>
      </c>
      <c r="AF409" s="146">
        <v>0</v>
      </c>
      <c r="AG409" s="146">
        <v>0</v>
      </c>
      <c r="AH409" s="146">
        <v>0</v>
      </c>
      <c r="AI409" s="146">
        <v>0</v>
      </c>
      <c r="AJ409" s="146">
        <v>0</v>
      </c>
      <c r="AK409" s="146"/>
      <c r="AL409" s="146">
        <v>0</v>
      </c>
      <c r="AM409" s="146"/>
      <c r="AN409" s="146">
        <v>1</v>
      </c>
      <c r="AO409" s="146">
        <v>1</v>
      </c>
      <c r="AP409" s="146">
        <v>1</v>
      </c>
      <c r="AQ409" s="146">
        <v>1</v>
      </c>
      <c r="AR409" s="146">
        <v>0</v>
      </c>
      <c r="AS409" s="146">
        <v>0</v>
      </c>
      <c r="AT409" s="146">
        <v>0</v>
      </c>
      <c r="AU409" s="146">
        <v>0</v>
      </c>
      <c r="AV409" s="146">
        <v>0</v>
      </c>
      <c r="AW409" s="146">
        <v>0</v>
      </c>
      <c r="AX409" s="146">
        <f t="shared" si="55"/>
        <v>12720</v>
      </c>
      <c r="AY409" s="146">
        <f t="shared" si="53"/>
        <v>12720</v>
      </c>
      <c r="AZ409" s="140" t="s">
        <v>562</v>
      </c>
      <c r="BA409" s="140" t="s">
        <v>562</v>
      </c>
      <c r="BB409" s="137">
        <v>13</v>
      </c>
      <c r="BC409" s="187">
        <v>405</v>
      </c>
      <c r="BD409" s="149"/>
      <c r="BE409" s="145"/>
      <c r="BF409" s="150"/>
      <c r="BG409" s="188">
        <v>46174</v>
      </c>
      <c r="BH409" s="153" t="s">
        <v>15</v>
      </c>
      <c r="BI409" s="153" t="s">
        <v>562</v>
      </c>
    </row>
    <row r="410" spans="1:63" s="16" customFormat="1" ht="42" customHeight="1" x14ac:dyDescent="0.3">
      <c r="A410" s="200">
        <v>406</v>
      </c>
      <c r="B410" s="62">
        <v>244764</v>
      </c>
      <c r="C410" s="62">
        <v>406</v>
      </c>
      <c r="D410" s="63">
        <v>46037</v>
      </c>
      <c r="E410" s="63">
        <f t="shared" si="51"/>
        <v>46036</v>
      </c>
      <c r="F410" s="63">
        <f t="shared" si="54"/>
        <v>46047</v>
      </c>
      <c r="G410" s="63">
        <v>46127</v>
      </c>
      <c r="H410" s="63">
        <f t="shared" ref="H410:H421" ca="1" si="57">TODAY()</f>
        <v>46277</v>
      </c>
      <c r="I410" s="63" t="s">
        <v>349</v>
      </c>
      <c r="J410" s="64" t="s">
        <v>914</v>
      </c>
      <c r="K410" s="65">
        <f t="shared" si="56"/>
        <v>80</v>
      </c>
      <c r="L410" s="65">
        <v>1191041</v>
      </c>
      <c r="M410" s="64" t="s">
        <v>77</v>
      </c>
      <c r="N410" s="64">
        <v>816534</v>
      </c>
      <c r="O410" s="253" t="s">
        <v>1462</v>
      </c>
      <c r="P410" s="103">
        <v>46092</v>
      </c>
      <c r="Q410" s="103">
        <v>46240</v>
      </c>
      <c r="R410" s="73" t="s">
        <v>211</v>
      </c>
      <c r="S410" s="66" t="s">
        <v>915</v>
      </c>
      <c r="T410" s="67">
        <v>1</v>
      </c>
      <c r="U410" s="75" t="s">
        <v>81</v>
      </c>
      <c r="V410" s="68">
        <v>35</v>
      </c>
      <c r="W410" s="68"/>
      <c r="X410" s="69">
        <v>1</v>
      </c>
      <c r="Y410" s="68"/>
      <c r="Z410" s="68">
        <v>0</v>
      </c>
      <c r="AA410" s="68">
        <v>0</v>
      </c>
      <c r="AB410" s="68">
        <v>0</v>
      </c>
      <c r="AC410" s="68"/>
      <c r="AD410" s="68">
        <v>0</v>
      </c>
      <c r="AE410" s="68">
        <v>0</v>
      </c>
      <c r="AF410" s="68">
        <v>0</v>
      </c>
      <c r="AG410" s="68">
        <v>0</v>
      </c>
      <c r="AH410" s="68">
        <v>0</v>
      </c>
      <c r="AI410" s="68">
        <v>0</v>
      </c>
      <c r="AJ410" s="68">
        <v>1</v>
      </c>
      <c r="AK410" s="68"/>
      <c r="AL410" s="68">
        <v>5</v>
      </c>
      <c r="AM410" s="68"/>
      <c r="AN410" s="68">
        <v>4</v>
      </c>
      <c r="AO410" s="68"/>
      <c r="AP410" s="68">
        <v>1</v>
      </c>
      <c r="AQ410" s="68"/>
      <c r="AR410" s="68">
        <v>0</v>
      </c>
      <c r="AS410" s="68">
        <v>0</v>
      </c>
      <c r="AT410" s="68">
        <v>0</v>
      </c>
      <c r="AU410" s="68">
        <v>0</v>
      </c>
      <c r="AV410" s="68">
        <v>0</v>
      </c>
      <c r="AW410" s="68">
        <v>0</v>
      </c>
      <c r="AX410" s="146">
        <f t="shared" si="55"/>
        <v>6375</v>
      </c>
      <c r="AY410" s="146">
        <f t="shared" si="53"/>
        <v>0</v>
      </c>
      <c r="AZ410" s="64" t="s">
        <v>77</v>
      </c>
      <c r="BA410" s="64" t="s">
        <v>77</v>
      </c>
      <c r="BB410" s="15" t="s">
        <v>77</v>
      </c>
      <c r="BC410" s="74">
        <v>406</v>
      </c>
      <c r="BD410" s="70"/>
      <c r="BE410" s="67"/>
      <c r="BF410" s="71"/>
      <c r="BG410" s="15"/>
      <c r="BH410" s="72" t="s">
        <v>77</v>
      </c>
      <c r="BI410" s="72" t="s">
        <v>77</v>
      </c>
    </row>
    <row r="411" spans="1:63" s="16" customFormat="1" ht="42" customHeight="1" x14ac:dyDescent="0.3">
      <c r="A411" s="200">
        <v>407</v>
      </c>
      <c r="B411" s="62">
        <v>244766</v>
      </c>
      <c r="C411" s="62">
        <v>407</v>
      </c>
      <c r="D411" s="63">
        <v>46040</v>
      </c>
      <c r="E411" s="63">
        <f t="shared" si="51"/>
        <v>46039</v>
      </c>
      <c r="F411" s="63">
        <f t="shared" si="54"/>
        <v>46050</v>
      </c>
      <c r="G411" s="63">
        <v>46130</v>
      </c>
      <c r="H411" s="63">
        <f t="shared" ca="1" si="57"/>
        <v>46277</v>
      </c>
      <c r="I411" s="63" t="s">
        <v>349</v>
      </c>
      <c r="J411" s="64" t="s">
        <v>916</v>
      </c>
      <c r="K411" s="65">
        <f t="shared" si="56"/>
        <v>80</v>
      </c>
      <c r="L411" s="65">
        <v>1191582</v>
      </c>
      <c r="M411" s="64" t="s">
        <v>77</v>
      </c>
      <c r="N411" s="64">
        <v>816534</v>
      </c>
      <c r="O411" s="253" t="s">
        <v>1462</v>
      </c>
      <c r="P411" s="103">
        <v>46092</v>
      </c>
      <c r="Q411" s="103">
        <v>46240</v>
      </c>
      <c r="R411" s="73" t="s">
        <v>211</v>
      </c>
      <c r="S411" s="66" t="s">
        <v>631</v>
      </c>
      <c r="T411" s="67">
        <v>1</v>
      </c>
      <c r="U411" s="75" t="s">
        <v>81</v>
      </c>
      <c r="V411" s="68">
        <v>16</v>
      </c>
      <c r="W411" s="68"/>
      <c r="X411" s="69">
        <v>1</v>
      </c>
      <c r="Y411" s="68"/>
      <c r="Z411" s="68">
        <v>0</v>
      </c>
      <c r="AA411" s="68">
        <v>0</v>
      </c>
      <c r="AB411" s="68">
        <v>0</v>
      </c>
      <c r="AC411" s="68"/>
      <c r="AD411" s="68">
        <v>0</v>
      </c>
      <c r="AE411" s="68">
        <v>0</v>
      </c>
      <c r="AF411" s="68">
        <v>0</v>
      </c>
      <c r="AG411" s="68">
        <v>0</v>
      </c>
      <c r="AH411" s="68">
        <v>1</v>
      </c>
      <c r="AI411" s="68"/>
      <c r="AJ411" s="68">
        <v>0</v>
      </c>
      <c r="AK411" s="68">
        <v>0</v>
      </c>
      <c r="AL411" s="68">
        <v>1</v>
      </c>
      <c r="AM411" s="68"/>
      <c r="AN411" s="68">
        <v>1</v>
      </c>
      <c r="AO411" s="68"/>
      <c r="AP411" s="68">
        <v>1</v>
      </c>
      <c r="AQ411" s="68"/>
      <c r="AR411" s="68">
        <v>0</v>
      </c>
      <c r="AS411" s="68">
        <v>0</v>
      </c>
      <c r="AT411" s="68">
        <v>0</v>
      </c>
      <c r="AU411" s="68">
        <v>0</v>
      </c>
      <c r="AV411" s="68">
        <v>0</v>
      </c>
      <c r="AW411" s="68">
        <v>0</v>
      </c>
      <c r="AX411" s="146">
        <f t="shared" si="55"/>
        <v>2490</v>
      </c>
      <c r="AY411" s="146">
        <f t="shared" si="53"/>
        <v>0</v>
      </c>
      <c r="AZ411" s="64" t="s">
        <v>77</v>
      </c>
      <c r="BA411" s="64" t="s">
        <v>77</v>
      </c>
      <c r="BB411" s="15" t="s">
        <v>77</v>
      </c>
      <c r="BC411" s="74">
        <v>407</v>
      </c>
      <c r="BD411" s="70"/>
      <c r="BE411" s="67"/>
      <c r="BF411" s="71"/>
      <c r="BG411" s="15"/>
      <c r="BH411" s="72" t="s">
        <v>77</v>
      </c>
      <c r="BI411" s="72" t="s">
        <v>77</v>
      </c>
    </row>
    <row r="412" spans="1:63" s="16" customFormat="1" ht="42" customHeight="1" x14ac:dyDescent="0.3">
      <c r="A412" s="200">
        <v>408</v>
      </c>
      <c r="B412" s="62">
        <v>244769</v>
      </c>
      <c r="C412" s="62">
        <v>408</v>
      </c>
      <c r="D412" s="63">
        <v>46040</v>
      </c>
      <c r="E412" s="63">
        <f t="shared" si="51"/>
        <v>46039</v>
      </c>
      <c r="F412" s="63">
        <f t="shared" si="54"/>
        <v>46050</v>
      </c>
      <c r="G412" s="63">
        <v>46130</v>
      </c>
      <c r="H412" s="63">
        <f t="shared" ca="1" si="57"/>
        <v>46277</v>
      </c>
      <c r="I412" s="63" t="s">
        <v>349</v>
      </c>
      <c r="J412" s="64" t="s">
        <v>917</v>
      </c>
      <c r="K412" s="65">
        <f t="shared" si="56"/>
        <v>80</v>
      </c>
      <c r="L412" s="65">
        <v>1191606</v>
      </c>
      <c r="M412" s="64" t="s">
        <v>77</v>
      </c>
      <c r="N412" s="64">
        <v>816010</v>
      </c>
      <c r="O412" s="253" t="s">
        <v>1462</v>
      </c>
      <c r="P412" s="103">
        <v>46064</v>
      </c>
      <c r="Q412" s="103">
        <v>46240</v>
      </c>
      <c r="R412" s="73" t="s">
        <v>211</v>
      </c>
      <c r="S412" s="66" t="s">
        <v>918</v>
      </c>
      <c r="T412" s="67">
        <v>1</v>
      </c>
      <c r="U412" s="75" t="s">
        <v>81</v>
      </c>
      <c r="V412" s="68">
        <v>10</v>
      </c>
      <c r="W412" s="68"/>
      <c r="X412" s="69">
        <v>1</v>
      </c>
      <c r="Y412" s="68"/>
      <c r="Z412" s="68">
        <v>0</v>
      </c>
      <c r="AA412" s="68">
        <v>0</v>
      </c>
      <c r="AB412" s="68">
        <v>0</v>
      </c>
      <c r="AC412" s="68"/>
      <c r="AD412" s="68">
        <v>0</v>
      </c>
      <c r="AE412" s="68">
        <v>0</v>
      </c>
      <c r="AF412" s="68">
        <v>0</v>
      </c>
      <c r="AG412" s="68">
        <v>0</v>
      </c>
      <c r="AH412" s="68">
        <v>1</v>
      </c>
      <c r="AI412" s="68"/>
      <c r="AJ412" s="68">
        <v>0</v>
      </c>
      <c r="AK412" s="68">
        <v>0</v>
      </c>
      <c r="AL412" s="68">
        <v>1</v>
      </c>
      <c r="AM412" s="68"/>
      <c r="AN412" s="68">
        <v>2</v>
      </c>
      <c r="AO412" s="68"/>
      <c r="AP412" s="68">
        <v>2</v>
      </c>
      <c r="AQ412" s="68"/>
      <c r="AR412" s="68">
        <v>0</v>
      </c>
      <c r="AS412" s="68">
        <v>0</v>
      </c>
      <c r="AT412" s="68">
        <v>0</v>
      </c>
      <c r="AU412" s="68">
        <v>0</v>
      </c>
      <c r="AV412" s="68">
        <v>0</v>
      </c>
      <c r="AW412" s="68">
        <v>0</v>
      </c>
      <c r="AX412" s="146">
        <f t="shared" si="55"/>
        <v>2820</v>
      </c>
      <c r="AY412" s="146">
        <f t="shared" si="53"/>
        <v>0</v>
      </c>
      <c r="AZ412" s="64" t="s">
        <v>77</v>
      </c>
      <c r="BA412" s="64" t="s">
        <v>77</v>
      </c>
      <c r="BB412" s="15" t="s">
        <v>77</v>
      </c>
      <c r="BC412" s="74">
        <v>408</v>
      </c>
      <c r="BD412" s="70"/>
      <c r="BE412" s="67"/>
      <c r="BF412" s="71"/>
      <c r="BG412" s="15"/>
      <c r="BH412" s="72" t="s">
        <v>77</v>
      </c>
      <c r="BI412" s="72" t="s">
        <v>77</v>
      </c>
    </row>
    <row r="413" spans="1:63" s="16" customFormat="1" ht="42" customHeight="1" x14ac:dyDescent="0.3">
      <c r="A413" s="200">
        <v>409</v>
      </c>
      <c r="B413" s="62">
        <v>244778</v>
      </c>
      <c r="C413" s="62">
        <v>409</v>
      </c>
      <c r="D413" s="63">
        <v>46040</v>
      </c>
      <c r="E413" s="63">
        <f t="shared" si="51"/>
        <v>46039</v>
      </c>
      <c r="F413" s="63">
        <f t="shared" si="54"/>
        <v>46050</v>
      </c>
      <c r="G413" s="63">
        <v>46130</v>
      </c>
      <c r="H413" s="63">
        <f t="shared" ca="1" si="57"/>
        <v>46277</v>
      </c>
      <c r="I413" s="63" t="s">
        <v>349</v>
      </c>
      <c r="J413" s="64" t="s">
        <v>919</v>
      </c>
      <c r="K413" s="65">
        <f t="shared" si="56"/>
        <v>80</v>
      </c>
      <c r="L413" s="65">
        <v>1191645</v>
      </c>
      <c r="M413" s="64" t="s">
        <v>77</v>
      </c>
      <c r="N413" s="64">
        <v>816010</v>
      </c>
      <c r="O413" s="253" t="s">
        <v>1462</v>
      </c>
      <c r="P413" s="103">
        <v>46064</v>
      </c>
      <c r="Q413" s="103">
        <v>46240</v>
      </c>
      <c r="R413" s="73" t="s">
        <v>211</v>
      </c>
      <c r="S413" s="66" t="s">
        <v>920</v>
      </c>
      <c r="T413" s="67">
        <v>1</v>
      </c>
      <c r="U413" s="75" t="s">
        <v>81</v>
      </c>
      <c r="V413" s="68">
        <v>35</v>
      </c>
      <c r="W413" s="68"/>
      <c r="X413" s="69">
        <v>1</v>
      </c>
      <c r="Y413" s="68"/>
      <c r="Z413" s="68">
        <v>0</v>
      </c>
      <c r="AA413" s="68">
        <v>0</v>
      </c>
      <c r="AB413" s="68">
        <v>0</v>
      </c>
      <c r="AC413" s="68"/>
      <c r="AD413" s="68">
        <v>0</v>
      </c>
      <c r="AE413" s="68">
        <v>0</v>
      </c>
      <c r="AF413" s="68">
        <v>0</v>
      </c>
      <c r="AG413" s="68">
        <v>0</v>
      </c>
      <c r="AH413" s="68">
        <v>1</v>
      </c>
      <c r="AI413" s="68"/>
      <c r="AJ413" s="68">
        <v>0</v>
      </c>
      <c r="AK413" s="68">
        <v>0</v>
      </c>
      <c r="AL413" s="68">
        <v>1</v>
      </c>
      <c r="AM413" s="68"/>
      <c r="AN413" s="68">
        <v>2</v>
      </c>
      <c r="AO413" s="68"/>
      <c r="AP413" s="68">
        <v>2</v>
      </c>
      <c r="AQ413" s="68"/>
      <c r="AR413" s="68">
        <v>0</v>
      </c>
      <c r="AS413" s="68">
        <v>0</v>
      </c>
      <c r="AT413" s="68">
        <v>0</v>
      </c>
      <c r="AU413" s="68">
        <v>0</v>
      </c>
      <c r="AV413" s="68">
        <v>0</v>
      </c>
      <c r="AW413" s="68">
        <v>0</v>
      </c>
      <c r="AX413" s="146">
        <f t="shared" si="55"/>
        <v>4320</v>
      </c>
      <c r="AY413" s="146">
        <f t="shared" si="53"/>
        <v>0</v>
      </c>
      <c r="AZ413" s="64" t="s">
        <v>77</v>
      </c>
      <c r="BA413" s="64" t="s">
        <v>77</v>
      </c>
      <c r="BB413" s="15" t="s">
        <v>77</v>
      </c>
      <c r="BC413" s="74">
        <v>409</v>
      </c>
      <c r="BD413" s="70"/>
      <c r="BE413" s="67"/>
      <c r="BF413" s="71"/>
      <c r="BG413" s="15"/>
      <c r="BH413" s="72" t="s">
        <v>77</v>
      </c>
      <c r="BI413" s="72" t="s">
        <v>77</v>
      </c>
    </row>
    <row r="414" spans="1:63" s="16" customFormat="1" ht="42" customHeight="1" x14ac:dyDescent="0.3">
      <c r="A414" s="200">
        <v>410</v>
      </c>
      <c r="B414" s="62">
        <v>244783</v>
      </c>
      <c r="C414" s="62">
        <v>410</v>
      </c>
      <c r="D414" s="63">
        <v>46040</v>
      </c>
      <c r="E414" s="63">
        <f t="shared" si="51"/>
        <v>46039</v>
      </c>
      <c r="F414" s="63">
        <f t="shared" si="54"/>
        <v>46050</v>
      </c>
      <c r="G414" s="63">
        <v>46130</v>
      </c>
      <c r="H414" s="63">
        <f t="shared" ca="1" si="57"/>
        <v>46277</v>
      </c>
      <c r="I414" s="63" t="s">
        <v>349</v>
      </c>
      <c r="J414" s="64" t="s">
        <v>921</v>
      </c>
      <c r="K414" s="65">
        <f t="shared" si="56"/>
        <v>80</v>
      </c>
      <c r="L414" s="65">
        <v>1191684</v>
      </c>
      <c r="M414" s="64" t="s">
        <v>77</v>
      </c>
      <c r="N414" s="64">
        <v>816010</v>
      </c>
      <c r="O414" s="253" t="s">
        <v>1462</v>
      </c>
      <c r="P414" s="103">
        <v>46064</v>
      </c>
      <c r="Q414" s="103">
        <v>46240</v>
      </c>
      <c r="R414" s="73" t="s">
        <v>211</v>
      </c>
      <c r="S414" s="66" t="s">
        <v>922</v>
      </c>
      <c r="T414" s="67">
        <v>1</v>
      </c>
      <c r="U414" s="75" t="s">
        <v>81</v>
      </c>
      <c r="V414" s="68">
        <v>90</v>
      </c>
      <c r="W414" s="68"/>
      <c r="X414" s="69">
        <v>1</v>
      </c>
      <c r="Y414" s="68"/>
      <c r="Z414" s="68">
        <v>0</v>
      </c>
      <c r="AA414" s="68">
        <v>0</v>
      </c>
      <c r="AB414" s="68">
        <v>0</v>
      </c>
      <c r="AC414" s="68"/>
      <c r="AD414" s="68">
        <v>0</v>
      </c>
      <c r="AE414" s="68">
        <v>0</v>
      </c>
      <c r="AF414" s="68">
        <v>0</v>
      </c>
      <c r="AG414" s="68">
        <v>0</v>
      </c>
      <c r="AH414" s="68">
        <v>1</v>
      </c>
      <c r="AI414" s="68"/>
      <c r="AJ414" s="68">
        <v>0</v>
      </c>
      <c r="AK414" s="68">
        <v>0</v>
      </c>
      <c r="AL414" s="68">
        <v>1</v>
      </c>
      <c r="AM414" s="68"/>
      <c r="AN414" s="68">
        <v>2</v>
      </c>
      <c r="AO414" s="68"/>
      <c r="AP414" s="68">
        <v>1</v>
      </c>
      <c r="AQ414" s="68"/>
      <c r="AR414" s="68">
        <v>0</v>
      </c>
      <c r="AS414" s="68">
        <v>0</v>
      </c>
      <c r="AT414" s="68">
        <v>0</v>
      </c>
      <c r="AU414" s="68">
        <v>0</v>
      </c>
      <c r="AV414" s="68">
        <v>0</v>
      </c>
      <c r="AW414" s="68">
        <v>0</v>
      </c>
      <c r="AX414" s="146">
        <f t="shared" si="55"/>
        <v>6990</v>
      </c>
      <c r="AY414" s="146">
        <f t="shared" si="53"/>
        <v>0</v>
      </c>
      <c r="AZ414" s="64" t="s">
        <v>77</v>
      </c>
      <c r="BA414" s="64" t="s">
        <v>77</v>
      </c>
      <c r="BB414" s="15" t="s">
        <v>77</v>
      </c>
      <c r="BC414" s="74">
        <v>410</v>
      </c>
      <c r="BD414" s="70"/>
      <c r="BE414" s="67"/>
      <c r="BF414" s="71"/>
      <c r="BG414" s="15"/>
      <c r="BH414" s="72" t="s">
        <v>77</v>
      </c>
      <c r="BI414" s="72" t="s">
        <v>77</v>
      </c>
    </row>
    <row r="415" spans="1:63" s="16" customFormat="1" ht="42" customHeight="1" x14ac:dyDescent="0.3">
      <c r="A415" s="200">
        <v>411</v>
      </c>
      <c r="B415" s="62">
        <v>244784</v>
      </c>
      <c r="C415" s="62">
        <v>411</v>
      </c>
      <c r="D415" s="63">
        <v>46068</v>
      </c>
      <c r="E415" s="63">
        <f t="shared" si="51"/>
        <v>46067</v>
      </c>
      <c r="F415" s="63">
        <f t="shared" si="54"/>
        <v>46078</v>
      </c>
      <c r="G415" s="63">
        <v>46158</v>
      </c>
      <c r="H415" s="63">
        <f t="shared" ca="1" si="57"/>
        <v>46277</v>
      </c>
      <c r="I415" s="63" t="s">
        <v>349</v>
      </c>
      <c r="J415" s="64" t="s">
        <v>923</v>
      </c>
      <c r="K415" s="65">
        <f t="shared" si="56"/>
        <v>80</v>
      </c>
      <c r="L415" s="65">
        <v>1191781</v>
      </c>
      <c r="M415" s="64" t="s">
        <v>77</v>
      </c>
      <c r="N415" s="64">
        <v>818119</v>
      </c>
      <c r="O415" s="253" t="s">
        <v>1462</v>
      </c>
      <c r="P415" s="103">
        <v>46083</v>
      </c>
      <c r="Q415" s="103">
        <v>46261</v>
      </c>
      <c r="R415" s="73" t="s">
        <v>211</v>
      </c>
      <c r="S415" s="66" t="s">
        <v>924</v>
      </c>
      <c r="T415" s="67">
        <v>1</v>
      </c>
      <c r="U415" s="75" t="s">
        <v>81</v>
      </c>
      <c r="V415" s="68">
        <v>110</v>
      </c>
      <c r="W415" s="68"/>
      <c r="X415" s="69">
        <v>1</v>
      </c>
      <c r="Y415" s="68"/>
      <c r="Z415" s="68">
        <v>0</v>
      </c>
      <c r="AA415" s="68">
        <v>0</v>
      </c>
      <c r="AB415" s="68">
        <v>0</v>
      </c>
      <c r="AC415" s="68"/>
      <c r="AD415" s="68">
        <v>0</v>
      </c>
      <c r="AE415" s="68">
        <v>0</v>
      </c>
      <c r="AF415" s="68">
        <v>0</v>
      </c>
      <c r="AG415" s="68">
        <v>0</v>
      </c>
      <c r="AH415" s="68">
        <v>0</v>
      </c>
      <c r="AI415" s="68">
        <v>0</v>
      </c>
      <c r="AJ415" s="68">
        <v>1</v>
      </c>
      <c r="AK415" s="68"/>
      <c r="AL415" s="68">
        <v>1</v>
      </c>
      <c r="AM415" s="68"/>
      <c r="AN415" s="68">
        <v>1</v>
      </c>
      <c r="AO415" s="68"/>
      <c r="AP415" s="68">
        <v>1</v>
      </c>
      <c r="AQ415" s="68"/>
      <c r="AR415" s="68">
        <v>0</v>
      </c>
      <c r="AS415" s="68">
        <v>0</v>
      </c>
      <c r="AT415" s="68">
        <v>0</v>
      </c>
      <c r="AU415" s="68">
        <v>0</v>
      </c>
      <c r="AV415" s="68">
        <v>0</v>
      </c>
      <c r="AW415" s="68">
        <v>0</v>
      </c>
      <c r="AX415" s="146">
        <f t="shared" si="55"/>
        <v>8335</v>
      </c>
      <c r="AY415" s="146">
        <f t="shared" si="53"/>
        <v>0</v>
      </c>
      <c r="AZ415" s="64" t="s">
        <v>77</v>
      </c>
      <c r="BA415" s="64" t="s">
        <v>77</v>
      </c>
      <c r="BB415" s="15" t="s">
        <v>77</v>
      </c>
      <c r="BC415" s="74">
        <v>411</v>
      </c>
      <c r="BD415" s="70"/>
      <c r="BE415" s="67"/>
      <c r="BF415" s="71"/>
      <c r="BG415" s="15"/>
      <c r="BH415" s="72" t="s">
        <v>77</v>
      </c>
      <c r="BI415" s="72" t="s">
        <v>77</v>
      </c>
    </row>
    <row r="416" spans="1:63" s="16" customFormat="1" ht="42" customHeight="1" x14ac:dyDescent="0.3">
      <c r="A416" s="200">
        <v>412</v>
      </c>
      <c r="B416" s="62">
        <v>244794</v>
      </c>
      <c r="C416" s="62">
        <v>412</v>
      </c>
      <c r="D416" s="63">
        <v>46040</v>
      </c>
      <c r="E416" s="63">
        <f t="shared" si="51"/>
        <v>46039</v>
      </c>
      <c r="F416" s="63">
        <f t="shared" si="54"/>
        <v>46050</v>
      </c>
      <c r="G416" s="63">
        <v>46130</v>
      </c>
      <c r="H416" s="63">
        <f t="shared" ca="1" si="57"/>
        <v>46277</v>
      </c>
      <c r="I416" s="63" t="s">
        <v>349</v>
      </c>
      <c r="J416" s="64" t="s">
        <v>925</v>
      </c>
      <c r="K416" s="65">
        <f t="shared" si="56"/>
        <v>80</v>
      </c>
      <c r="L416" s="65">
        <v>1191790</v>
      </c>
      <c r="M416" s="64" t="s">
        <v>77</v>
      </c>
      <c r="N416" s="64">
        <v>816534</v>
      </c>
      <c r="O416" s="253" t="s">
        <v>1462</v>
      </c>
      <c r="P416" s="103">
        <v>46092</v>
      </c>
      <c r="Q416" s="103">
        <v>46240</v>
      </c>
      <c r="R416" s="73" t="s">
        <v>211</v>
      </c>
      <c r="S416" s="66" t="s">
        <v>926</v>
      </c>
      <c r="T416" s="67">
        <v>1</v>
      </c>
      <c r="U416" s="75" t="s">
        <v>81</v>
      </c>
      <c r="V416" s="68">
        <v>54</v>
      </c>
      <c r="W416" s="68"/>
      <c r="X416" s="69">
        <v>1</v>
      </c>
      <c r="Y416" s="68"/>
      <c r="Z416" s="68">
        <v>0</v>
      </c>
      <c r="AA416" s="68">
        <v>0</v>
      </c>
      <c r="AB416" s="68">
        <v>0</v>
      </c>
      <c r="AC416" s="68"/>
      <c r="AD416" s="68">
        <v>0</v>
      </c>
      <c r="AE416" s="68">
        <v>0</v>
      </c>
      <c r="AF416" s="68">
        <v>0</v>
      </c>
      <c r="AG416" s="68">
        <v>0</v>
      </c>
      <c r="AH416" s="68">
        <v>0</v>
      </c>
      <c r="AI416" s="68">
        <v>0</v>
      </c>
      <c r="AJ416" s="68">
        <v>1</v>
      </c>
      <c r="AK416" s="68"/>
      <c r="AL416" s="68">
        <v>2</v>
      </c>
      <c r="AM416" s="68"/>
      <c r="AN416" s="68">
        <v>1</v>
      </c>
      <c r="AO416" s="68"/>
      <c r="AP416" s="68">
        <v>1</v>
      </c>
      <c r="AQ416" s="68"/>
      <c r="AR416" s="68">
        <v>0</v>
      </c>
      <c r="AS416" s="68">
        <v>0</v>
      </c>
      <c r="AT416" s="68">
        <v>0</v>
      </c>
      <c r="AU416" s="68">
        <v>0</v>
      </c>
      <c r="AV416" s="68">
        <v>0</v>
      </c>
      <c r="AW416" s="68">
        <v>0</v>
      </c>
      <c r="AX416" s="146">
        <f t="shared" si="55"/>
        <v>5565</v>
      </c>
      <c r="AY416" s="146">
        <f t="shared" si="53"/>
        <v>0</v>
      </c>
      <c r="AZ416" s="64" t="s">
        <v>77</v>
      </c>
      <c r="BA416" s="64" t="s">
        <v>77</v>
      </c>
      <c r="BB416" s="15" t="s">
        <v>77</v>
      </c>
      <c r="BC416" s="74">
        <v>412</v>
      </c>
      <c r="BD416" s="70"/>
      <c r="BE416" s="67"/>
      <c r="BF416" s="71"/>
      <c r="BG416" s="15"/>
      <c r="BH416" s="72" t="s">
        <v>77</v>
      </c>
      <c r="BI416" s="72" t="s">
        <v>77</v>
      </c>
    </row>
    <row r="417" spans="1:61" s="16" customFormat="1" ht="42" customHeight="1" x14ac:dyDescent="0.3">
      <c r="A417" s="200">
        <v>413</v>
      </c>
      <c r="B417" s="62">
        <v>244828</v>
      </c>
      <c r="C417" s="62">
        <v>413</v>
      </c>
      <c r="D417" s="63">
        <v>46040</v>
      </c>
      <c r="E417" s="63">
        <f t="shared" si="51"/>
        <v>46039</v>
      </c>
      <c r="F417" s="63">
        <f t="shared" si="54"/>
        <v>46050</v>
      </c>
      <c r="G417" s="63">
        <v>46130</v>
      </c>
      <c r="H417" s="63">
        <f t="shared" ca="1" si="57"/>
        <v>46277</v>
      </c>
      <c r="I417" s="63" t="s">
        <v>349</v>
      </c>
      <c r="J417" s="64" t="s">
        <v>927</v>
      </c>
      <c r="K417" s="65">
        <f t="shared" si="56"/>
        <v>80</v>
      </c>
      <c r="L417" s="65">
        <v>1191869</v>
      </c>
      <c r="M417" s="64" t="s">
        <v>77</v>
      </c>
      <c r="N417" s="64">
        <v>816010</v>
      </c>
      <c r="O417" s="253" t="s">
        <v>1462</v>
      </c>
      <c r="P417" s="103">
        <v>46064</v>
      </c>
      <c r="Q417" s="103">
        <v>46240</v>
      </c>
      <c r="R417" s="73" t="s">
        <v>211</v>
      </c>
      <c r="S417" s="66" t="s">
        <v>928</v>
      </c>
      <c r="T417" s="67">
        <v>1</v>
      </c>
      <c r="U417" s="75" t="s">
        <v>81</v>
      </c>
      <c r="V417" s="68">
        <v>90</v>
      </c>
      <c r="W417" s="68"/>
      <c r="X417" s="69">
        <v>1</v>
      </c>
      <c r="Y417" s="68"/>
      <c r="Z417" s="68">
        <v>0</v>
      </c>
      <c r="AA417" s="68">
        <v>0</v>
      </c>
      <c r="AB417" s="68">
        <v>0</v>
      </c>
      <c r="AC417" s="68"/>
      <c r="AD417" s="68">
        <v>0</v>
      </c>
      <c r="AE417" s="68">
        <v>0</v>
      </c>
      <c r="AF417" s="68">
        <v>0</v>
      </c>
      <c r="AG417" s="68">
        <v>0</v>
      </c>
      <c r="AH417" s="68">
        <v>1</v>
      </c>
      <c r="AI417" s="68"/>
      <c r="AJ417" s="68">
        <v>0</v>
      </c>
      <c r="AK417" s="68">
        <v>0</v>
      </c>
      <c r="AL417" s="68">
        <v>2</v>
      </c>
      <c r="AM417" s="68"/>
      <c r="AN417" s="68">
        <v>1</v>
      </c>
      <c r="AO417" s="68"/>
      <c r="AP417" s="68">
        <v>1</v>
      </c>
      <c r="AQ417" s="68"/>
      <c r="AR417" s="68">
        <v>0</v>
      </c>
      <c r="AS417" s="68">
        <v>0</v>
      </c>
      <c r="AT417" s="68">
        <v>0</v>
      </c>
      <c r="AU417" s="68">
        <v>0</v>
      </c>
      <c r="AV417" s="68">
        <v>0</v>
      </c>
      <c r="AW417" s="68">
        <v>0</v>
      </c>
      <c r="AX417" s="146">
        <f t="shared" si="55"/>
        <v>7520</v>
      </c>
      <c r="AY417" s="146">
        <f t="shared" si="53"/>
        <v>0</v>
      </c>
      <c r="AZ417" s="64" t="s">
        <v>77</v>
      </c>
      <c r="BA417" s="64" t="s">
        <v>77</v>
      </c>
      <c r="BB417" s="15" t="s">
        <v>77</v>
      </c>
      <c r="BC417" s="74">
        <v>413</v>
      </c>
      <c r="BD417" s="70"/>
      <c r="BE417" s="67"/>
      <c r="BF417" s="71"/>
      <c r="BG417" s="15"/>
      <c r="BH417" s="72" t="s">
        <v>77</v>
      </c>
      <c r="BI417" s="72" t="s">
        <v>77</v>
      </c>
    </row>
    <row r="418" spans="1:61" s="16" customFormat="1" ht="42" customHeight="1" x14ac:dyDescent="0.3">
      <c r="A418" s="200">
        <v>414</v>
      </c>
      <c r="B418" s="62">
        <v>244830</v>
      </c>
      <c r="C418" s="62">
        <v>414</v>
      </c>
      <c r="D418" s="63">
        <v>46040</v>
      </c>
      <c r="E418" s="63">
        <f t="shared" si="51"/>
        <v>46039</v>
      </c>
      <c r="F418" s="63">
        <f t="shared" si="54"/>
        <v>46050</v>
      </c>
      <c r="G418" s="63">
        <v>46130</v>
      </c>
      <c r="H418" s="63">
        <f t="shared" ca="1" si="57"/>
        <v>46277</v>
      </c>
      <c r="I418" s="63" t="s">
        <v>349</v>
      </c>
      <c r="J418" s="64" t="s">
        <v>929</v>
      </c>
      <c r="K418" s="65">
        <f t="shared" si="56"/>
        <v>80</v>
      </c>
      <c r="L418" s="65">
        <v>1191888</v>
      </c>
      <c r="M418" s="64" t="s">
        <v>77</v>
      </c>
      <c r="N418" s="64">
        <v>816534</v>
      </c>
      <c r="O418" s="253" t="s">
        <v>1462</v>
      </c>
      <c r="P418" s="103">
        <v>46092</v>
      </c>
      <c r="Q418" s="103">
        <v>46240</v>
      </c>
      <c r="R418" s="73" t="s">
        <v>211</v>
      </c>
      <c r="S418" s="66" t="s">
        <v>930</v>
      </c>
      <c r="T418" s="67">
        <v>1</v>
      </c>
      <c r="U418" s="75" t="s">
        <v>81</v>
      </c>
      <c r="V418" s="68">
        <v>30</v>
      </c>
      <c r="W418" s="68"/>
      <c r="X418" s="69">
        <v>0</v>
      </c>
      <c r="Y418" s="68">
        <v>0</v>
      </c>
      <c r="Z418" s="68">
        <v>0</v>
      </c>
      <c r="AA418" s="68">
        <v>0</v>
      </c>
      <c r="AB418" s="68">
        <v>0</v>
      </c>
      <c r="AC418" s="68"/>
      <c r="AD418" s="68">
        <v>0</v>
      </c>
      <c r="AE418" s="68">
        <v>0</v>
      </c>
      <c r="AF418" s="68">
        <v>0</v>
      </c>
      <c r="AG418" s="68">
        <v>0</v>
      </c>
      <c r="AH418" s="68">
        <v>0</v>
      </c>
      <c r="AI418" s="68">
        <v>0</v>
      </c>
      <c r="AJ418" s="68">
        <v>1</v>
      </c>
      <c r="AK418" s="68"/>
      <c r="AL418" s="68">
        <v>2</v>
      </c>
      <c r="AM418" s="68"/>
      <c r="AN418" s="68">
        <v>1</v>
      </c>
      <c r="AO418" s="68"/>
      <c r="AP418" s="68">
        <v>1</v>
      </c>
      <c r="AQ418" s="68"/>
      <c r="AR418" s="68">
        <v>0</v>
      </c>
      <c r="AS418" s="68">
        <v>0</v>
      </c>
      <c r="AT418" s="68">
        <v>0</v>
      </c>
      <c r="AU418" s="68">
        <v>0</v>
      </c>
      <c r="AV418" s="68">
        <v>0</v>
      </c>
      <c r="AW418" s="68">
        <v>0</v>
      </c>
      <c r="AX418" s="146">
        <f t="shared" si="55"/>
        <v>4045</v>
      </c>
      <c r="AY418" s="146">
        <f t="shared" si="53"/>
        <v>0</v>
      </c>
      <c r="AZ418" s="64" t="s">
        <v>77</v>
      </c>
      <c r="BA418" s="64" t="s">
        <v>77</v>
      </c>
      <c r="BB418" s="15" t="s">
        <v>77</v>
      </c>
      <c r="BC418" s="74">
        <v>414</v>
      </c>
      <c r="BD418" s="70"/>
      <c r="BE418" s="67"/>
      <c r="BF418" s="71"/>
      <c r="BG418" s="15"/>
      <c r="BH418" s="72" t="s">
        <v>77</v>
      </c>
      <c r="BI418" s="72" t="s">
        <v>77</v>
      </c>
    </row>
    <row r="419" spans="1:61" s="16" customFormat="1" ht="42" customHeight="1" x14ac:dyDescent="0.3">
      <c r="A419" s="200">
        <v>415</v>
      </c>
      <c r="B419" s="62">
        <v>244833</v>
      </c>
      <c r="C419" s="62">
        <v>415</v>
      </c>
      <c r="D419" s="63">
        <v>46040</v>
      </c>
      <c r="E419" s="63">
        <f t="shared" si="51"/>
        <v>46039</v>
      </c>
      <c r="F419" s="63">
        <f t="shared" si="54"/>
        <v>46050</v>
      </c>
      <c r="G419" s="63">
        <v>46130</v>
      </c>
      <c r="H419" s="63">
        <f t="shared" ca="1" si="57"/>
        <v>46277</v>
      </c>
      <c r="I419" s="63" t="s">
        <v>349</v>
      </c>
      <c r="J419" s="64" t="s">
        <v>931</v>
      </c>
      <c r="K419" s="65">
        <f t="shared" si="56"/>
        <v>80</v>
      </c>
      <c r="L419" s="65">
        <v>1191927</v>
      </c>
      <c r="M419" s="64" t="s">
        <v>77</v>
      </c>
      <c r="N419" s="64">
        <v>816010</v>
      </c>
      <c r="O419" s="253" t="s">
        <v>1462</v>
      </c>
      <c r="P419" s="103">
        <v>46064</v>
      </c>
      <c r="Q419" s="103">
        <v>46240</v>
      </c>
      <c r="R419" s="73" t="s">
        <v>211</v>
      </c>
      <c r="S419" s="66" t="s">
        <v>932</v>
      </c>
      <c r="T419" s="67">
        <v>1</v>
      </c>
      <c r="U419" s="75" t="s">
        <v>81</v>
      </c>
      <c r="V419" s="68">
        <v>15</v>
      </c>
      <c r="W419" s="68"/>
      <c r="X419" s="69">
        <v>1</v>
      </c>
      <c r="Y419" s="68"/>
      <c r="Z419" s="68">
        <v>0</v>
      </c>
      <c r="AA419" s="68">
        <v>0</v>
      </c>
      <c r="AB419" s="68">
        <v>0</v>
      </c>
      <c r="AC419" s="68"/>
      <c r="AD419" s="68">
        <v>0</v>
      </c>
      <c r="AE419" s="68">
        <v>0</v>
      </c>
      <c r="AF419" s="68">
        <v>0</v>
      </c>
      <c r="AG419" s="68">
        <v>0</v>
      </c>
      <c r="AH419" s="68">
        <v>0</v>
      </c>
      <c r="AI419" s="68">
        <v>0</v>
      </c>
      <c r="AJ419" s="68">
        <v>1</v>
      </c>
      <c r="AK419" s="68"/>
      <c r="AL419" s="68">
        <v>1</v>
      </c>
      <c r="AM419" s="68"/>
      <c r="AN419" s="68">
        <v>1</v>
      </c>
      <c r="AO419" s="68"/>
      <c r="AP419" s="68">
        <v>1</v>
      </c>
      <c r="AQ419" s="68"/>
      <c r="AR419" s="68">
        <v>0</v>
      </c>
      <c r="AS419" s="68">
        <v>0</v>
      </c>
      <c r="AT419" s="68">
        <v>0</v>
      </c>
      <c r="AU419" s="68">
        <v>0</v>
      </c>
      <c r="AV419" s="68">
        <v>0</v>
      </c>
      <c r="AW419" s="68">
        <v>0</v>
      </c>
      <c r="AX419" s="146">
        <f t="shared" si="55"/>
        <v>2635</v>
      </c>
      <c r="AY419" s="146">
        <f t="shared" si="53"/>
        <v>0</v>
      </c>
      <c r="AZ419" s="64" t="s">
        <v>77</v>
      </c>
      <c r="BA419" s="64" t="s">
        <v>77</v>
      </c>
      <c r="BB419" s="15" t="s">
        <v>77</v>
      </c>
      <c r="BC419" s="74">
        <v>415</v>
      </c>
      <c r="BD419" s="70"/>
      <c r="BE419" s="67"/>
      <c r="BF419" s="71"/>
      <c r="BG419" s="15"/>
      <c r="BH419" s="72" t="s">
        <v>77</v>
      </c>
      <c r="BI419" s="72" t="s">
        <v>77</v>
      </c>
    </row>
    <row r="420" spans="1:61" s="16" customFormat="1" ht="44.1" customHeight="1" x14ac:dyDescent="0.3">
      <c r="A420" s="200">
        <v>416</v>
      </c>
      <c r="B420" s="110">
        <v>244837</v>
      </c>
      <c r="C420" s="110">
        <v>416</v>
      </c>
      <c r="D420" s="111">
        <v>46040</v>
      </c>
      <c r="E420" s="111">
        <f t="shared" si="51"/>
        <v>46039</v>
      </c>
      <c r="F420" s="111">
        <f t="shared" si="54"/>
        <v>46050</v>
      </c>
      <c r="G420" s="111">
        <v>46130</v>
      </c>
      <c r="H420" s="111">
        <f t="shared" ca="1" si="57"/>
        <v>46277</v>
      </c>
      <c r="I420" s="111" t="s">
        <v>349</v>
      </c>
      <c r="J420" s="112" t="s">
        <v>933</v>
      </c>
      <c r="K420" s="113">
        <f t="shared" si="56"/>
        <v>80</v>
      </c>
      <c r="L420" s="113">
        <v>1191939</v>
      </c>
      <c r="M420" s="114" t="s">
        <v>751</v>
      </c>
      <c r="N420" s="112" t="s">
        <v>251</v>
      </c>
      <c r="O420" s="109" t="s">
        <v>751</v>
      </c>
      <c r="P420" s="115" t="s">
        <v>77</v>
      </c>
      <c r="Q420" s="115" t="s">
        <v>77</v>
      </c>
      <c r="R420" s="131" t="s">
        <v>211</v>
      </c>
      <c r="S420" s="117" t="s">
        <v>934</v>
      </c>
      <c r="T420" s="118">
        <v>1</v>
      </c>
      <c r="U420" s="132" t="s">
        <v>81</v>
      </c>
      <c r="V420" s="119">
        <v>12</v>
      </c>
      <c r="W420" s="119"/>
      <c r="X420" s="120">
        <v>1</v>
      </c>
      <c r="Y420" s="119"/>
      <c r="Z420" s="119">
        <v>0</v>
      </c>
      <c r="AA420" s="119">
        <v>0</v>
      </c>
      <c r="AB420" s="119">
        <v>0</v>
      </c>
      <c r="AC420" s="119"/>
      <c r="AD420" s="119">
        <v>0</v>
      </c>
      <c r="AE420" s="119">
        <v>0</v>
      </c>
      <c r="AF420" s="119">
        <v>0</v>
      </c>
      <c r="AG420" s="119">
        <v>0</v>
      </c>
      <c r="AH420" s="119">
        <v>1</v>
      </c>
      <c r="AI420" s="119"/>
      <c r="AJ420" s="119">
        <v>0</v>
      </c>
      <c r="AK420" s="119">
        <v>0</v>
      </c>
      <c r="AL420" s="119">
        <v>1</v>
      </c>
      <c r="AM420" s="119"/>
      <c r="AN420" s="119">
        <v>2</v>
      </c>
      <c r="AO420" s="119"/>
      <c r="AP420" s="119">
        <v>1</v>
      </c>
      <c r="AQ420" s="119"/>
      <c r="AR420" s="119">
        <v>0</v>
      </c>
      <c r="AS420" s="119">
        <v>0</v>
      </c>
      <c r="AT420" s="119">
        <v>0</v>
      </c>
      <c r="AU420" s="119">
        <v>0</v>
      </c>
      <c r="AV420" s="119">
        <v>0</v>
      </c>
      <c r="AW420" s="119">
        <v>0</v>
      </c>
      <c r="AX420" s="146">
        <f t="shared" si="55"/>
        <v>2310</v>
      </c>
      <c r="AY420" s="146">
        <f t="shared" si="53"/>
        <v>0</v>
      </c>
      <c r="AZ420" s="112" t="s">
        <v>77</v>
      </c>
      <c r="BA420" s="112" t="s">
        <v>77</v>
      </c>
      <c r="BB420" s="109" t="s">
        <v>77</v>
      </c>
      <c r="BC420" s="133">
        <v>416</v>
      </c>
      <c r="BD420" s="122"/>
      <c r="BE420" s="118"/>
      <c r="BF420" s="123"/>
      <c r="BG420" s="109"/>
      <c r="BH420" s="125" t="s">
        <v>77</v>
      </c>
      <c r="BI420" s="125" t="s">
        <v>77</v>
      </c>
    </row>
    <row r="421" spans="1:61" s="16" customFormat="1" ht="42" customHeight="1" x14ac:dyDescent="0.3">
      <c r="A421" s="200">
        <v>417</v>
      </c>
      <c r="B421" s="62">
        <v>244841</v>
      </c>
      <c r="C421" s="62">
        <v>417</v>
      </c>
      <c r="D421" s="63">
        <v>46040</v>
      </c>
      <c r="E421" s="63">
        <f t="shared" si="51"/>
        <v>46039</v>
      </c>
      <c r="F421" s="63">
        <f t="shared" si="54"/>
        <v>46050</v>
      </c>
      <c r="G421" s="63">
        <v>46130</v>
      </c>
      <c r="H421" s="63">
        <f t="shared" ca="1" si="57"/>
        <v>46277</v>
      </c>
      <c r="I421" s="63" t="s">
        <v>321</v>
      </c>
      <c r="J421" s="64" t="s">
        <v>935</v>
      </c>
      <c r="K421" s="65">
        <f t="shared" si="56"/>
        <v>80</v>
      </c>
      <c r="L421" s="65">
        <v>1191949</v>
      </c>
      <c r="M421" s="64" t="s">
        <v>77</v>
      </c>
      <c r="N421" s="64">
        <v>815802</v>
      </c>
      <c r="O421" s="253" t="s">
        <v>1462</v>
      </c>
      <c r="P421" s="103">
        <v>46064</v>
      </c>
      <c r="Q421" s="103">
        <v>46233</v>
      </c>
      <c r="R421" s="73" t="s">
        <v>211</v>
      </c>
      <c r="S421" s="66" t="s">
        <v>936</v>
      </c>
      <c r="T421" s="67">
        <v>1</v>
      </c>
      <c r="U421" s="75" t="s">
        <v>937</v>
      </c>
      <c r="V421" s="68">
        <v>35</v>
      </c>
      <c r="W421" s="68"/>
      <c r="X421" s="69">
        <v>0</v>
      </c>
      <c r="Y421" s="68">
        <v>0</v>
      </c>
      <c r="Z421" s="68">
        <v>0</v>
      </c>
      <c r="AA421" s="68">
        <v>0</v>
      </c>
      <c r="AB421" s="68">
        <v>0</v>
      </c>
      <c r="AC421" s="68"/>
      <c r="AD421" s="68">
        <v>0</v>
      </c>
      <c r="AE421" s="68">
        <v>0</v>
      </c>
      <c r="AF421" s="68">
        <v>0</v>
      </c>
      <c r="AG421" s="68">
        <v>0</v>
      </c>
      <c r="AH421" s="68">
        <v>0</v>
      </c>
      <c r="AI421" s="68">
        <v>0</v>
      </c>
      <c r="AJ421" s="68">
        <v>0</v>
      </c>
      <c r="AK421" s="68">
        <v>0</v>
      </c>
      <c r="AL421" s="68">
        <v>1</v>
      </c>
      <c r="AM421" s="68"/>
      <c r="AN421" s="68">
        <v>1</v>
      </c>
      <c r="AO421" s="68"/>
      <c r="AP421" s="68">
        <v>1</v>
      </c>
      <c r="AQ421" s="68"/>
      <c r="AR421" s="68">
        <v>0</v>
      </c>
      <c r="AS421" s="68">
        <v>0</v>
      </c>
      <c r="AT421" s="68">
        <v>0</v>
      </c>
      <c r="AU421" s="68"/>
      <c r="AV421" s="68">
        <v>0</v>
      </c>
      <c r="AW421" s="68">
        <v>0</v>
      </c>
      <c r="AX421" s="146">
        <f>(V421*60)+(X421*80)+(Z421*38)+(AB421*57)+(AD421*75)+(AF421*155)+(AI421*170)+(AJ421*375)+(AL421*590)+(AN421*60)+(AP421*630)+(AR421*400)+(AT421*350)+(AV421*950)</f>
        <v>3380</v>
      </c>
      <c r="AY421" s="146"/>
      <c r="AZ421" s="64" t="s">
        <v>77</v>
      </c>
      <c r="BA421" s="64" t="s">
        <v>77</v>
      </c>
      <c r="BB421" s="15" t="s">
        <v>77</v>
      </c>
      <c r="BC421" s="74">
        <v>417</v>
      </c>
      <c r="BD421" s="70"/>
      <c r="BE421" s="67"/>
      <c r="BF421" s="71"/>
      <c r="BG421" s="15"/>
      <c r="BH421" s="72" t="s">
        <v>77</v>
      </c>
      <c r="BI421" s="72" t="s">
        <v>77</v>
      </c>
    </row>
    <row r="422" spans="1:61" s="16" customFormat="1" ht="42" hidden="1" customHeight="1" x14ac:dyDescent="0.3">
      <c r="A422" s="200">
        <v>418</v>
      </c>
      <c r="B422" s="138">
        <v>244842</v>
      </c>
      <c r="C422" s="138">
        <v>418</v>
      </c>
      <c r="D422" s="139">
        <v>46040</v>
      </c>
      <c r="E422" s="139">
        <f t="shared" si="51"/>
        <v>46039</v>
      </c>
      <c r="F422" s="139">
        <f t="shared" si="54"/>
        <v>46050</v>
      </c>
      <c r="G422" s="139">
        <v>46130</v>
      </c>
      <c r="H422" s="139">
        <v>46209</v>
      </c>
      <c r="I422" s="139" t="s">
        <v>321</v>
      </c>
      <c r="J422" s="140" t="s">
        <v>938</v>
      </c>
      <c r="K422" s="141">
        <f t="shared" si="56"/>
        <v>80</v>
      </c>
      <c r="L422" s="141">
        <v>1191951</v>
      </c>
      <c r="M422" s="140" t="s">
        <v>15</v>
      </c>
      <c r="N422" s="140">
        <v>815802</v>
      </c>
      <c r="O422" s="140" t="s">
        <v>246</v>
      </c>
      <c r="P422" s="143">
        <v>46064</v>
      </c>
      <c r="Q422" s="143">
        <v>46233</v>
      </c>
      <c r="R422" s="185" t="s">
        <v>211</v>
      </c>
      <c r="S422" s="144" t="s">
        <v>939</v>
      </c>
      <c r="T422" s="145">
        <v>1</v>
      </c>
      <c r="U422" s="186" t="s">
        <v>937</v>
      </c>
      <c r="V422" s="146">
        <v>52</v>
      </c>
      <c r="W422" s="146">
        <v>52</v>
      </c>
      <c r="X422" s="147">
        <v>0</v>
      </c>
      <c r="Y422" s="146">
        <v>0</v>
      </c>
      <c r="Z422" s="146">
        <v>0</v>
      </c>
      <c r="AA422" s="146">
        <v>0</v>
      </c>
      <c r="AB422" s="146">
        <v>45</v>
      </c>
      <c r="AC422" s="146">
        <v>45</v>
      </c>
      <c r="AD422" s="146">
        <v>0</v>
      </c>
      <c r="AE422" s="146">
        <v>0</v>
      </c>
      <c r="AF422" s="146">
        <v>0</v>
      </c>
      <c r="AG422" s="146">
        <v>0</v>
      </c>
      <c r="AH422" s="146">
        <v>0</v>
      </c>
      <c r="AI422" s="146">
        <v>0</v>
      </c>
      <c r="AJ422" s="146">
        <v>0</v>
      </c>
      <c r="AK422" s="146">
        <v>0</v>
      </c>
      <c r="AL422" s="146">
        <v>0</v>
      </c>
      <c r="AM422" s="146">
        <v>0</v>
      </c>
      <c r="AN422" s="146">
        <v>1</v>
      </c>
      <c r="AO422" s="146">
        <v>1</v>
      </c>
      <c r="AP422" s="146">
        <v>1</v>
      </c>
      <c r="AQ422" s="146">
        <v>1</v>
      </c>
      <c r="AR422" s="146">
        <v>0</v>
      </c>
      <c r="AS422" s="146">
        <v>0</v>
      </c>
      <c r="AT422" s="146">
        <v>0</v>
      </c>
      <c r="AU422" s="146">
        <v>0</v>
      </c>
      <c r="AV422" s="146">
        <v>0</v>
      </c>
      <c r="AW422" s="146">
        <v>0</v>
      </c>
      <c r="AX422" s="146">
        <f t="shared" ref="AX422:AX453" si="58">(V422*60)+(X422*80)+(Z422*38)+(AB422*57)+(AD422*75)+(AF422*155)+(AH422*170)+(AJ422*375)+(AL422*590)+(AN422*60)+(AP422*630)+(AR422*400)+(AT422*350)+(AV422*950)</f>
        <v>6375</v>
      </c>
      <c r="AY422" s="146">
        <f t="shared" ref="AY422:AY453" si="59">(W422*60)+(Y422*80)+(AA422*38)+(AC422*57)+(AE422*75)+(AG422*155)+(AI422*170)+(AK422*375)+(AM422*590)+(AO422*60)+(AQ422*630)+(AS422*400)+(AU422*350)+(AW422*950)</f>
        <v>6375</v>
      </c>
      <c r="AZ422" s="140" t="s">
        <v>562</v>
      </c>
      <c r="BA422" s="140" t="s">
        <v>562</v>
      </c>
      <c r="BB422" s="137">
        <v>13</v>
      </c>
      <c r="BC422" s="187">
        <v>418</v>
      </c>
      <c r="BD422" s="149"/>
      <c r="BE422" s="145"/>
      <c r="BF422" s="150"/>
      <c r="BG422" s="188">
        <v>46208</v>
      </c>
      <c r="BH422" s="153" t="s">
        <v>15</v>
      </c>
      <c r="BI422" s="153" t="s">
        <v>562</v>
      </c>
    </row>
    <row r="423" spans="1:61" s="16" customFormat="1" ht="42" hidden="1" customHeight="1" x14ac:dyDescent="0.3">
      <c r="A423" s="200">
        <v>419</v>
      </c>
      <c r="B423" s="138">
        <v>244843</v>
      </c>
      <c r="C423" s="138">
        <v>419</v>
      </c>
      <c r="D423" s="139">
        <v>46040</v>
      </c>
      <c r="E423" s="139">
        <f t="shared" si="51"/>
        <v>46039</v>
      </c>
      <c r="F423" s="139">
        <f t="shared" si="54"/>
        <v>46050</v>
      </c>
      <c r="G423" s="139">
        <v>46130</v>
      </c>
      <c r="H423" s="139">
        <v>46210</v>
      </c>
      <c r="I423" s="139" t="s">
        <v>321</v>
      </c>
      <c r="J423" s="140" t="s">
        <v>940</v>
      </c>
      <c r="K423" s="141">
        <f t="shared" si="56"/>
        <v>80</v>
      </c>
      <c r="L423" s="141">
        <v>1191952</v>
      </c>
      <c r="M423" s="140" t="s">
        <v>15</v>
      </c>
      <c r="N423" s="140">
        <v>815575</v>
      </c>
      <c r="O423" s="140" t="s">
        <v>246</v>
      </c>
      <c r="P423" s="143">
        <v>46072</v>
      </c>
      <c r="Q423" s="143">
        <v>46233</v>
      </c>
      <c r="R423" s="185" t="s">
        <v>1233</v>
      </c>
      <c r="S423" s="144" t="s">
        <v>941</v>
      </c>
      <c r="T423" s="145">
        <v>1</v>
      </c>
      <c r="U423" s="186" t="s">
        <v>82</v>
      </c>
      <c r="V423" s="146">
        <v>238</v>
      </c>
      <c r="W423" s="146">
        <v>238</v>
      </c>
      <c r="X423" s="147">
        <v>0</v>
      </c>
      <c r="Y423" s="146">
        <v>0</v>
      </c>
      <c r="Z423" s="146">
        <v>0</v>
      </c>
      <c r="AA423" s="146">
        <v>0</v>
      </c>
      <c r="AB423" s="146">
        <v>117</v>
      </c>
      <c r="AC423" s="146">
        <v>117</v>
      </c>
      <c r="AD423" s="146">
        <v>8</v>
      </c>
      <c r="AE423" s="146">
        <v>8</v>
      </c>
      <c r="AF423" s="146">
        <v>0</v>
      </c>
      <c r="AG423" s="146">
        <v>0</v>
      </c>
      <c r="AH423" s="146">
        <v>1</v>
      </c>
      <c r="AI423" s="146">
        <v>1</v>
      </c>
      <c r="AJ423" s="146">
        <v>0</v>
      </c>
      <c r="AK423" s="146">
        <v>0</v>
      </c>
      <c r="AL423" s="146">
        <v>2</v>
      </c>
      <c r="AM423" s="146">
        <v>2</v>
      </c>
      <c r="AN423" s="146">
        <v>4</v>
      </c>
      <c r="AO423" s="146">
        <v>4</v>
      </c>
      <c r="AP423" s="146">
        <v>3</v>
      </c>
      <c r="AQ423" s="146">
        <v>3</v>
      </c>
      <c r="AR423" s="146">
        <v>0</v>
      </c>
      <c r="AS423" s="146">
        <v>0</v>
      </c>
      <c r="AT423" s="146">
        <v>0</v>
      </c>
      <c r="AU423" s="146"/>
      <c r="AV423" s="146">
        <v>0</v>
      </c>
      <c r="AW423" s="146">
        <v>0</v>
      </c>
      <c r="AX423" s="146">
        <f t="shared" si="58"/>
        <v>25029</v>
      </c>
      <c r="AY423" s="146">
        <f t="shared" si="59"/>
        <v>25029</v>
      </c>
      <c r="AZ423" s="140" t="s">
        <v>562</v>
      </c>
      <c r="BA423" s="140" t="s">
        <v>562</v>
      </c>
      <c r="BB423" s="137">
        <v>13</v>
      </c>
      <c r="BC423" s="187">
        <v>419</v>
      </c>
      <c r="BD423" s="149"/>
      <c r="BE423" s="145"/>
      <c r="BF423" s="150"/>
      <c r="BG423" s="188">
        <v>46174</v>
      </c>
      <c r="BH423" s="153" t="s">
        <v>535</v>
      </c>
      <c r="BI423" s="153" t="s">
        <v>562</v>
      </c>
    </row>
    <row r="424" spans="1:61" s="16" customFormat="1" ht="42" customHeight="1" x14ac:dyDescent="0.3">
      <c r="A424" s="200">
        <v>420</v>
      </c>
      <c r="B424" s="62">
        <v>244873</v>
      </c>
      <c r="C424" s="62">
        <v>420</v>
      </c>
      <c r="D424" s="63">
        <v>46041</v>
      </c>
      <c r="E424" s="63">
        <f t="shared" si="51"/>
        <v>46040</v>
      </c>
      <c r="F424" s="63">
        <f t="shared" si="54"/>
        <v>46051</v>
      </c>
      <c r="G424" s="63">
        <v>46131</v>
      </c>
      <c r="H424" s="63">
        <f ca="1">TODAY()</f>
        <v>46277</v>
      </c>
      <c r="I424" s="63" t="s">
        <v>349</v>
      </c>
      <c r="J424" s="64" t="s">
        <v>942</v>
      </c>
      <c r="K424" s="65">
        <f t="shared" si="56"/>
        <v>80</v>
      </c>
      <c r="L424" s="65">
        <v>1192214</v>
      </c>
      <c r="M424" s="64" t="s">
        <v>77</v>
      </c>
      <c r="N424" s="64">
        <v>817030</v>
      </c>
      <c r="O424" s="253" t="s">
        <v>1462</v>
      </c>
      <c r="P424" s="103">
        <v>46075</v>
      </c>
      <c r="Q424" s="103">
        <v>46247</v>
      </c>
      <c r="R424" s="73" t="s">
        <v>211</v>
      </c>
      <c r="S424" s="66" t="s">
        <v>943</v>
      </c>
      <c r="T424" s="67">
        <v>1</v>
      </c>
      <c r="U424" s="75" t="s">
        <v>122</v>
      </c>
      <c r="V424" s="68">
        <v>56</v>
      </c>
      <c r="W424" s="68"/>
      <c r="X424" s="69">
        <v>1</v>
      </c>
      <c r="Y424" s="68"/>
      <c r="Z424" s="68">
        <v>0</v>
      </c>
      <c r="AA424" s="68">
        <v>0</v>
      </c>
      <c r="AB424" s="68">
        <v>0</v>
      </c>
      <c r="AC424" s="68"/>
      <c r="AD424" s="68">
        <v>0</v>
      </c>
      <c r="AE424" s="68">
        <v>0</v>
      </c>
      <c r="AF424" s="68">
        <v>0</v>
      </c>
      <c r="AG424" s="68">
        <v>0</v>
      </c>
      <c r="AH424" s="68">
        <v>0</v>
      </c>
      <c r="AI424" s="68">
        <v>0</v>
      </c>
      <c r="AJ424" s="68">
        <v>1</v>
      </c>
      <c r="AK424" s="68"/>
      <c r="AL424" s="68">
        <v>2</v>
      </c>
      <c r="AM424" s="68"/>
      <c r="AN424" s="68">
        <v>1</v>
      </c>
      <c r="AO424" s="68"/>
      <c r="AP424" s="68">
        <v>1</v>
      </c>
      <c r="AQ424" s="68"/>
      <c r="AR424" s="68">
        <v>0</v>
      </c>
      <c r="AS424" s="68">
        <v>0</v>
      </c>
      <c r="AT424" s="68">
        <v>0</v>
      </c>
      <c r="AU424" s="68">
        <v>0</v>
      </c>
      <c r="AV424" s="68">
        <v>0</v>
      </c>
      <c r="AW424" s="68">
        <v>0</v>
      </c>
      <c r="AX424" s="146">
        <f t="shared" si="58"/>
        <v>5685</v>
      </c>
      <c r="AY424" s="146">
        <f t="shared" si="59"/>
        <v>0</v>
      </c>
      <c r="AZ424" s="64" t="s">
        <v>77</v>
      </c>
      <c r="BA424" s="64" t="s">
        <v>77</v>
      </c>
      <c r="BB424" s="15" t="s">
        <v>77</v>
      </c>
      <c r="BC424" s="74">
        <v>420</v>
      </c>
      <c r="BD424" s="70"/>
      <c r="BE424" s="67"/>
      <c r="BF424" s="71"/>
      <c r="BG424" s="15"/>
      <c r="BH424" s="72" t="s">
        <v>77</v>
      </c>
      <c r="BI424" s="72" t="s">
        <v>77</v>
      </c>
    </row>
    <row r="425" spans="1:61" s="16" customFormat="1" ht="42" customHeight="1" x14ac:dyDescent="0.3">
      <c r="A425" s="200">
        <v>421</v>
      </c>
      <c r="B425" s="163">
        <v>244911</v>
      </c>
      <c r="C425" s="163">
        <v>421</v>
      </c>
      <c r="D425" s="164">
        <v>46041</v>
      </c>
      <c r="E425" s="164">
        <f t="shared" si="51"/>
        <v>46040</v>
      </c>
      <c r="F425" s="164">
        <f t="shared" si="54"/>
        <v>46051</v>
      </c>
      <c r="G425" s="164">
        <v>46131</v>
      </c>
      <c r="H425" s="164">
        <v>46240</v>
      </c>
      <c r="I425" s="164" t="s">
        <v>349</v>
      </c>
      <c r="J425" s="165" t="s">
        <v>944</v>
      </c>
      <c r="K425" s="166">
        <f t="shared" si="56"/>
        <v>80</v>
      </c>
      <c r="L425" s="166">
        <v>1192239</v>
      </c>
      <c r="M425" s="165" t="s">
        <v>15</v>
      </c>
      <c r="N425" s="165">
        <v>819880</v>
      </c>
      <c r="O425" s="165" t="s">
        <v>246</v>
      </c>
      <c r="P425" s="167">
        <v>46118</v>
      </c>
      <c r="Q425" s="167">
        <v>46282</v>
      </c>
      <c r="R425" s="179" t="s">
        <v>211</v>
      </c>
      <c r="S425" s="168" t="s">
        <v>945</v>
      </c>
      <c r="T425" s="169">
        <v>1</v>
      </c>
      <c r="U425" s="180" t="s">
        <v>82</v>
      </c>
      <c r="V425" s="170">
        <v>97</v>
      </c>
      <c r="W425" s="170">
        <v>97</v>
      </c>
      <c r="X425" s="171">
        <v>0</v>
      </c>
      <c r="Y425" s="170">
        <v>0</v>
      </c>
      <c r="Z425" s="170">
        <v>0</v>
      </c>
      <c r="AA425" s="170">
        <v>0</v>
      </c>
      <c r="AB425" s="170">
        <v>50</v>
      </c>
      <c r="AC425" s="170">
        <v>50</v>
      </c>
      <c r="AD425" s="170">
        <v>0</v>
      </c>
      <c r="AE425" s="170">
        <v>0</v>
      </c>
      <c r="AF425" s="170">
        <v>0</v>
      </c>
      <c r="AG425" s="170">
        <v>0</v>
      </c>
      <c r="AH425" s="170">
        <v>1</v>
      </c>
      <c r="AI425" s="170">
        <v>1</v>
      </c>
      <c r="AJ425" s="170">
        <v>0</v>
      </c>
      <c r="AK425" s="170">
        <v>0</v>
      </c>
      <c r="AL425" s="170">
        <v>1</v>
      </c>
      <c r="AM425" s="170">
        <v>1</v>
      </c>
      <c r="AN425" s="170">
        <v>5</v>
      </c>
      <c r="AO425" s="170">
        <v>5</v>
      </c>
      <c r="AP425" s="170">
        <v>4</v>
      </c>
      <c r="AQ425" s="170">
        <v>4</v>
      </c>
      <c r="AR425" s="170">
        <v>0</v>
      </c>
      <c r="AS425" s="170">
        <v>0</v>
      </c>
      <c r="AT425" s="170">
        <v>0</v>
      </c>
      <c r="AU425" s="170">
        <v>0</v>
      </c>
      <c r="AV425" s="170">
        <v>0</v>
      </c>
      <c r="AW425" s="170">
        <v>0</v>
      </c>
      <c r="AX425" s="170">
        <f t="shared" si="58"/>
        <v>12250</v>
      </c>
      <c r="AY425" s="170">
        <f t="shared" si="59"/>
        <v>12250</v>
      </c>
      <c r="AZ425" s="165" t="s">
        <v>15</v>
      </c>
      <c r="BA425" s="165" t="s">
        <v>77</v>
      </c>
      <c r="BB425" s="162" t="s">
        <v>77</v>
      </c>
      <c r="BC425" s="181">
        <v>421</v>
      </c>
      <c r="BD425" s="173"/>
      <c r="BE425" s="169"/>
      <c r="BF425" s="174"/>
      <c r="BG425" s="178">
        <v>46237</v>
      </c>
      <c r="BH425" s="175" t="s">
        <v>77</v>
      </c>
      <c r="BI425" s="175" t="s">
        <v>77</v>
      </c>
    </row>
    <row r="426" spans="1:61" s="16" customFormat="1" ht="42" hidden="1" customHeight="1" x14ac:dyDescent="0.3">
      <c r="A426" s="200">
        <v>422</v>
      </c>
      <c r="B426" s="138">
        <v>244953</v>
      </c>
      <c r="C426" s="138">
        <v>422</v>
      </c>
      <c r="D426" s="139">
        <v>46041</v>
      </c>
      <c r="E426" s="139">
        <f t="shared" si="51"/>
        <v>46040</v>
      </c>
      <c r="F426" s="139">
        <f t="shared" si="54"/>
        <v>46051</v>
      </c>
      <c r="G426" s="139">
        <v>46131</v>
      </c>
      <c r="H426" s="139">
        <v>46222</v>
      </c>
      <c r="I426" s="139" t="s">
        <v>321</v>
      </c>
      <c r="J426" s="140" t="s">
        <v>946</v>
      </c>
      <c r="K426" s="141">
        <f t="shared" si="56"/>
        <v>80</v>
      </c>
      <c r="L426" s="141">
        <v>1192354</v>
      </c>
      <c r="M426" s="140" t="s">
        <v>15</v>
      </c>
      <c r="N426" s="140">
        <v>816323</v>
      </c>
      <c r="O426" s="140" t="s">
        <v>246</v>
      </c>
      <c r="P426" s="143">
        <v>46072</v>
      </c>
      <c r="Q426" s="143">
        <v>46247</v>
      </c>
      <c r="R426" s="185" t="s">
        <v>211</v>
      </c>
      <c r="S426" s="144" t="s">
        <v>947</v>
      </c>
      <c r="T426" s="145">
        <v>1</v>
      </c>
      <c r="U426" s="186" t="s">
        <v>82</v>
      </c>
      <c r="V426" s="146">
        <v>142</v>
      </c>
      <c r="W426" s="146">
        <v>142</v>
      </c>
      <c r="X426" s="147">
        <v>0</v>
      </c>
      <c r="Y426" s="146">
        <v>0</v>
      </c>
      <c r="Z426" s="146">
        <v>0</v>
      </c>
      <c r="AA426" s="146">
        <v>0</v>
      </c>
      <c r="AB426" s="146">
        <v>54</v>
      </c>
      <c r="AC426" s="146">
        <v>54</v>
      </c>
      <c r="AD426" s="146">
        <v>0</v>
      </c>
      <c r="AE426" s="146">
        <v>0</v>
      </c>
      <c r="AF426" s="146">
        <v>0</v>
      </c>
      <c r="AG426" s="146">
        <v>0</v>
      </c>
      <c r="AH426" s="146">
        <v>0</v>
      </c>
      <c r="AI426" s="146"/>
      <c r="AJ426" s="146">
        <v>0</v>
      </c>
      <c r="AK426" s="146">
        <v>0</v>
      </c>
      <c r="AL426" s="146">
        <v>0</v>
      </c>
      <c r="AM426" s="146">
        <v>0</v>
      </c>
      <c r="AN426" s="146">
        <v>1</v>
      </c>
      <c r="AO426" s="146">
        <v>1</v>
      </c>
      <c r="AP426" s="146">
        <v>1</v>
      </c>
      <c r="AQ426" s="146">
        <v>1</v>
      </c>
      <c r="AR426" s="146">
        <v>0</v>
      </c>
      <c r="AS426" s="146">
        <v>0</v>
      </c>
      <c r="AT426" s="146">
        <v>0</v>
      </c>
      <c r="AU426" s="146"/>
      <c r="AV426" s="146">
        <v>0</v>
      </c>
      <c r="AW426" s="146">
        <v>0</v>
      </c>
      <c r="AX426" s="146">
        <f t="shared" si="58"/>
        <v>12288</v>
      </c>
      <c r="AY426" s="146">
        <f t="shared" si="59"/>
        <v>12288</v>
      </c>
      <c r="AZ426" s="140" t="s">
        <v>562</v>
      </c>
      <c r="BA426" s="140" t="s">
        <v>562</v>
      </c>
      <c r="BB426" s="137">
        <v>13</v>
      </c>
      <c r="BC426" s="187">
        <v>422</v>
      </c>
      <c r="BD426" s="149"/>
      <c r="BE426" s="145"/>
      <c r="BF426" s="150"/>
      <c r="BG426" s="188">
        <v>46215</v>
      </c>
      <c r="BH426" s="153" t="s">
        <v>535</v>
      </c>
      <c r="BI426" s="153" t="s">
        <v>562</v>
      </c>
    </row>
    <row r="427" spans="1:61" s="16" customFormat="1" ht="42" hidden="1" customHeight="1" x14ac:dyDescent="0.3">
      <c r="A427" s="200">
        <v>423</v>
      </c>
      <c r="B427" s="138">
        <v>244954</v>
      </c>
      <c r="C427" s="138">
        <v>423</v>
      </c>
      <c r="D427" s="139">
        <v>46041</v>
      </c>
      <c r="E427" s="139">
        <f t="shared" si="51"/>
        <v>46040</v>
      </c>
      <c r="F427" s="139">
        <f t="shared" si="54"/>
        <v>46051</v>
      </c>
      <c r="G427" s="139">
        <v>46131</v>
      </c>
      <c r="H427" s="139">
        <v>46211</v>
      </c>
      <c r="I427" s="139" t="s">
        <v>321</v>
      </c>
      <c r="J427" s="140" t="s">
        <v>948</v>
      </c>
      <c r="K427" s="141">
        <f t="shared" si="56"/>
        <v>80</v>
      </c>
      <c r="L427" s="141">
        <v>1192355</v>
      </c>
      <c r="M427" s="140" t="s">
        <v>15</v>
      </c>
      <c r="N427" s="140">
        <v>816323</v>
      </c>
      <c r="O427" s="140" t="s">
        <v>246</v>
      </c>
      <c r="P427" s="143">
        <v>46072</v>
      </c>
      <c r="Q427" s="143">
        <v>46247</v>
      </c>
      <c r="R427" s="185" t="s">
        <v>211</v>
      </c>
      <c r="S427" s="144" t="s">
        <v>949</v>
      </c>
      <c r="T427" s="145">
        <v>1</v>
      </c>
      <c r="U427" s="186" t="s">
        <v>82</v>
      </c>
      <c r="V427" s="146">
        <v>55</v>
      </c>
      <c r="W427" s="146">
        <v>55</v>
      </c>
      <c r="X427" s="147">
        <v>0</v>
      </c>
      <c r="Y427" s="146">
        <v>0</v>
      </c>
      <c r="Z427" s="146">
        <v>0</v>
      </c>
      <c r="AA427" s="146">
        <v>0</v>
      </c>
      <c r="AB427" s="146">
        <v>55</v>
      </c>
      <c r="AC427" s="146">
        <v>55</v>
      </c>
      <c r="AD427" s="146">
        <v>0</v>
      </c>
      <c r="AE427" s="146">
        <v>0</v>
      </c>
      <c r="AF427" s="146">
        <v>0</v>
      </c>
      <c r="AG427" s="146">
        <v>0</v>
      </c>
      <c r="AH427" s="146">
        <v>0</v>
      </c>
      <c r="AI427" s="146"/>
      <c r="AJ427" s="146">
        <v>0</v>
      </c>
      <c r="AK427" s="146">
        <v>0</v>
      </c>
      <c r="AL427" s="146">
        <v>0</v>
      </c>
      <c r="AM427" s="146">
        <v>0</v>
      </c>
      <c r="AN427" s="146">
        <v>1</v>
      </c>
      <c r="AO427" s="146">
        <v>1</v>
      </c>
      <c r="AP427" s="146">
        <v>1</v>
      </c>
      <c r="AQ427" s="146">
        <v>1</v>
      </c>
      <c r="AR427" s="146">
        <v>0</v>
      </c>
      <c r="AS427" s="146">
        <v>0</v>
      </c>
      <c r="AT427" s="146">
        <v>0</v>
      </c>
      <c r="AU427" s="146"/>
      <c r="AV427" s="146">
        <v>0</v>
      </c>
      <c r="AW427" s="146">
        <v>0</v>
      </c>
      <c r="AX427" s="146">
        <f t="shared" si="58"/>
        <v>7125</v>
      </c>
      <c r="AY427" s="146">
        <f t="shared" si="59"/>
        <v>7125</v>
      </c>
      <c r="AZ427" s="140" t="s">
        <v>562</v>
      </c>
      <c r="BA427" s="140" t="s">
        <v>562</v>
      </c>
      <c r="BB427" s="137">
        <v>13</v>
      </c>
      <c r="BC427" s="187">
        <v>423</v>
      </c>
      <c r="BD427" s="149"/>
      <c r="BE427" s="145"/>
      <c r="BF427" s="150"/>
      <c r="BG427" s="188">
        <v>46208</v>
      </c>
      <c r="BH427" s="153" t="s">
        <v>535</v>
      </c>
      <c r="BI427" s="153" t="s">
        <v>562</v>
      </c>
    </row>
    <row r="428" spans="1:61" s="16" customFormat="1" ht="42" customHeight="1" x14ac:dyDescent="0.3">
      <c r="A428" s="200">
        <v>424</v>
      </c>
      <c r="B428" s="163">
        <v>244955</v>
      </c>
      <c r="C428" s="163">
        <v>424</v>
      </c>
      <c r="D428" s="164">
        <v>46041</v>
      </c>
      <c r="E428" s="164">
        <f t="shared" si="51"/>
        <v>46040</v>
      </c>
      <c r="F428" s="164">
        <f t="shared" si="54"/>
        <v>46051</v>
      </c>
      <c r="G428" s="164">
        <v>46131</v>
      </c>
      <c r="H428" s="164">
        <v>46236</v>
      </c>
      <c r="I428" s="164" t="s">
        <v>321</v>
      </c>
      <c r="J428" s="165" t="s">
        <v>950</v>
      </c>
      <c r="K428" s="166">
        <f t="shared" si="56"/>
        <v>80</v>
      </c>
      <c r="L428" s="166">
        <v>1192356</v>
      </c>
      <c r="M428" s="165" t="s">
        <v>15</v>
      </c>
      <c r="N428" s="165">
        <v>816324</v>
      </c>
      <c r="O428" s="165" t="s">
        <v>246</v>
      </c>
      <c r="P428" s="167">
        <v>46078</v>
      </c>
      <c r="Q428" s="167">
        <v>46247</v>
      </c>
      <c r="R428" s="179" t="s">
        <v>211</v>
      </c>
      <c r="S428" s="168" t="s">
        <v>951</v>
      </c>
      <c r="T428" s="169">
        <v>1</v>
      </c>
      <c r="U428" s="180" t="s">
        <v>81</v>
      </c>
      <c r="V428" s="170">
        <v>111</v>
      </c>
      <c r="W428" s="170">
        <v>111</v>
      </c>
      <c r="X428" s="171">
        <v>0</v>
      </c>
      <c r="Y428" s="170">
        <v>0</v>
      </c>
      <c r="Z428" s="170">
        <v>0</v>
      </c>
      <c r="AA428" s="170">
        <v>0</v>
      </c>
      <c r="AB428" s="170">
        <v>94</v>
      </c>
      <c r="AC428" s="170">
        <v>94</v>
      </c>
      <c r="AD428" s="170">
        <v>10</v>
      </c>
      <c r="AE428" s="170">
        <v>10</v>
      </c>
      <c r="AF428" s="170">
        <v>0</v>
      </c>
      <c r="AG428" s="170">
        <v>0</v>
      </c>
      <c r="AH428" s="170">
        <v>0</v>
      </c>
      <c r="AI428" s="170">
        <v>0</v>
      </c>
      <c r="AJ428" s="170">
        <v>0</v>
      </c>
      <c r="AK428" s="170">
        <v>0</v>
      </c>
      <c r="AL428" s="170">
        <v>2</v>
      </c>
      <c r="AM428" s="170">
        <v>2</v>
      </c>
      <c r="AN428" s="170">
        <v>3</v>
      </c>
      <c r="AO428" s="170">
        <v>3</v>
      </c>
      <c r="AP428" s="170">
        <v>2</v>
      </c>
      <c r="AQ428" s="170">
        <v>2</v>
      </c>
      <c r="AR428" s="170">
        <v>0</v>
      </c>
      <c r="AS428" s="170">
        <v>0</v>
      </c>
      <c r="AT428" s="170">
        <v>0</v>
      </c>
      <c r="AU428" s="170">
        <v>0</v>
      </c>
      <c r="AV428" s="170">
        <v>0</v>
      </c>
      <c r="AW428" s="170">
        <v>0</v>
      </c>
      <c r="AX428" s="170">
        <f t="shared" si="58"/>
        <v>15388</v>
      </c>
      <c r="AY428" s="170">
        <f t="shared" si="59"/>
        <v>15388</v>
      </c>
      <c r="AZ428" s="165" t="s">
        <v>15</v>
      </c>
      <c r="BA428" s="165" t="s">
        <v>77</v>
      </c>
      <c r="BB428" s="162" t="s">
        <v>77</v>
      </c>
      <c r="BC428" s="181">
        <v>424</v>
      </c>
      <c r="BD428" s="173"/>
      <c r="BE428" s="169"/>
      <c r="BF428" s="174"/>
      <c r="BG428" s="178">
        <v>46229</v>
      </c>
      <c r="BH428" s="175" t="s">
        <v>77</v>
      </c>
      <c r="BI428" s="175" t="s">
        <v>77</v>
      </c>
    </row>
    <row r="429" spans="1:61" s="16" customFormat="1" ht="42" hidden="1" customHeight="1" x14ac:dyDescent="0.3">
      <c r="A429" s="200">
        <v>425</v>
      </c>
      <c r="B429" s="138">
        <v>244956</v>
      </c>
      <c r="C429" s="138">
        <v>425</v>
      </c>
      <c r="D429" s="139">
        <v>46041</v>
      </c>
      <c r="E429" s="139">
        <f t="shared" si="51"/>
        <v>46040</v>
      </c>
      <c r="F429" s="139">
        <f t="shared" si="54"/>
        <v>46051</v>
      </c>
      <c r="G429" s="139">
        <v>46131</v>
      </c>
      <c r="H429" s="139">
        <v>46229</v>
      </c>
      <c r="I429" s="139" t="s">
        <v>321</v>
      </c>
      <c r="J429" s="140" t="s">
        <v>952</v>
      </c>
      <c r="K429" s="141">
        <f t="shared" si="56"/>
        <v>80</v>
      </c>
      <c r="L429" s="141">
        <v>1192359</v>
      </c>
      <c r="M429" s="140" t="s">
        <v>15</v>
      </c>
      <c r="N429" s="140">
        <v>816325</v>
      </c>
      <c r="O429" s="140" t="s">
        <v>246</v>
      </c>
      <c r="P429" s="143">
        <v>46069</v>
      </c>
      <c r="Q429" s="143">
        <v>46247</v>
      </c>
      <c r="R429" s="185" t="s">
        <v>211</v>
      </c>
      <c r="S429" s="144" t="s">
        <v>953</v>
      </c>
      <c r="T429" s="145">
        <v>2</v>
      </c>
      <c r="U429" s="186" t="s">
        <v>885</v>
      </c>
      <c r="V429" s="146">
        <v>236</v>
      </c>
      <c r="W429" s="146">
        <v>236</v>
      </c>
      <c r="X429" s="147">
        <v>0</v>
      </c>
      <c r="Y429" s="146">
        <v>0</v>
      </c>
      <c r="Z429" s="146">
        <v>0</v>
      </c>
      <c r="AA429" s="146">
        <v>0</v>
      </c>
      <c r="AB429" s="146">
        <v>224</v>
      </c>
      <c r="AC429" s="146">
        <v>224</v>
      </c>
      <c r="AD429" s="146">
        <v>0</v>
      </c>
      <c r="AE429" s="146">
        <v>0</v>
      </c>
      <c r="AF429" s="146">
        <v>0</v>
      </c>
      <c r="AG429" s="146">
        <v>0</v>
      </c>
      <c r="AH429" s="146">
        <v>0</v>
      </c>
      <c r="AI429" s="146"/>
      <c r="AJ429" s="146">
        <v>0</v>
      </c>
      <c r="AK429" s="146">
        <v>0</v>
      </c>
      <c r="AL429" s="146">
        <v>1</v>
      </c>
      <c r="AM429" s="146">
        <v>1</v>
      </c>
      <c r="AN429" s="146">
        <v>4</v>
      </c>
      <c r="AO429" s="146">
        <v>4</v>
      </c>
      <c r="AP429" s="146">
        <v>3</v>
      </c>
      <c r="AQ429" s="146">
        <v>3</v>
      </c>
      <c r="AR429" s="146">
        <v>0</v>
      </c>
      <c r="AS429" s="146">
        <v>0</v>
      </c>
      <c r="AT429" s="146">
        <v>0</v>
      </c>
      <c r="AU429" s="146"/>
      <c r="AV429" s="146">
        <v>0</v>
      </c>
      <c r="AW429" s="146">
        <v>0</v>
      </c>
      <c r="AX429" s="146">
        <f t="shared" si="58"/>
        <v>29648</v>
      </c>
      <c r="AY429" s="146">
        <f t="shared" si="59"/>
        <v>29648</v>
      </c>
      <c r="AZ429" s="140" t="s">
        <v>562</v>
      </c>
      <c r="BA429" s="140" t="s">
        <v>562</v>
      </c>
      <c r="BB429" s="137">
        <v>13</v>
      </c>
      <c r="BC429" s="187">
        <v>425</v>
      </c>
      <c r="BD429" s="149"/>
      <c r="BE429" s="145"/>
      <c r="BF429" s="150"/>
      <c r="BG429" s="188">
        <v>46223</v>
      </c>
      <c r="BH429" s="153" t="s">
        <v>535</v>
      </c>
      <c r="BI429" s="153" t="s">
        <v>562</v>
      </c>
    </row>
    <row r="430" spans="1:61" s="16" customFormat="1" ht="42" customHeight="1" x14ac:dyDescent="0.3">
      <c r="A430" s="200">
        <v>426</v>
      </c>
      <c r="B430" s="163">
        <v>244958</v>
      </c>
      <c r="C430" s="163">
        <v>426</v>
      </c>
      <c r="D430" s="164">
        <v>46107</v>
      </c>
      <c r="E430" s="164">
        <f t="shared" ref="E430:E493" si="60">D430-1</f>
        <v>46106</v>
      </c>
      <c r="F430" s="164">
        <f t="shared" si="54"/>
        <v>46117</v>
      </c>
      <c r="G430" s="164">
        <v>46197</v>
      </c>
      <c r="H430" s="164">
        <v>46243</v>
      </c>
      <c r="I430" s="164" t="s">
        <v>349</v>
      </c>
      <c r="J430" s="165" t="s">
        <v>954</v>
      </c>
      <c r="K430" s="166">
        <f t="shared" si="56"/>
        <v>80</v>
      </c>
      <c r="L430" s="166">
        <v>1192477</v>
      </c>
      <c r="M430" s="165" t="s">
        <v>15</v>
      </c>
      <c r="N430" s="165">
        <v>819889</v>
      </c>
      <c r="O430" s="165" t="s">
        <v>246</v>
      </c>
      <c r="P430" s="167">
        <v>46130</v>
      </c>
      <c r="Q430" s="167">
        <v>46256</v>
      </c>
      <c r="R430" s="179" t="s">
        <v>211</v>
      </c>
      <c r="S430" s="168" t="s">
        <v>947</v>
      </c>
      <c r="T430" s="169">
        <v>1</v>
      </c>
      <c r="U430" s="180" t="s">
        <v>82</v>
      </c>
      <c r="V430" s="170">
        <v>94</v>
      </c>
      <c r="W430" s="170">
        <v>94</v>
      </c>
      <c r="X430" s="171">
        <v>0</v>
      </c>
      <c r="Y430" s="170">
        <v>0</v>
      </c>
      <c r="Z430" s="170">
        <v>0</v>
      </c>
      <c r="AA430" s="170">
        <v>0</v>
      </c>
      <c r="AB430" s="170">
        <v>28</v>
      </c>
      <c r="AC430" s="170">
        <v>28</v>
      </c>
      <c r="AD430" s="170">
        <v>0</v>
      </c>
      <c r="AE430" s="170">
        <v>0</v>
      </c>
      <c r="AF430" s="170">
        <v>0</v>
      </c>
      <c r="AG430" s="170">
        <v>0</v>
      </c>
      <c r="AH430" s="170">
        <v>0</v>
      </c>
      <c r="AI430" s="170">
        <v>0</v>
      </c>
      <c r="AJ430" s="170">
        <v>0</v>
      </c>
      <c r="AK430" s="170">
        <v>0</v>
      </c>
      <c r="AL430" s="170">
        <v>0</v>
      </c>
      <c r="AM430" s="170">
        <v>0</v>
      </c>
      <c r="AN430" s="170">
        <v>2</v>
      </c>
      <c r="AO430" s="170">
        <v>2</v>
      </c>
      <c r="AP430" s="170">
        <v>2</v>
      </c>
      <c r="AQ430" s="170">
        <v>2</v>
      </c>
      <c r="AR430" s="170">
        <v>0</v>
      </c>
      <c r="AS430" s="170">
        <v>0</v>
      </c>
      <c r="AT430" s="170">
        <v>0</v>
      </c>
      <c r="AU430" s="170">
        <v>0</v>
      </c>
      <c r="AV430" s="170">
        <v>0</v>
      </c>
      <c r="AW430" s="170">
        <v>0</v>
      </c>
      <c r="AX430" s="170">
        <f t="shared" si="58"/>
        <v>8616</v>
      </c>
      <c r="AY430" s="170">
        <f t="shared" si="59"/>
        <v>8616</v>
      </c>
      <c r="AZ430" s="165" t="s">
        <v>15</v>
      </c>
      <c r="BA430" s="165" t="s">
        <v>77</v>
      </c>
      <c r="BB430" s="162" t="s">
        <v>77</v>
      </c>
      <c r="BC430" s="181">
        <v>426</v>
      </c>
      <c r="BD430" s="173"/>
      <c r="BE430" s="169"/>
      <c r="BF430" s="174"/>
      <c r="BG430" s="178">
        <v>46237</v>
      </c>
      <c r="BH430" s="175" t="s">
        <v>535</v>
      </c>
      <c r="BI430" s="175" t="s">
        <v>77</v>
      </c>
    </row>
    <row r="431" spans="1:61" s="16" customFormat="1" ht="42" hidden="1" customHeight="1" x14ac:dyDescent="0.3">
      <c r="A431" s="200">
        <v>427</v>
      </c>
      <c r="B431" s="138">
        <v>245015</v>
      </c>
      <c r="C431" s="138">
        <v>427</v>
      </c>
      <c r="D431" s="139">
        <v>46042</v>
      </c>
      <c r="E431" s="139">
        <f t="shared" si="60"/>
        <v>46041</v>
      </c>
      <c r="F431" s="139">
        <f t="shared" si="54"/>
        <v>46052</v>
      </c>
      <c r="G431" s="139">
        <v>46132</v>
      </c>
      <c r="H431" s="139">
        <v>46217</v>
      </c>
      <c r="I431" s="139" t="s">
        <v>321</v>
      </c>
      <c r="J431" s="140" t="s">
        <v>955</v>
      </c>
      <c r="K431" s="141">
        <f t="shared" si="56"/>
        <v>80</v>
      </c>
      <c r="L431" s="141">
        <v>1192766</v>
      </c>
      <c r="M431" s="140" t="s">
        <v>15</v>
      </c>
      <c r="N431" s="140">
        <v>816323</v>
      </c>
      <c r="O431" s="140" t="s">
        <v>246</v>
      </c>
      <c r="P431" s="143">
        <v>46072</v>
      </c>
      <c r="Q431" s="143">
        <v>46247</v>
      </c>
      <c r="R431" s="185" t="s">
        <v>1235</v>
      </c>
      <c r="S431" s="144" t="s">
        <v>956</v>
      </c>
      <c r="T431" s="145">
        <v>1</v>
      </c>
      <c r="U431" s="186" t="s">
        <v>82</v>
      </c>
      <c r="V431" s="146">
        <v>170</v>
      </c>
      <c r="W431" s="146">
        <v>170</v>
      </c>
      <c r="X431" s="147">
        <v>0</v>
      </c>
      <c r="Y431" s="146">
        <v>0</v>
      </c>
      <c r="Z431" s="146">
        <v>0</v>
      </c>
      <c r="AA431" s="146">
        <v>0</v>
      </c>
      <c r="AB431" s="146">
        <v>0</v>
      </c>
      <c r="AC431" s="146"/>
      <c r="AD431" s="146">
        <v>0</v>
      </c>
      <c r="AE431" s="146">
        <v>0</v>
      </c>
      <c r="AF431" s="146">
        <v>0</v>
      </c>
      <c r="AG431" s="146">
        <v>0</v>
      </c>
      <c r="AH431" s="146">
        <v>0</v>
      </c>
      <c r="AI431" s="146"/>
      <c r="AJ431" s="146">
        <v>0</v>
      </c>
      <c r="AK431" s="146">
        <v>0</v>
      </c>
      <c r="AL431" s="146">
        <v>0</v>
      </c>
      <c r="AM431" s="146">
        <v>0</v>
      </c>
      <c r="AN431" s="146">
        <v>1</v>
      </c>
      <c r="AO431" s="146">
        <v>1</v>
      </c>
      <c r="AP431" s="146">
        <v>1</v>
      </c>
      <c r="AQ431" s="146">
        <v>1</v>
      </c>
      <c r="AR431" s="146">
        <v>0</v>
      </c>
      <c r="AS431" s="146">
        <v>0</v>
      </c>
      <c r="AT431" s="146">
        <v>0</v>
      </c>
      <c r="AU431" s="146"/>
      <c r="AV431" s="146">
        <v>0</v>
      </c>
      <c r="AW431" s="146">
        <v>0</v>
      </c>
      <c r="AX431" s="146">
        <f t="shared" si="58"/>
        <v>10890</v>
      </c>
      <c r="AY431" s="146">
        <f t="shared" si="59"/>
        <v>10890</v>
      </c>
      <c r="AZ431" s="140" t="s">
        <v>562</v>
      </c>
      <c r="BA431" s="140" t="s">
        <v>562</v>
      </c>
      <c r="BB431" s="137">
        <v>13</v>
      </c>
      <c r="BC431" s="187">
        <v>427</v>
      </c>
      <c r="BD431" s="149"/>
      <c r="BE431" s="145"/>
      <c r="BF431" s="150"/>
      <c r="BG431" s="188">
        <v>46211</v>
      </c>
      <c r="BH431" s="153" t="s">
        <v>15</v>
      </c>
      <c r="BI431" s="153" t="s">
        <v>562</v>
      </c>
    </row>
    <row r="432" spans="1:61" s="16" customFormat="1" ht="42" hidden="1" customHeight="1" x14ac:dyDescent="0.3">
      <c r="A432" s="26">
        <v>428</v>
      </c>
      <c r="B432" s="138">
        <v>245022</v>
      </c>
      <c r="C432" s="138">
        <v>428</v>
      </c>
      <c r="D432" s="139">
        <v>46042</v>
      </c>
      <c r="E432" s="139">
        <f t="shared" si="60"/>
        <v>46041</v>
      </c>
      <c r="F432" s="139">
        <f t="shared" si="54"/>
        <v>46052</v>
      </c>
      <c r="G432" s="139">
        <v>46132</v>
      </c>
      <c r="H432" s="139">
        <v>46232</v>
      </c>
      <c r="I432" s="139" t="s">
        <v>321</v>
      </c>
      <c r="J432" s="140" t="s">
        <v>957</v>
      </c>
      <c r="K432" s="141">
        <f t="shared" si="56"/>
        <v>80</v>
      </c>
      <c r="L432" s="141">
        <v>1192774</v>
      </c>
      <c r="M432" s="140" t="s">
        <v>15</v>
      </c>
      <c r="N432" s="140">
        <v>816324</v>
      </c>
      <c r="O432" s="140" t="s">
        <v>246</v>
      </c>
      <c r="P432" s="143">
        <v>46078</v>
      </c>
      <c r="Q432" s="143">
        <v>46247</v>
      </c>
      <c r="R432" s="185" t="s">
        <v>211</v>
      </c>
      <c r="S432" s="144" t="s">
        <v>958</v>
      </c>
      <c r="T432" s="145">
        <v>1</v>
      </c>
      <c r="U432" s="186" t="s">
        <v>81</v>
      </c>
      <c r="V432" s="146">
        <v>66</v>
      </c>
      <c r="W432" s="146">
        <v>66</v>
      </c>
      <c r="X432" s="147">
        <v>0</v>
      </c>
      <c r="Y432" s="146">
        <v>0</v>
      </c>
      <c r="Z432" s="146">
        <v>0</v>
      </c>
      <c r="AA432" s="146">
        <v>0</v>
      </c>
      <c r="AB432" s="146">
        <v>55</v>
      </c>
      <c r="AC432" s="146">
        <v>55</v>
      </c>
      <c r="AD432" s="146">
        <v>0</v>
      </c>
      <c r="AE432" s="146">
        <v>0</v>
      </c>
      <c r="AF432" s="146">
        <v>0</v>
      </c>
      <c r="AG432" s="146">
        <v>0</v>
      </c>
      <c r="AH432" s="146">
        <v>0</v>
      </c>
      <c r="AI432" s="146"/>
      <c r="AJ432" s="146">
        <v>0</v>
      </c>
      <c r="AK432" s="146">
        <v>0</v>
      </c>
      <c r="AL432" s="146">
        <v>0</v>
      </c>
      <c r="AM432" s="146">
        <v>0</v>
      </c>
      <c r="AN432" s="146">
        <v>1</v>
      </c>
      <c r="AO432" s="146">
        <v>1</v>
      </c>
      <c r="AP432" s="146">
        <v>1</v>
      </c>
      <c r="AQ432" s="146">
        <v>1</v>
      </c>
      <c r="AR432" s="146">
        <v>0</v>
      </c>
      <c r="AS432" s="146">
        <v>0</v>
      </c>
      <c r="AT432" s="146">
        <v>0</v>
      </c>
      <c r="AU432" s="146"/>
      <c r="AV432" s="146">
        <v>0</v>
      </c>
      <c r="AW432" s="146">
        <v>0</v>
      </c>
      <c r="AX432" s="146">
        <f t="shared" si="58"/>
        <v>7785</v>
      </c>
      <c r="AY432" s="146">
        <f t="shared" si="59"/>
        <v>7785</v>
      </c>
      <c r="AZ432" s="140" t="s">
        <v>562</v>
      </c>
      <c r="BA432" s="140" t="s">
        <v>562</v>
      </c>
      <c r="BB432" s="137">
        <v>13</v>
      </c>
      <c r="BC432" s="187">
        <v>428</v>
      </c>
      <c r="BD432" s="149"/>
      <c r="BE432" s="145"/>
      <c r="BF432" s="150"/>
      <c r="BG432" s="188">
        <v>46224</v>
      </c>
      <c r="BH432" s="153" t="s">
        <v>15</v>
      </c>
      <c r="BI432" s="153" t="s">
        <v>562</v>
      </c>
    </row>
    <row r="433" spans="1:61" s="16" customFormat="1" ht="42" customHeight="1" x14ac:dyDescent="0.3">
      <c r="A433" s="200">
        <v>429</v>
      </c>
      <c r="B433" s="163">
        <v>245024</v>
      </c>
      <c r="C433" s="163">
        <v>429</v>
      </c>
      <c r="D433" s="164">
        <v>46042</v>
      </c>
      <c r="E433" s="164">
        <f t="shared" si="60"/>
        <v>46041</v>
      </c>
      <c r="F433" s="164">
        <f t="shared" si="54"/>
        <v>46052</v>
      </c>
      <c r="G433" s="164">
        <v>46132</v>
      </c>
      <c r="H433" s="164">
        <v>46208</v>
      </c>
      <c r="I433" s="164" t="s">
        <v>321</v>
      </c>
      <c r="J433" s="165" t="s">
        <v>959</v>
      </c>
      <c r="K433" s="166">
        <f t="shared" si="56"/>
        <v>80</v>
      </c>
      <c r="L433" s="166">
        <v>1192777</v>
      </c>
      <c r="M433" s="165" t="s">
        <v>15</v>
      </c>
      <c r="N433" s="165">
        <v>816323</v>
      </c>
      <c r="O433" s="165" t="s">
        <v>246</v>
      </c>
      <c r="P433" s="167">
        <v>46072</v>
      </c>
      <c r="Q433" s="167">
        <v>46247</v>
      </c>
      <c r="R433" s="179" t="s">
        <v>211</v>
      </c>
      <c r="S433" s="168" t="s">
        <v>960</v>
      </c>
      <c r="T433" s="169">
        <v>1</v>
      </c>
      <c r="U433" s="180" t="s">
        <v>82</v>
      </c>
      <c r="V433" s="170">
        <v>122</v>
      </c>
      <c r="W433" s="170">
        <v>122</v>
      </c>
      <c r="X433" s="171">
        <v>0</v>
      </c>
      <c r="Y433" s="170">
        <v>0</v>
      </c>
      <c r="Z433" s="170">
        <v>0</v>
      </c>
      <c r="AA433" s="170">
        <v>0</v>
      </c>
      <c r="AB433" s="170">
        <v>18</v>
      </c>
      <c r="AC433" s="170">
        <v>18</v>
      </c>
      <c r="AD433" s="170">
        <v>7</v>
      </c>
      <c r="AE433" s="170">
        <v>7</v>
      </c>
      <c r="AF433" s="170">
        <v>0</v>
      </c>
      <c r="AG433" s="170">
        <v>0</v>
      </c>
      <c r="AH433" s="170">
        <v>0</v>
      </c>
      <c r="AI433" s="170">
        <v>0</v>
      </c>
      <c r="AJ433" s="170">
        <v>0</v>
      </c>
      <c r="AK433" s="170">
        <v>0</v>
      </c>
      <c r="AL433" s="170">
        <v>1</v>
      </c>
      <c r="AM433" s="170">
        <v>1</v>
      </c>
      <c r="AN433" s="170">
        <v>1</v>
      </c>
      <c r="AO433" s="170">
        <v>1</v>
      </c>
      <c r="AP433" s="170">
        <v>0</v>
      </c>
      <c r="AQ433" s="170">
        <v>0</v>
      </c>
      <c r="AR433" s="170">
        <v>0</v>
      </c>
      <c r="AS433" s="170">
        <v>0</v>
      </c>
      <c r="AT433" s="170">
        <v>0</v>
      </c>
      <c r="AU433" s="170">
        <v>0</v>
      </c>
      <c r="AV433" s="170">
        <v>0</v>
      </c>
      <c r="AW433" s="170">
        <v>0</v>
      </c>
      <c r="AX433" s="170">
        <f t="shared" si="58"/>
        <v>9521</v>
      </c>
      <c r="AY433" s="170">
        <f t="shared" si="59"/>
        <v>9521</v>
      </c>
      <c r="AZ433" s="165" t="s">
        <v>15</v>
      </c>
      <c r="BA433" s="165" t="s">
        <v>77</v>
      </c>
      <c r="BB433" s="162" t="s">
        <v>77</v>
      </c>
      <c r="BC433" s="181">
        <v>429</v>
      </c>
      <c r="BD433" s="173"/>
      <c r="BE433" s="169"/>
      <c r="BF433" s="174"/>
      <c r="BG433" s="178">
        <v>46203</v>
      </c>
      <c r="BH433" s="175" t="s">
        <v>77</v>
      </c>
      <c r="BI433" s="175" t="s">
        <v>77</v>
      </c>
    </row>
    <row r="434" spans="1:61" s="16" customFormat="1" ht="42" hidden="1" customHeight="1" x14ac:dyDescent="0.3">
      <c r="A434" s="200">
        <v>430</v>
      </c>
      <c r="B434" s="138">
        <v>245025</v>
      </c>
      <c r="C434" s="138">
        <v>430</v>
      </c>
      <c r="D434" s="139">
        <v>46042</v>
      </c>
      <c r="E434" s="139">
        <f t="shared" si="60"/>
        <v>46041</v>
      </c>
      <c r="F434" s="139">
        <f t="shared" si="54"/>
        <v>46052</v>
      </c>
      <c r="G434" s="139">
        <v>46132</v>
      </c>
      <c r="H434" s="139">
        <v>46216</v>
      </c>
      <c r="I434" s="139" t="s">
        <v>321</v>
      </c>
      <c r="J434" s="140" t="s">
        <v>961</v>
      </c>
      <c r="K434" s="141">
        <f t="shared" si="56"/>
        <v>80</v>
      </c>
      <c r="L434" s="141">
        <v>1192809</v>
      </c>
      <c r="M434" s="140" t="s">
        <v>15</v>
      </c>
      <c r="N434" s="140">
        <v>816324</v>
      </c>
      <c r="O434" s="140" t="s">
        <v>246</v>
      </c>
      <c r="P434" s="143">
        <v>46078</v>
      </c>
      <c r="Q434" s="143">
        <v>46247</v>
      </c>
      <c r="R434" s="185" t="s">
        <v>1233</v>
      </c>
      <c r="S434" s="144" t="s">
        <v>951</v>
      </c>
      <c r="T434" s="145">
        <v>1</v>
      </c>
      <c r="U434" s="186" t="s">
        <v>81</v>
      </c>
      <c r="V434" s="146">
        <v>124</v>
      </c>
      <c r="W434" s="146">
        <v>124</v>
      </c>
      <c r="X434" s="147">
        <v>0</v>
      </c>
      <c r="Y434" s="146">
        <v>0</v>
      </c>
      <c r="Z434" s="146">
        <v>0</v>
      </c>
      <c r="AA434" s="146">
        <v>0</v>
      </c>
      <c r="AB434" s="146">
        <v>106</v>
      </c>
      <c r="AC434" s="146">
        <v>106</v>
      </c>
      <c r="AD434" s="146">
        <v>0</v>
      </c>
      <c r="AE434" s="146">
        <v>0</v>
      </c>
      <c r="AF434" s="146">
        <v>0</v>
      </c>
      <c r="AG434" s="146">
        <v>0</v>
      </c>
      <c r="AH434" s="146">
        <v>0</v>
      </c>
      <c r="AI434" s="146"/>
      <c r="AJ434" s="146">
        <v>0</v>
      </c>
      <c r="AK434" s="146">
        <v>0</v>
      </c>
      <c r="AL434" s="146">
        <v>2</v>
      </c>
      <c r="AM434" s="146">
        <v>2</v>
      </c>
      <c r="AN434" s="146">
        <v>1</v>
      </c>
      <c r="AO434" s="146">
        <v>1</v>
      </c>
      <c r="AP434" s="146">
        <v>0</v>
      </c>
      <c r="AQ434" s="146">
        <v>0</v>
      </c>
      <c r="AR434" s="146">
        <v>0</v>
      </c>
      <c r="AS434" s="146">
        <v>0</v>
      </c>
      <c r="AT434" s="146">
        <v>0</v>
      </c>
      <c r="AU434" s="146">
        <v>0</v>
      </c>
      <c r="AV434" s="146">
        <v>0</v>
      </c>
      <c r="AW434" s="146">
        <v>0</v>
      </c>
      <c r="AX434" s="146">
        <f t="shared" si="58"/>
        <v>14722</v>
      </c>
      <c r="AY434" s="146">
        <f t="shared" si="59"/>
        <v>14722</v>
      </c>
      <c r="AZ434" s="140" t="s">
        <v>562</v>
      </c>
      <c r="BA434" s="140" t="s">
        <v>562</v>
      </c>
      <c r="BB434" s="137">
        <v>13</v>
      </c>
      <c r="BC434" s="187">
        <v>430</v>
      </c>
      <c r="BD434" s="149"/>
      <c r="BE434" s="145"/>
      <c r="BF434" s="150"/>
      <c r="BG434" s="188">
        <v>46212</v>
      </c>
      <c r="BH434" s="153" t="s">
        <v>15</v>
      </c>
      <c r="BI434" s="153" t="s">
        <v>562</v>
      </c>
    </row>
    <row r="435" spans="1:61" s="16" customFormat="1" ht="42" customHeight="1" x14ac:dyDescent="0.3">
      <c r="A435" s="200">
        <v>431</v>
      </c>
      <c r="B435" s="163">
        <v>245026</v>
      </c>
      <c r="C435" s="163">
        <v>431</v>
      </c>
      <c r="D435" s="164">
        <v>46042</v>
      </c>
      <c r="E435" s="164">
        <f t="shared" si="60"/>
        <v>46041</v>
      </c>
      <c r="F435" s="164">
        <f t="shared" si="54"/>
        <v>46052</v>
      </c>
      <c r="G435" s="164">
        <v>46132</v>
      </c>
      <c r="H435" s="164">
        <v>46230</v>
      </c>
      <c r="I435" s="164" t="s">
        <v>321</v>
      </c>
      <c r="J435" s="165" t="s">
        <v>962</v>
      </c>
      <c r="K435" s="166">
        <f t="shared" si="56"/>
        <v>80</v>
      </c>
      <c r="L435" s="166">
        <v>1192813</v>
      </c>
      <c r="M435" s="165" t="s">
        <v>15</v>
      </c>
      <c r="N435" s="165">
        <v>816325</v>
      </c>
      <c r="O435" s="165" t="s">
        <v>246</v>
      </c>
      <c r="P435" s="167">
        <v>46069</v>
      </c>
      <c r="Q435" s="167">
        <v>46247</v>
      </c>
      <c r="R435" s="179" t="s">
        <v>211</v>
      </c>
      <c r="S435" s="168" t="s">
        <v>963</v>
      </c>
      <c r="T435" s="169">
        <v>1</v>
      </c>
      <c r="U435" s="180" t="s">
        <v>885</v>
      </c>
      <c r="V435" s="170">
        <v>75</v>
      </c>
      <c r="W435" s="170">
        <v>75</v>
      </c>
      <c r="X435" s="171">
        <v>0</v>
      </c>
      <c r="Y435" s="170">
        <v>0</v>
      </c>
      <c r="Z435" s="170">
        <v>0</v>
      </c>
      <c r="AA435" s="170">
        <v>0</v>
      </c>
      <c r="AB435" s="170">
        <v>75</v>
      </c>
      <c r="AC435" s="170">
        <v>75</v>
      </c>
      <c r="AD435" s="170">
        <v>0</v>
      </c>
      <c r="AE435" s="170">
        <v>0</v>
      </c>
      <c r="AF435" s="170">
        <v>0</v>
      </c>
      <c r="AG435" s="170">
        <v>0</v>
      </c>
      <c r="AH435" s="170">
        <v>0</v>
      </c>
      <c r="AI435" s="170"/>
      <c r="AJ435" s="170">
        <v>0</v>
      </c>
      <c r="AK435" s="170">
        <v>0</v>
      </c>
      <c r="AL435" s="170">
        <v>1</v>
      </c>
      <c r="AM435" s="170">
        <v>1</v>
      </c>
      <c r="AN435" s="170">
        <v>1</v>
      </c>
      <c r="AO435" s="170">
        <v>1</v>
      </c>
      <c r="AP435" s="170">
        <v>0</v>
      </c>
      <c r="AQ435" s="170">
        <v>0</v>
      </c>
      <c r="AR435" s="170">
        <v>0</v>
      </c>
      <c r="AS435" s="170">
        <v>0</v>
      </c>
      <c r="AT435" s="170">
        <v>0</v>
      </c>
      <c r="AU435" s="170">
        <v>0</v>
      </c>
      <c r="AV435" s="170">
        <v>0</v>
      </c>
      <c r="AW435" s="170">
        <v>0</v>
      </c>
      <c r="AX435" s="170">
        <f t="shared" si="58"/>
        <v>9425</v>
      </c>
      <c r="AY435" s="170">
        <f t="shared" si="59"/>
        <v>9425</v>
      </c>
      <c r="AZ435" s="165" t="s">
        <v>15</v>
      </c>
      <c r="BA435" s="165" t="s">
        <v>77</v>
      </c>
      <c r="BB435" s="162" t="s">
        <v>77</v>
      </c>
      <c r="BC435" s="181">
        <v>431</v>
      </c>
      <c r="BD435" s="173"/>
      <c r="BE435" s="169"/>
      <c r="BF435" s="174"/>
      <c r="BG435" s="178">
        <v>46225</v>
      </c>
      <c r="BH435" s="175" t="s">
        <v>77</v>
      </c>
      <c r="BI435" s="175" t="s">
        <v>77</v>
      </c>
    </row>
    <row r="436" spans="1:61" s="16" customFormat="1" ht="42" hidden="1" customHeight="1" x14ac:dyDescent="0.3">
      <c r="A436" s="200">
        <v>432</v>
      </c>
      <c r="B436" s="138">
        <v>245111</v>
      </c>
      <c r="C436" s="138">
        <v>432</v>
      </c>
      <c r="D436" s="139">
        <v>46043</v>
      </c>
      <c r="E436" s="139">
        <f t="shared" si="60"/>
        <v>46042</v>
      </c>
      <c r="F436" s="139">
        <f t="shared" si="54"/>
        <v>46053</v>
      </c>
      <c r="G436" s="139">
        <v>46102</v>
      </c>
      <c r="H436" s="139">
        <v>46142</v>
      </c>
      <c r="I436" s="139" t="s">
        <v>123</v>
      </c>
      <c r="J436" s="140" t="s">
        <v>964</v>
      </c>
      <c r="K436" s="141">
        <f t="shared" si="56"/>
        <v>49</v>
      </c>
      <c r="L436" s="141">
        <v>1193226</v>
      </c>
      <c r="M436" s="140" t="s">
        <v>15</v>
      </c>
      <c r="N436" s="140">
        <v>817031</v>
      </c>
      <c r="O436" s="140" t="s">
        <v>246</v>
      </c>
      <c r="P436" s="143">
        <v>46090</v>
      </c>
      <c r="Q436" s="143">
        <v>46247</v>
      </c>
      <c r="R436" s="185" t="s">
        <v>211</v>
      </c>
      <c r="S436" s="144" t="s">
        <v>965</v>
      </c>
      <c r="T436" s="145">
        <v>1</v>
      </c>
      <c r="U436" s="186" t="s">
        <v>106</v>
      </c>
      <c r="V436" s="146">
        <v>108</v>
      </c>
      <c r="W436" s="146">
        <v>108</v>
      </c>
      <c r="X436" s="147">
        <v>0</v>
      </c>
      <c r="Y436" s="146">
        <v>0</v>
      </c>
      <c r="Z436" s="146">
        <v>0</v>
      </c>
      <c r="AA436" s="146">
        <v>0</v>
      </c>
      <c r="AB436" s="146">
        <v>60</v>
      </c>
      <c r="AC436" s="146">
        <v>60</v>
      </c>
      <c r="AD436" s="146">
        <v>40</v>
      </c>
      <c r="AE436" s="146">
        <v>40</v>
      </c>
      <c r="AF436" s="146">
        <v>0</v>
      </c>
      <c r="AG436" s="146">
        <v>0</v>
      </c>
      <c r="AH436" s="146">
        <v>2</v>
      </c>
      <c r="AI436" s="146">
        <v>2</v>
      </c>
      <c r="AJ436" s="146">
        <v>0</v>
      </c>
      <c r="AK436" s="146">
        <v>0</v>
      </c>
      <c r="AL436" s="146">
        <v>0</v>
      </c>
      <c r="AM436" s="146">
        <v>0</v>
      </c>
      <c r="AN436" s="146">
        <v>2</v>
      </c>
      <c r="AO436" s="146">
        <v>2</v>
      </c>
      <c r="AP436" s="146">
        <v>3</v>
      </c>
      <c r="AQ436" s="146">
        <v>3</v>
      </c>
      <c r="AR436" s="146">
        <v>0</v>
      </c>
      <c r="AS436" s="146">
        <v>0</v>
      </c>
      <c r="AT436" s="146">
        <v>1</v>
      </c>
      <c r="AU436" s="146">
        <v>1</v>
      </c>
      <c r="AV436" s="146">
        <v>0</v>
      </c>
      <c r="AW436" s="146">
        <v>0</v>
      </c>
      <c r="AX436" s="146">
        <f t="shared" si="58"/>
        <v>15600</v>
      </c>
      <c r="AY436" s="146">
        <f t="shared" si="59"/>
        <v>15600</v>
      </c>
      <c r="AZ436" s="140" t="s">
        <v>562</v>
      </c>
      <c r="BA436" s="140" t="s">
        <v>562</v>
      </c>
      <c r="BB436" s="137">
        <v>13</v>
      </c>
      <c r="BC436" s="187">
        <v>432</v>
      </c>
      <c r="BD436" s="149"/>
      <c r="BE436" s="145"/>
      <c r="BF436" s="150"/>
      <c r="BG436" s="188">
        <v>46149</v>
      </c>
      <c r="BH436" s="153" t="s">
        <v>15</v>
      </c>
      <c r="BI436" s="153" t="s">
        <v>562</v>
      </c>
    </row>
    <row r="437" spans="1:61" s="16" customFormat="1" ht="44.1" customHeight="1" x14ac:dyDescent="0.3">
      <c r="A437" s="200">
        <v>433</v>
      </c>
      <c r="B437" s="110">
        <v>245113</v>
      </c>
      <c r="C437" s="110">
        <v>433</v>
      </c>
      <c r="D437" s="111">
        <v>46043</v>
      </c>
      <c r="E437" s="111">
        <f t="shared" si="60"/>
        <v>46042</v>
      </c>
      <c r="F437" s="111">
        <f t="shared" si="54"/>
        <v>46053</v>
      </c>
      <c r="G437" s="111">
        <v>46133</v>
      </c>
      <c r="H437" s="111">
        <f ca="1">TODAY()</f>
        <v>46277</v>
      </c>
      <c r="I437" s="111" t="s">
        <v>321</v>
      </c>
      <c r="J437" s="112" t="s">
        <v>966</v>
      </c>
      <c r="K437" s="113">
        <f t="shared" si="56"/>
        <v>80</v>
      </c>
      <c r="L437" s="113">
        <v>1193229</v>
      </c>
      <c r="M437" s="114" t="s">
        <v>587</v>
      </c>
      <c r="N437" s="112" t="s">
        <v>365</v>
      </c>
      <c r="O437" s="109" t="s">
        <v>365</v>
      </c>
      <c r="P437" s="115" t="s">
        <v>77</v>
      </c>
      <c r="Q437" s="115" t="s">
        <v>77</v>
      </c>
      <c r="R437" s="131" t="s">
        <v>211</v>
      </c>
      <c r="S437" s="117" t="s">
        <v>967</v>
      </c>
      <c r="T437" s="118">
        <v>2</v>
      </c>
      <c r="U437" s="132" t="s">
        <v>82</v>
      </c>
      <c r="V437" s="119">
        <v>31</v>
      </c>
      <c r="W437" s="119"/>
      <c r="X437" s="120">
        <v>0</v>
      </c>
      <c r="Y437" s="119">
        <v>0</v>
      </c>
      <c r="Z437" s="119">
        <v>0</v>
      </c>
      <c r="AA437" s="119">
        <v>0</v>
      </c>
      <c r="AB437" s="119">
        <v>0</v>
      </c>
      <c r="AC437" s="119"/>
      <c r="AD437" s="119">
        <v>0</v>
      </c>
      <c r="AE437" s="119">
        <v>0</v>
      </c>
      <c r="AF437" s="119">
        <v>0</v>
      </c>
      <c r="AG437" s="119">
        <v>0</v>
      </c>
      <c r="AH437" s="119">
        <v>0</v>
      </c>
      <c r="AI437" s="119"/>
      <c r="AJ437" s="119">
        <v>0</v>
      </c>
      <c r="AK437" s="119">
        <v>0</v>
      </c>
      <c r="AL437" s="119">
        <v>2</v>
      </c>
      <c r="AM437" s="119"/>
      <c r="AN437" s="119">
        <v>2</v>
      </c>
      <c r="AO437" s="119"/>
      <c r="AP437" s="119">
        <v>2</v>
      </c>
      <c r="AQ437" s="119"/>
      <c r="AR437" s="119">
        <v>0</v>
      </c>
      <c r="AS437" s="119">
        <v>0</v>
      </c>
      <c r="AT437" s="119">
        <v>0</v>
      </c>
      <c r="AU437" s="119"/>
      <c r="AV437" s="119">
        <v>0</v>
      </c>
      <c r="AW437" s="119">
        <v>0</v>
      </c>
      <c r="AX437" s="146">
        <f t="shared" si="58"/>
        <v>4420</v>
      </c>
      <c r="AY437" s="146">
        <f t="shared" si="59"/>
        <v>0</v>
      </c>
      <c r="AZ437" s="109" t="s">
        <v>365</v>
      </c>
      <c r="BA437" s="112" t="s">
        <v>77</v>
      </c>
      <c r="BB437" s="109" t="s">
        <v>77</v>
      </c>
      <c r="BC437" s="133">
        <v>433</v>
      </c>
      <c r="BD437" s="122"/>
      <c r="BE437" s="118"/>
      <c r="BF437" s="123"/>
      <c r="BG437" s="109"/>
      <c r="BH437" s="125" t="s">
        <v>77</v>
      </c>
      <c r="BI437" s="125" t="s">
        <v>77</v>
      </c>
    </row>
    <row r="438" spans="1:61" s="16" customFormat="1" ht="42" hidden="1" customHeight="1" x14ac:dyDescent="0.3">
      <c r="A438" s="200">
        <v>434</v>
      </c>
      <c r="B438" s="138">
        <v>245114</v>
      </c>
      <c r="C438" s="138">
        <v>434</v>
      </c>
      <c r="D438" s="139">
        <v>46069</v>
      </c>
      <c r="E438" s="139">
        <f t="shared" si="60"/>
        <v>46068</v>
      </c>
      <c r="F438" s="139">
        <f t="shared" si="54"/>
        <v>46079</v>
      </c>
      <c r="G438" s="139">
        <v>46128</v>
      </c>
      <c r="H438" s="139">
        <v>46140</v>
      </c>
      <c r="I438" s="139" t="s">
        <v>123</v>
      </c>
      <c r="J438" s="140" t="s">
        <v>1089</v>
      </c>
      <c r="K438" s="141">
        <f t="shared" si="56"/>
        <v>49</v>
      </c>
      <c r="L438" s="141">
        <v>1193230</v>
      </c>
      <c r="M438" s="140" t="s">
        <v>15</v>
      </c>
      <c r="N438" s="140">
        <v>816324</v>
      </c>
      <c r="O438" s="140" t="s">
        <v>246</v>
      </c>
      <c r="P438" s="143">
        <v>46078</v>
      </c>
      <c r="Q438" s="143">
        <v>46247</v>
      </c>
      <c r="R438" s="185" t="s">
        <v>1237</v>
      </c>
      <c r="S438" s="144" t="s">
        <v>968</v>
      </c>
      <c r="T438" s="145">
        <v>1</v>
      </c>
      <c r="U438" s="186" t="s">
        <v>81</v>
      </c>
      <c r="V438" s="146">
        <v>54</v>
      </c>
      <c r="W438" s="146">
        <v>54</v>
      </c>
      <c r="X438" s="147">
        <v>0</v>
      </c>
      <c r="Y438" s="146">
        <v>0</v>
      </c>
      <c r="Z438" s="146">
        <v>0</v>
      </c>
      <c r="AA438" s="146">
        <v>0</v>
      </c>
      <c r="AB438" s="146">
        <v>0</v>
      </c>
      <c r="AC438" s="146">
        <v>0</v>
      </c>
      <c r="AD438" s="146">
        <v>0</v>
      </c>
      <c r="AE438" s="146">
        <v>0</v>
      </c>
      <c r="AF438" s="146">
        <v>0</v>
      </c>
      <c r="AG438" s="146">
        <v>0</v>
      </c>
      <c r="AH438" s="146">
        <v>2</v>
      </c>
      <c r="AI438" s="146">
        <v>2</v>
      </c>
      <c r="AJ438" s="146">
        <v>0</v>
      </c>
      <c r="AK438" s="146">
        <v>0</v>
      </c>
      <c r="AL438" s="146">
        <v>0</v>
      </c>
      <c r="AM438" s="146">
        <v>0</v>
      </c>
      <c r="AN438" s="146">
        <v>2</v>
      </c>
      <c r="AO438" s="146">
        <v>2</v>
      </c>
      <c r="AP438" s="146">
        <v>3</v>
      </c>
      <c r="AQ438" s="146">
        <v>3</v>
      </c>
      <c r="AR438" s="146">
        <v>0</v>
      </c>
      <c r="AS438" s="146">
        <v>0</v>
      </c>
      <c r="AT438" s="146">
        <v>1</v>
      </c>
      <c r="AU438" s="146">
        <v>1</v>
      </c>
      <c r="AV438" s="146">
        <v>0</v>
      </c>
      <c r="AW438" s="146">
        <v>0</v>
      </c>
      <c r="AX438" s="146">
        <f t="shared" si="58"/>
        <v>5940</v>
      </c>
      <c r="AY438" s="146">
        <f t="shared" si="59"/>
        <v>5940</v>
      </c>
      <c r="AZ438" s="140" t="s">
        <v>562</v>
      </c>
      <c r="BA438" s="140" t="s">
        <v>562</v>
      </c>
      <c r="BB438" s="137">
        <v>10</v>
      </c>
      <c r="BC438" s="187">
        <v>434</v>
      </c>
      <c r="BD438" s="149"/>
      <c r="BE438" s="145"/>
      <c r="BF438" s="150"/>
      <c r="BG438" s="188">
        <v>46139</v>
      </c>
      <c r="BH438" s="153" t="s">
        <v>15</v>
      </c>
      <c r="BI438" s="153" t="s">
        <v>562</v>
      </c>
    </row>
    <row r="439" spans="1:61" s="16" customFormat="1" ht="42" hidden="1" customHeight="1" x14ac:dyDescent="0.3">
      <c r="A439" s="26">
        <v>435</v>
      </c>
      <c r="B439" s="138">
        <v>245287</v>
      </c>
      <c r="C439" s="138">
        <v>435</v>
      </c>
      <c r="D439" s="139">
        <v>46047</v>
      </c>
      <c r="E439" s="139">
        <f t="shared" si="60"/>
        <v>46046</v>
      </c>
      <c r="F439" s="139">
        <f t="shared" si="54"/>
        <v>46057</v>
      </c>
      <c r="G439" s="139">
        <v>46106</v>
      </c>
      <c r="H439" s="139">
        <v>46058</v>
      </c>
      <c r="I439" s="139" t="s">
        <v>123</v>
      </c>
      <c r="J439" s="140" t="s">
        <v>969</v>
      </c>
      <c r="K439" s="141">
        <f t="shared" si="56"/>
        <v>49</v>
      </c>
      <c r="L439" s="141">
        <v>1194430</v>
      </c>
      <c r="M439" s="140" t="s">
        <v>15</v>
      </c>
      <c r="N439" s="140">
        <v>816164</v>
      </c>
      <c r="O439" s="140" t="s">
        <v>246</v>
      </c>
      <c r="P439" s="143">
        <v>46051</v>
      </c>
      <c r="Q439" s="143">
        <v>46066</v>
      </c>
      <c r="R439" s="185" t="s">
        <v>211</v>
      </c>
      <c r="S439" s="144" t="s">
        <v>970</v>
      </c>
      <c r="T439" s="145">
        <v>1</v>
      </c>
      <c r="U439" s="186" t="s">
        <v>82</v>
      </c>
      <c r="V439" s="146">
        <v>208</v>
      </c>
      <c r="W439" s="146">
        <v>208</v>
      </c>
      <c r="X439" s="147">
        <v>0</v>
      </c>
      <c r="Y439" s="146">
        <v>0</v>
      </c>
      <c r="Z439" s="146">
        <v>0</v>
      </c>
      <c r="AA439" s="146">
        <v>0</v>
      </c>
      <c r="AB439" s="146">
        <v>6</v>
      </c>
      <c r="AC439" s="146">
        <v>6</v>
      </c>
      <c r="AD439" s="146">
        <v>0</v>
      </c>
      <c r="AE439" s="146">
        <v>0</v>
      </c>
      <c r="AF439" s="146">
        <v>0</v>
      </c>
      <c r="AG439" s="146">
        <v>0</v>
      </c>
      <c r="AH439" s="146">
        <v>1</v>
      </c>
      <c r="AI439" s="146">
        <v>1</v>
      </c>
      <c r="AJ439" s="146">
        <v>0</v>
      </c>
      <c r="AK439" s="146">
        <v>0</v>
      </c>
      <c r="AL439" s="146">
        <v>0</v>
      </c>
      <c r="AM439" s="146"/>
      <c r="AN439" s="146">
        <v>3</v>
      </c>
      <c r="AO439" s="146">
        <v>3</v>
      </c>
      <c r="AP439" s="146">
        <v>3</v>
      </c>
      <c r="AQ439" s="146">
        <v>3</v>
      </c>
      <c r="AR439" s="146">
        <v>0</v>
      </c>
      <c r="AS439" s="146">
        <v>0</v>
      </c>
      <c r="AT439" s="146">
        <v>1</v>
      </c>
      <c r="AU439" s="146">
        <v>1</v>
      </c>
      <c r="AV439" s="146">
        <v>0</v>
      </c>
      <c r="AW439" s="146">
        <v>0</v>
      </c>
      <c r="AX439" s="146">
        <f t="shared" si="58"/>
        <v>15412</v>
      </c>
      <c r="AY439" s="146">
        <f t="shared" si="59"/>
        <v>15412</v>
      </c>
      <c r="AZ439" s="140" t="s">
        <v>562</v>
      </c>
      <c r="BA439" s="140" t="s">
        <v>562</v>
      </c>
      <c r="BB439" s="137">
        <v>7</v>
      </c>
      <c r="BC439" s="187">
        <v>435</v>
      </c>
      <c r="BD439" s="149"/>
      <c r="BE439" s="145"/>
      <c r="BF439" s="150"/>
      <c r="BG439" s="188">
        <v>46054</v>
      </c>
      <c r="BH439" s="153" t="s">
        <v>15</v>
      </c>
      <c r="BI439" s="153" t="s">
        <v>562</v>
      </c>
    </row>
    <row r="440" spans="1:61" s="16" customFormat="1" ht="42" customHeight="1" x14ac:dyDescent="0.3">
      <c r="A440" s="200">
        <v>436</v>
      </c>
      <c r="B440" s="62">
        <v>245289</v>
      </c>
      <c r="C440" s="62">
        <v>436</v>
      </c>
      <c r="D440" s="63">
        <v>46047</v>
      </c>
      <c r="E440" s="63">
        <f t="shared" si="60"/>
        <v>46046</v>
      </c>
      <c r="F440" s="63">
        <f t="shared" si="54"/>
        <v>46057</v>
      </c>
      <c r="G440" s="63">
        <v>46137</v>
      </c>
      <c r="H440" s="63">
        <f ca="1">TODAY()</f>
        <v>46277</v>
      </c>
      <c r="I440" s="63" t="s">
        <v>321</v>
      </c>
      <c r="J440" s="64" t="s">
        <v>971</v>
      </c>
      <c r="K440" s="65">
        <f t="shared" si="56"/>
        <v>80</v>
      </c>
      <c r="L440" s="65">
        <v>1194432</v>
      </c>
      <c r="M440" s="112" t="s">
        <v>365</v>
      </c>
      <c r="N440" s="64" t="s">
        <v>77</v>
      </c>
      <c r="O440" s="112" t="s">
        <v>1493</v>
      </c>
      <c r="P440" s="103" t="s">
        <v>77</v>
      </c>
      <c r="Q440" s="103" t="s">
        <v>77</v>
      </c>
      <c r="R440" s="73" t="s">
        <v>211</v>
      </c>
      <c r="S440" s="66" t="s">
        <v>972</v>
      </c>
      <c r="T440" s="67">
        <v>1</v>
      </c>
      <c r="U440" s="75" t="s">
        <v>885</v>
      </c>
      <c r="V440" s="68">
        <v>173</v>
      </c>
      <c r="W440" s="68"/>
      <c r="X440" s="69">
        <v>0</v>
      </c>
      <c r="Y440" s="68">
        <v>0</v>
      </c>
      <c r="Z440" s="68">
        <v>0</v>
      </c>
      <c r="AA440" s="68">
        <v>0</v>
      </c>
      <c r="AB440" s="68">
        <v>0</v>
      </c>
      <c r="AC440" s="68"/>
      <c r="AD440" s="68">
        <v>0</v>
      </c>
      <c r="AE440" s="68">
        <v>0</v>
      </c>
      <c r="AF440" s="68">
        <v>0</v>
      </c>
      <c r="AG440" s="68">
        <v>0</v>
      </c>
      <c r="AH440" s="68">
        <v>0</v>
      </c>
      <c r="AI440" s="68"/>
      <c r="AJ440" s="68">
        <v>0</v>
      </c>
      <c r="AK440" s="68">
        <v>0</v>
      </c>
      <c r="AL440" s="68">
        <v>1</v>
      </c>
      <c r="AM440" s="68"/>
      <c r="AN440" s="68">
        <v>1</v>
      </c>
      <c r="AO440" s="68"/>
      <c r="AP440" s="68">
        <v>1</v>
      </c>
      <c r="AQ440" s="68"/>
      <c r="AR440" s="68">
        <v>0</v>
      </c>
      <c r="AS440" s="68">
        <v>0</v>
      </c>
      <c r="AT440" s="68">
        <v>0</v>
      </c>
      <c r="AU440" s="68"/>
      <c r="AV440" s="68">
        <v>0</v>
      </c>
      <c r="AW440" s="68">
        <v>0</v>
      </c>
      <c r="AX440" s="146">
        <f t="shared" si="58"/>
        <v>11660</v>
      </c>
      <c r="AY440" s="146">
        <f t="shared" si="59"/>
        <v>0</v>
      </c>
      <c r="AZ440" s="109" t="s">
        <v>365</v>
      </c>
      <c r="BA440" s="64" t="s">
        <v>77</v>
      </c>
      <c r="BB440" s="15" t="s">
        <v>77</v>
      </c>
      <c r="BC440" s="74">
        <v>436</v>
      </c>
      <c r="BD440" s="70"/>
      <c r="BE440" s="67"/>
      <c r="BF440" s="71"/>
      <c r="BG440" s="15"/>
      <c r="BH440" s="72" t="s">
        <v>77</v>
      </c>
      <c r="BI440" s="72" t="s">
        <v>77</v>
      </c>
    </row>
    <row r="441" spans="1:61" s="16" customFormat="1" ht="44.1" customHeight="1" x14ac:dyDescent="0.3">
      <c r="A441" s="200">
        <v>437</v>
      </c>
      <c r="B441" s="110">
        <v>245290</v>
      </c>
      <c r="C441" s="110">
        <v>437</v>
      </c>
      <c r="D441" s="111">
        <v>46209</v>
      </c>
      <c r="E441" s="111">
        <f t="shared" si="60"/>
        <v>46208</v>
      </c>
      <c r="F441" s="111">
        <f t="shared" si="54"/>
        <v>46219</v>
      </c>
      <c r="G441" s="111">
        <v>46301</v>
      </c>
      <c r="H441" s="111">
        <f ca="1">TODAY()</f>
        <v>46277</v>
      </c>
      <c r="I441" s="111" t="s">
        <v>321</v>
      </c>
      <c r="J441" s="112" t="s">
        <v>973</v>
      </c>
      <c r="K441" s="113">
        <f t="shared" si="56"/>
        <v>82</v>
      </c>
      <c r="L441" s="113">
        <v>1194433</v>
      </c>
      <c r="M441" s="114" t="s">
        <v>366</v>
      </c>
      <c r="N441" s="112" t="s">
        <v>365</v>
      </c>
      <c r="O441" s="109" t="s">
        <v>365</v>
      </c>
      <c r="P441" s="115" t="s">
        <v>77</v>
      </c>
      <c r="Q441" s="115" t="s">
        <v>77</v>
      </c>
      <c r="R441" s="131" t="s">
        <v>211</v>
      </c>
      <c r="S441" s="117" t="s">
        <v>974</v>
      </c>
      <c r="T441" s="118">
        <v>1</v>
      </c>
      <c r="U441" s="132" t="s">
        <v>82</v>
      </c>
      <c r="V441" s="119">
        <v>239</v>
      </c>
      <c r="W441" s="119">
        <v>0</v>
      </c>
      <c r="X441" s="120">
        <v>0</v>
      </c>
      <c r="Y441" s="119">
        <v>0</v>
      </c>
      <c r="Z441" s="119">
        <v>0</v>
      </c>
      <c r="AA441" s="119">
        <v>0</v>
      </c>
      <c r="AB441" s="119">
        <v>1</v>
      </c>
      <c r="AC441" s="119"/>
      <c r="AD441" s="119">
        <v>0</v>
      </c>
      <c r="AE441" s="119">
        <v>0</v>
      </c>
      <c r="AF441" s="119">
        <v>0</v>
      </c>
      <c r="AG441" s="119">
        <v>0</v>
      </c>
      <c r="AH441" s="119">
        <v>1</v>
      </c>
      <c r="AI441" s="119"/>
      <c r="AJ441" s="119">
        <v>0</v>
      </c>
      <c r="AK441" s="119">
        <v>0</v>
      </c>
      <c r="AL441" s="119">
        <v>1</v>
      </c>
      <c r="AM441" s="119"/>
      <c r="AN441" s="119">
        <v>1</v>
      </c>
      <c r="AO441" s="119"/>
      <c r="AP441" s="119">
        <v>1</v>
      </c>
      <c r="AQ441" s="119"/>
      <c r="AR441" s="119">
        <v>0</v>
      </c>
      <c r="AS441" s="119">
        <v>0</v>
      </c>
      <c r="AT441" s="119">
        <v>1</v>
      </c>
      <c r="AU441" s="119"/>
      <c r="AV441" s="119">
        <v>0</v>
      </c>
      <c r="AW441" s="119">
        <v>0</v>
      </c>
      <c r="AX441" s="146">
        <f t="shared" si="58"/>
        <v>16197</v>
      </c>
      <c r="AY441" s="146">
        <f t="shared" si="59"/>
        <v>0</v>
      </c>
      <c r="AZ441" s="109" t="s">
        <v>365</v>
      </c>
      <c r="BA441" s="112" t="s">
        <v>77</v>
      </c>
      <c r="BB441" s="109" t="s">
        <v>77</v>
      </c>
      <c r="BC441" s="133">
        <v>437</v>
      </c>
      <c r="BD441" s="122"/>
      <c r="BE441" s="118"/>
      <c r="BF441" s="123"/>
      <c r="BG441" s="109"/>
      <c r="BH441" s="125" t="s">
        <v>77</v>
      </c>
      <c r="BI441" s="125" t="s">
        <v>77</v>
      </c>
    </row>
    <row r="442" spans="1:61" s="16" customFormat="1" ht="42" customHeight="1" x14ac:dyDescent="0.3">
      <c r="A442" s="26">
        <v>438</v>
      </c>
      <c r="B442" s="77">
        <v>245219</v>
      </c>
      <c r="C442" s="77">
        <v>438</v>
      </c>
      <c r="D442" s="78">
        <v>46048</v>
      </c>
      <c r="E442" s="78">
        <f t="shared" si="60"/>
        <v>46047</v>
      </c>
      <c r="F442" s="78">
        <f t="shared" si="54"/>
        <v>46058</v>
      </c>
      <c r="G442" s="78">
        <v>46138</v>
      </c>
      <c r="H442" s="78">
        <f ca="1">TODAY()</f>
        <v>46277</v>
      </c>
      <c r="I442" s="78" t="s">
        <v>349</v>
      </c>
      <c r="J442" s="79" t="s">
        <v>975</v>
      </c>
      <c r="K442" s="76">
        <f t="shared" si="56"/>
        <v>80</v>
      </c>
      <c r="L442" s="76">
        <v>1194112</v>
      </c>
      <c r="M442" s="79" t="s">
        <v>210</v>
      </c>
      <c r="N442" s="79">
        <v>819880</v>
      </c>
      <c r="O442" s="79" t="s">
        <v>246</v>
      </c>
      <c r="P442" s="104">
        <v>46118</v>
      </c>
      <c r="Q442" s="104">
        <v>46282</v>
      </c>
      <c r="R442" s="194" t="s">
        <v>211</v>
      </c>
      <c r="S442" s="81" t="s">
        <v>976</v>
      </c>
      <c r="T442" s="82">
        <v>1</v>
      </c>
      <c r="U442" s="195" t="s">
        <v>82</v>
      </c>
      <c r="V442" s="83">
        <v>1</v>
      </c>
      <c r="W442" s="83"/>
      <c r="X442" s="84">
        <v>1</v>
      </c>
      <c r="Y442" s="83"/>
      <c r="Z442" s="83">
        <v>0</v>
      </c>
      <c r="AA442" s="83">
        <v>0</v>
      </c>
      <c r="AB442" s="83">
        <v>0</v>
      </c>
      <c r="AC442" s="83"/>
      <c r="AD442" s="83">
        <v>0</v>
      </c>
      <c r="AE442" s="83">
        <v>0</v>
      </c>
      <c r="AF442" s="83">
        <v>0</v>
      </c>
      <c r="AG442" s="83">
        <v>0</v>
      </c>
      <c r="AH442" s="83">
        <v>1</v>
      </c>
      <c r="AI442" s="83"/>
      <c r="AJ442" s="83">
        <v>0</v>
      </c>
      <c r="AK442" s="83">
        <v>0</v>
      </c>
      <c r="AL442" s="83">
        <v>1</v>
      </c>
      <c r="AM442" s="83"/>
      <c r="AN442" s="83">
        <v>1</v>
      </c>
      <c r="AO442" s="83"/>
      <c r="AP442" s="83">
        <v>1</v>
      </c>
      <c r="AQ442" s="83"/>
      <c r="AR442" s="83">
        <v>0</v>
      </c>
      <c r="AS442" s="83">
        <v>0</v>
      </c>
      <c r="AT442" s="83">
        <v>0</v>
      </c>
      <c r="AU442" s="83">
        <v>0</v>
      </c>
      <c r="AV442" s="83">
        <v>0</v>
      </c>
      <c r="AW442" s="83">
        <v>0</v>
      </c>
      <c r="AX442" s="83">
        <f t="shared" si="58"/>
        <v>1590</v>
      </c>
      <c r="AY442" s="83">
        <f t="shared" si="59"/>
        <v>0</v>
      </c>
      <c r="AZ442" s="79" t="s">
        <v>210</v>
      </c>
      <c r="BA442" s="79" t="s">
        <v>77</v>
      </c>
      <c r="BB442" s="80" t="s">
        <v>77</v>
      </c>
      <c r="BC442" s="196">
        <v>438</v>
      </c>
      <c r="BD442" s="85"/>
      <c r="BE442" s="82"/>
      <c r="BF442" s="86"/>
      <c r="BG442" s="80"/>
      <c r="BH442" s="87" t="s">
        <v>77</v>
      </c>
      <c r="BI442" s="87" t="s">
        <v>77</v>
      </c>
    </row>
    <row r="443" spans="1:61" s="16" customFormat="1" ht="42" customHeight="1" x14ac:dyDescent="0.3">
      <c r="A443" s="26">
        <v>439</v>
      </c>
      <c r="B443" s="163">
        <v>245220</v>
      </c>
      <c r="C443" s="163">
        <v>439</v>
      </c>
      <c r="D443" s="164">
        <v>46048</v>
      </c>
      <c r="E443" s="164">
        <f t="shared" si="60"/>
        <v>46047</v>
      </c>
      <c r="F443" s="164">
        <f t="shared" si="54"/>
        <v>46058</v>
      </c>
      <c r="G443" s="164">
        <v>46138</v>
      </c>
      <c r="H443" s="164">
        <v>46246</v>
      </c>
      <c r="I443" s="164" t="s">
        <v>349</v>
      </c>
      <c r="J443" s="165" t="s">
        <v>977</v>
      </c>
      <c r="K443" s="166">
        <f t="shared" si="56"/>
        <v>80</v>
      </c>
      <c r="L443" s="166">
        <v>1194116</v>
      </c>
      <c r="M443" s="165" t="s">
        <v>15</v>
      </c>
      <c r="N443" s="165">
        <v>819880</v>
      </c>
      <c r="O443" s="165" t="s">
        <v>246</v>
      </c>
      <c r="P443" s="167">
        <v>46118</v>
      </c>
      <c r="Q443" s="167">
        <v>46282</v>
      </c>
      <c r="R443" s="179" t="s">
        <v>211</v>
      </c>
      <c r="S443" s="168" t="s">
        <v>978</v>
      </c>
      <c r="T443" s="169">
        <v>1</v>
      </c>
      <c r="U443" s="180" t="s">
        <v>82</v>
      </c>
      <c r="V443" s="170">
        <v>10</v>
      </c>
      <c r="W443" s="170">
        <v>10</v>
      </c>
      <c r="X443" s="171">
        <v>0</v>
      </c>
      <c r="Y443" s="170">
        <v>0</v>
      </c>
      <c r="Z443" s="170">
        <v>0</v>
      </c>
      <c r="AA443" s="170">
        <v>0</v>
      </c>
      <c r="AB443" s="170">
        <v>6</v>
      </c>
      <c r="AC443" s="170">
        <v>6</v>
      </c>
      <c r="AD443" s="170">
        <v>0</v>
      </c>
      <c r="AE443" s="170">
        <v>0</v>
      </c>
      <c r="AF443" s="170">
        <v>0</v>
      </c>
      <c r="AG443" s="170">
        <v>0</v>
      </c>
      <c r="AH443" s="170">
        <v>1</v>
      </c>
      <c r="AI443" s="170">
        <v>1</v>
      </c>
      <c r="AJ443" s="170">
        <v>0</v>
      </c>
      <c r="AK443" s="170">
        <v>0</v>
      </c>
      <c r="AL443" s="170">
        <v>1</v>
      </c>
      <c r="AM443" s="170">
        <v>1</v>
      </c>
      <c r="AN443" s="170">
        <v>2</v>
      </c>
      <c r="AO443" s="170">
        <v>2</v>
      </c>
      <c r="AP443" s="170">
        <v>2</v>
      </c>
      <c r="AQ443" s="170">
        <v>2</v>
      </c>
      <c r="AR443" s="170">
        <v>0</v>
      </c>
      <c r="AS443" s="170">
        <v>0</v>
      </c>
      <c r="AT443" s="170">
        <v>0</v>
      </c>
      <c r="AU443" s="170">
        <v>0</v>
      </c>
      <c r="AV443" s="170">
        <v>0</v>
      </c>
      <c r="AW443" s="170">
        <v>0</v>
      </c>
      <c r="AX443" s="170">
        <f t="shared" si="58"/>
        <v>3082</v>
      </c>
      <c r="AY443" s="170">
        <f t="shared" si="59"/>
        <v>3082</v>
      </c>
      <c r="AZ443" s="165" t="s">
        <v>15</v>
      </c>
      <c r="BA443" s="165" t="s">
        <v>77</v>
      </c>
      <c r="BB443" s="162" t="s">
        <v>77</v>
      </c>
      <c r="BC443" s="181">
        <v>439</v>
      </c>
      <c r="BD443" s="173"/>
      <c r="BE443" s="169"/>
      <c r="BF443" s="174"/>
      <c r="BG443" s="178">
        <v>46239</v>
      </c>
      <c r="BH443" s="175" t="s">
        <v>15</v>
      </c>
      <c r="BI443" s="175" t="s">
        <v>77</v>
      </c>
    </row>
    <row r="444" spans="1:61" s="16" customFormat="1" ht="42" customHeight="1" x14ac:dyDescent="0.3">
      <c r="A444" s="200">
        <v>440</v>
      </c>
      <c r="B444" s="62">
        <v>245223</v>
      </c>
      <c r="C444" s="62">
        <v>440</v>
      </c>
      <c r="D444" s="63">
        <v>46048</v>
      </c>
      <c r="E444" s="63">
        <f t="shared" si="60"/>
        <v>46047</v>
      </c>
      <c r="F444" s="63">
        <f t="shared" si="54"/>
        <v>46058</v>
      </c>
      <c r="G444" s="63">
        <v>46138</v>
      </c>
      <c r="H444" s="63">
        <f ca="1">TODAY()</f>
        <v>46277</v>
      </c>
      <c r="I444" s="63" t="s">
        <v>349</v>
      </c>
      <c r="J444" s="64" t="s">
        <v>979</v>
      </c>
      <c r="K444" s="65">
        <f t="shared" si="56"/>
        <v>80</v>
      </c>
      <c r="L444" s="65">
        <v>1194121</v>
      </c>
      <c r="M444" s="183" t="s">
        <v>77</v>
      </c>
      <c r="N444" s="64">
        <v>818548</v>
      </c>
      <c r="O444" s="253" t="s">
        <v>1462</v>
      </c>
      <c r="P444" s="103">
        <v>46097</v>
      </c>
      <c r="Q444" s="103">
        <v>46261</v>
      </c>
      <c r="R444" s="73" t="s">
        <v>211</v>
      </c>
      <c r="S444" s="66" t="s">
        <v>455</v>
      </c>
      <c r="T444" s="67">
        <v>1</v>
      </c>
      <c r="U444" s="75" t="s">
        <v>122</v>
      </c>
      <c r="V444" s="68">
        <v>1</v>
      </c>
      <c r="W444" s="68"/>
      <c r="X444" s="69">
        <v>1</v>
      </c>
      <c r="Y444" s="68"/>
      <c r="Z444" s="68">
        <v>0</v>
      </c>
      <c r="AA444" s="68">
        <v>0</v>
      </c>
      <c r="AB444" s="68">
        <v>0</v>
      </c>
      <c r="AC444" s="68"/>
      <c r="AD444" s="68">
        <v>0</v>
      </c>
      <c r="AE444" s="68">
        <v>0</v>
      </c>
      <c r="AF444" s="68">
        <v>0</v>
      </c>
      <c r="AG444" s="68">
        <v>0</v>
      </c>
      <c r="AH444" s="68">
        <v>1</v>
      </c>
      <c r="AI444" s="68"/>
      <c r="AJ444" s="68">
        <v>0</v>
      </c>
      <c r="AK444" s="68">
        <v>0</v>
      </c>
      <c r="AL444" s="68">
        <v>1</v>
      </c>
      <c r="AM444" s="68"/>
      <c r="AN444" s="68">
        <v>1</v>
      </c>
      <c r="AO444" s="68"/>
      <c r="AP444" s="68">
        <v>1</v>
      </c>
      <c r="AQ444" s="68"/>
      <c r="AR444" s="68">
        <v>0</v>
      </c>
      <c r="AS444" s="68">
        <v>0</v>
      </c>
      <c r="AT444" s="68">
        <v>0</v>
      </c>
      <c r="AU444" s="68">
        <v>0</v>
      </c>
      <c r="AV444" s="68">
        <v>0</v>
      </c>
      <c r="AW444" s="68">
        <v>0</v>
      </c>
      <c r="AX444" s="146">
        <f t="shared" si="58"/>
        <v>1590</v>
      </c>
      <c r="AY444" s="146">
        <f t="shared" si="59"/>
        <v>0</v>
      </c>
      <c r="AZ444" s="64" t="s">
        <v>77</v>
      </c>
      <c r="BA444" s="64" t="s">
        <v>77</v>
      </c>
      <c r="BB444" s="15" t="s">
        <v>77</v>
      </c>
      <c r="BC444" s="74">
        <v>440</v>
      </c>
      <c r="BD444" s="70"/>
      <c r="BE444" s="67"/>
      <c r="BF444" s="71"/>
      <c r="BG444" s="15"/>
      <c r="BH444" s="72" t="s">
        <v>77</v>
      </c>
      <c r="BI444" s="72" t="s">
        <v>77</v>
      </c>
    </row>
    <row r="445" spans="1:61" s="16" customFormat="1" ht="42" hidden="1" customHeight="1" x14ac:dyDescent="0.3">
      <c r="A445" s="200">
        <v>441</v>
      </c>
      <c r="B445" s="138">
        <v>245266</v>
      </c>
      <c r="C445" s="138">
        <v>441</v>
      </c>
      <c r="D445" s="139">
        <v>46048</v>
      </c>
      <c r="E445" s="139">
        <f t="shared" si="60"/>
        <v>46047</v>
      </c>
      <c r="F445" s="139">
        <f t="shared" si="54"/>
        <v>46058</v>
      </c>
      <c r="G445" s="139">
        <v>46138</v>
      </c>
      <c r="H445" s="139">
        <v>46235</v>
      </c>
      <c r="I445" s="139" t="s">
        <v>349</v>
      </c>
      <c r="J445" s="140" t="s">
        <v>980</v>
      </c>
      <c r="K445" s="141">
        <f t="shared" si="56"/>
        <v>80</v>
      </c>
      <c r="L445" s="141">
        <v>1194315</v>
      </c>
      <c r="M445" s="140" t="s">
        <v>15</v>
      </c>
      <c r="N445" s="140">
        <v>819880</v>
      </c>
      <c r="O445" s="140" t="s">
        <v>246</v>
      </c>
      <c r="P445" s="143">
        <v>46118</v>
      </c>
      <c r="Q445" s="143">
        <v>46282</v>
      </c>
      <c r="R445" s="185" t="s">
        <v>211</v>
      </c>
      <c r="S445" s="144" t="s">
        <v>981</v>
      </c>
      <c r="T445" s="145">
        <v>1</v>
      </c>
      <c r="U445" s="186" t="s">
        <v>82</v>
      </c>
      <c r="V445" s="146">
        <v>15</v>
      </c>
      <c r="W445" s="146">
        <v>15</v>
      </c>
      <c r="X445" s="147">
        <v>0</v>
      </c>
      <c r="Y445" s="146">
        <v>0</v>
      </c>
      <c r="Z445" s="146">
        <v>0</v>
      </c>
      <c r="AA445" s="146">
        <v>0</v>
      </c>
      <c r="AB445" s="146">
        <v>0</v>
      </c>
      <c r="AC445" s="146"/>
      <c r="AD445" s="146">
        <v>0</v>
      </c>
      <c r="AE445" s="146">
        <v>0</v>
      </c>
      <c r="AF445" s="146">
        <v>0</v>
      </c>
      <c r="AG445" s="146">
        <v>0</v>
      </c>
      <c r="AH445" s="146">
        <v>0</v>
      </c>
      <c r="AI445" s="146">
        <v>0</v>
      </c>
      <c r="AJ445" s="146">
        <v>0</v>
      </c>
      <c r="AK445" s="146">
        <v>0</v>
      </c>
      <c r="AL445" s="146">
        <v>2</v>
      </c>
      <c r="AM445" s="146">
        <v>2</v>
      </c>
      <c r="AN445" s="146">
        <v>2</v>
      </c>
      <c r="AO445" s="146">
        <v>2</v>
      </c>
      <c r="AP445" s="146">
        <v>2</v>
      </c>
      <c r="AQ445" s="146">
        <v>2</v>
      </c>
      <c r="AR445" s="146">
        <v>0</v>
      </c>
      <c r="AS445" s="146">
        <v>0</v>
      </c>
      <c r="AT445" s="146">
        <v>0</v>
      </c>
      <c r="AU445" s="146">
        <v>0</v>
      </c>
      <c r="AV445" s="146">
        <v>0</v>
      </c>
      <c r="AW445" s="146">
        <v>0</v>
      </c>
      <c r="AX445" s="146">
        <f t="shared" si="58"/>
        <v>3460</v>
      </c>
      <c r="AY445" s="146">
        <f t="shared" si="59"/>
        <v>3460</v>
      </c>
      <c r="AZ445" s="140" t="s">
        <v>562</v>
      </c>
      <c r="BA445" s="140" t="s">
        <v>562</v>
      </c>
      <c r="BB445" s="137">
        <v>13</v>
      </c>
      <c r="BC445" s="187">
        <v>441</v>
      </c>
      <c r="BD445" s="149"/>
      <c r="BE445" s="145"/>
      <c r="BF445" s="150"/>
      <c r="BG445" s="188">
        <v>46226</v>
      </c>
      <c r="BH445" s="153" t="s">
        <v>15</v>
      </c>
      <c r="BI445" s="153" t="s">
        <v>562</v>
      </c>
    </row>
    <row r="446" spans="1:61" s="16" customFormat="1" ht="42" customHeight="1" x14ac:dyDescent="0.3">
      <c r="A446" s="200">
        <v>442</v>
      </c>
      <c r="B446" s="62">
        <v>245272</v>
      </c>
      <c r="C446" s="62">
        <v>442</v>
      </c>
      <c r="D446" s="63">
        <v>46048</v>
      </c>
      <c r="E446" s="63">
        <f t="shared" si="60"/>
        <v>46047</v>
      </c>
      <c r="F446" s="63">
        <f t="shared" si="54"/>
        <v>46058</v>
      </c>
      <c r="G446" s="63">
        <v>46138</v>
      </c>
      <c r="H446" s="63">
        <f ca="1">TODAY()</f>
        <v>46277</v>
      </c>
      <c r="I446" s="63" t="s">
        <v>349</v>
      </c>
      <c r="J446" s="64" t="s">
        <v>982</v>
      </c>
      <c r="K446" s="65">
        <f t="shared" si="56"/>
        <v>80</v>
      </c>
      <c r="L446" s="65">
        <v>1194343</v>
      </c>
      <c r="M446" s="64" t="s">
        <v>77</v>
      </c>
      <c r="N446" s="64">
        <v>819880</v>
      </c>
      <c r="O446" s="79" t="s">
        <v>246</v>
      </c>
      <c r="P446" s="103">
        <v>46118</v>
      </c>
      <c r="Q446" s="103">
        <v>46282</v>
      </c>
      <c r="R446" s="73" t="s">
        <v>211</v>
      </c>
      <c r="S446" s="66" t="s">
        <v>983</v>
      </c>
      <c r="T446" s="67">
        <v>1</v>
      </c>
      <c r="U446" s="75" t="s">
        <v>82</v>
      </c>
      <c r="V446" s="68">
        <v>75</v>
      </c>
      <c r="W446" s="68"/>
      <c r="X446" s="69">
        <v>1</v>
      </c>
      <c r="Y446" s="68"/>
      <c r="Z446" s="68">
        <v>0</v>
      </c>
      <c r="AA446" s="68">
        <v>0</v>
      </c>
      <c r="AB446" s="68">
        <v>0</v>
      </c>
      <c r="AC446" s="68"/>
      <c r="AD446" s="68">
        <v>0</v>
      </c>
      <c r="AE446" s="68">
        <v>0</v>
      </c>
      <c r="AF446" s="68">
        <v>0</v>
      </c>
      <c r="AG446" s="68">
        <v>0</v>
      </c>
      <c r="AH446" s="68">
        <v>1</v>
      </c>
      <c r="AI446" s="68"/>
      <c r="AJ446" s="68">
        <v>0</v>
      </c>
      <c r="AK446" s="68">
        <v>0</v>
      </c>
      <c r="AL446" s="68">
        <v>1</v>
      </c>
      <c r="AM446" s="68"/>
      <c r="AN446" s="68">
        <v>3</v>
      </c>
      <c r="AO446" s="68"/>
      <c r="AP446" s="68">
        <v>3</v>
      </c>
      <c r="AQ446" s="68"/>
      <c r="AR446" s="68">
        <v>0</v>
      </c>
      <c r="AS446" s="68">
        <v>0</v>
      </c>
      <c r="AT446" s="68">
        <v>0</v>
      </c>
      <c r="AU446" s="68">
        <v>0</v>
      </c>
      <c r="AV446" s="68">
        <v>0</v>
      </c>
      <c r="AW446" s="68">
        <v>0</v>
      </c>
      <c r="AX446" s="146">
        <f t="shared" si="58"/>
        <v>7410</v>
      </c>
      <c r="AY446" s="146">
        <f t="shared" si="59"/>
        <v>0</v>
      </c>
      <c r="AZ446" s="64" t="s">
        <v>77</v>
      </c>
      <c r="BA446" s="64" t="s">
        <v>77</v>
      </c>
      <c r="BB446" s="15" t="s">
        <v>77</v>
      </c>
      <c r="BC446" s="74">
        <v>442</v>
      </c>
      <c r="BD446" s="70"/>
      <c r="BE446" s="67"/>
      <c r="BF446" s="71"/>
      <c r="BG446" s="15"/>
      <c r="BH446" s="72" t="s">
        <v>77</v>
      </c>
      <c r="BI446" s="72" t="s">
        <v>77</v>
      </c>
    </row>
    <row r="447" spans="1:61" s="16" customFormat="1" ht="44.1" customHeight="1" x14ac:dyDescent="0.3">
      <c r="A447" s="200">
        <v>443</v>
      </c>
      <c r="B447" s="110">
        <v>245285</v>
      </c>
      <c r="C447" s="110">
        <v>443</v>
      </c>
      <c r="D447" s="111">
        <v>46048</v>
      </c>
      <c r="E447" s="111">
        <f t="shared" si="60"/>
        <v>46047</v>
      </c>
      <c r="F447" s="111">
        <f t="shared" si="54"/>
        <v>46058</v>
      </c>
      <c r="G447" s="111">
        <v>46138</v>
      </c>
      <c r="H447" s="111">
        <f ca="1">TODAY()</f>
        <v>46277</v>
      </c>
      <c r="I447" s="111" t="s">
        <v>349</v>
      </c>
      <c r="J447" s="112" t="s">
        <v>984</v>
      </c>
      <c r="K447" s="113">
        <f t="shared" si="56"/>
        <v>80</v>
      </c>
      <c r="L447" s="113">
        <v>1194407</v>
      </c>
      <c r="M447" s="114" t="s">
        <v>366</v>
      </c>
      <c r="N447" s="112" t="s">
        <v>365</v>
      </c>
      <c r="O447" s="109" t="s">
        <v>365</v>
      </c>
      <c r="P447" s="115" t="s">
        <v>77</v>
      </c>
      <c r="Q447" s="115" t="s">
        <v>77</v>
      </c>
      <c r="R447" s="131" t="s">
        <v>211</v>
      </c>
      <c r="S447" s="117" t="s">
        <v>985</v>
      </c>
      <c r="T447" s="118">
        <v>1</v>
      </c>
      <c r="U447" s="132" t="s">
        <v>82</v>
      </c>
      <c r="V447" s="119">
        <v>137</v>
      </c>
      <c r="W447" s="119"/>
      <c r="X447" s="120">
        <v>1</v>
      </c>
      <c r="Y447" s="119"/>
      <c r="Z447" s="119">
        <v>0</v>
      </c>
      <c r="AA447" s="119">
        <v>0</v>
      </c>
      <c r="AB447" s="119">
        <v>0</v>
      </c>
      <c r="AC447" s="119"/>
      <c r="AD447" s="119">
        <v>0</v>
      </c>
      <c r="AE447" s="119">
        <v>0</v>
      </c>
      <c r="AF447" s="119">
        <v>0</v>
      </c>
      <c r="AG447" s="119">
        <v>0</v>
      </c>
      <c r="AH447" s="119">
        <v>1</v>
      </c>
      <c r="AI447" s="119"/>
      <c r="AJ447" s="119">
        <v>0</v>
      </c>
      <c r="AK447" s="119">
        <v>0</v>
      </c>
      <c r="AL447" s="119">
        <v>1</v>
      </c>
      <c r="AM447" s="119"/>
      <c r="AN447" s="119">
        <v>1</v>
      </c>
      <c r="AO447" s="119"/>
      <c r="AP447" s="119">
        <v>1</v>
      </c>
      <c r="AQ447" s="119"/>
      <c r="AR447" s="119">
        <v>0</v>
      </c>
      <c r="AS447" s="119">
        <v>0</v>
      </c>
      <c r="AT447" s="119">
        <v>0</v>
      </c>
      <c r="AU447" s="119">
        <v>0</v>
      </c>
      <c r="AV447" s="119">
        <v>0</v>
      </c>
      <c r="AW447" s="119">
        <v>0</v>
      </c>
      <c r="AX447" s="146">
        <f t="shared" si="58"/>
        <v>9750</v>
      </c>
      <c r="AY447" s="146">
        <f t="shared" si="59"/>
        <v>0</v>
      </c>
      <c r="AZ447" s="109" t="s">
        <v>365</v>
      </c>
      <c r="BA447" s="112" t="s">
        <v>77</v>
      </c>
      <c r="BB447" s="109" t="s">
        <v>77</v>
      </c>
      <c r="BC447" s="133">
        <v>443</v>
      </c>
      <c r="BD447" s="122"/>
      <c r="BE447" s="118"/>
      <c r="BF447" s="123"/>
      <c r="BG447" s="109"/>
      <c r="BH447" s="125" t="s">
        <v>77</v>
      </c>
      <c r="BI447" s="125" t="s">
        <v>77</v>
      </c>
    </row>
    <row r="448" spans="1:61" s="16" customFormat="1" ht="42" customHeight="1" x14ac:dyDescent="0.3">
      <c r="A448" s="200">
        <v>444</v>
      </c>
      <c r="B448" s="62">
        <v>245313</v>
      </c>
      <c r="C448" s="62">
        <v>444</v>
      </c>
      <c r="D448" s="63">
        <v>46048</v>
      </c>
      <c r="E448" s="63">
        <f t="shared" si="60"/>
        <v>46047</v>
      </c>
      <c r="F448" s="63">
        <f t="shared" si="54"/>
        <v>46058</v>
      </c>
      <c r="G448" s="63">
        <v>46138</v>
      </c>
      <c r="H448" s="63">
        <f ca="1">TODAY()</f>
        <v>46277</v>
      </c>
      <c r="I448" s="63" t="s">
        <v>349</v>
      </c>
      <c r="J448" s="64" t="s">
        <v>986</v>
      </c>
      <c r="K448" s="65">
        <f t="shared" si="56"/>
        <v>80</v>
      </c>
      <c r="L448" s="65">
        <v>1194581</v>
      </c>
      <c r="M448" s="64" t="s">
        <v>77</v>
      </c>
      <c r="N448" s="64">
        <v>817030</v>
      </c>
      <c r="O448" s="253" t="s">
        <v>1462</v>
      </c>
      <c r="P448" s="103">
        <v>46075</v>
      </c>
      <c r="Q448" s="103">
        <v>46247</v>
      </c>
      <c r="R448" s="73" t="s">
        <v>211</v>
      </c>
      <c r="S448" s="66" t="s">
        <v>987</v>
      </c>
      <c r="T448" s="67">
        <v>1</v>
      </c>
      <c r="U448" s="75" t="s">
        <v>122</v>
      </c>
      <c r="V448" s="68">
        <v>24</v>
      </c>
      <c r="W448" s="68"/>
      <c r="X448" s="69">
        <v>1</v>
      </c>
      <c r="Y448" s="68"/>
      <c r="Z448" s="68">
        <v>0</v>
      </c>
      <c r="AA448" s="68">
        <v>0</v>
      </c>
      <c r="AB448" s="68">
        <v>0</v>
      </c>
      <c r="AC448" s="68"/>
      <c r="AD448" s="68">
        <v>0</v>
      </c>
      <c r="AE448" s="68">
        <v>0</v>
      </c>
      <c r="AF448" s="68">
        <v>0</v>
      </c>
      <c r="AG448" s="68">
        <v>0</v>
      </c>
      <c r="AH448" s="68">
        <v>1</v>
      </c>
      <c r="AI448" s="68"/>
      <c r="AJ448" s="68">
        <v>0</v>
      </c>
      <c r="AK448" s="68">
        <v>0</v>
      </c>
      <c r="AL448" s="68">
        <v>1</v>
      </c>
      <c r="AM448" s="68"/>
      <c r="AN448" s="68">
        <v>1</v>
      </c>
      <c r="AO448" s="68"/>
      <c r="AP448" s="68">
        <v>1</v>
      </c>
      <c r="AQ448" s="68"/>
      <c r="AR448" s="68">
        <v>0</v>
      </c>
      <c r="AS448" s="68">
        <v>0</v>
      </c>
      <c r="AT448" s="68">
        <v>0</v>
      </c>
      <c r="AU448" s="68">
        <v>0</v>
      </c>
      <c r="AV448" s="68">
        <v>0</v>
      </c>
      <c r="AW448" s="68">
        <v>0</v>
      </c>
      <c r="AX448" s="146">
        <f t="shared" si="58"/>
        <v>2970</v>
      </c>
      <c r="AY448" s="146">
        <f t="shared" si="59"/>
        <v>0</v>
      </c>
      <c r="AZ448" s="64" t="s">
        <v>77</v>
      </c>
      <c r="BA448" s="64" t="s">
        <v>77</v>
      </c>
      <c r="BB448" s="15" t="s">
        <v>77</v>
      </c>
      <c r="BC448" s="74">
        <v>444</v>
      </c>
      <c r="BD448" s="70"/>
      <c r="BE448" s="67"/>
      <c r="BF448" s="71"/>
      <c r="BG448" s="15"/>
      <c r="BH448" s="72" t="s">
        <v>77</v>
      </c>
      <c r="BI448" s="72" t="s">
        <v>77</v>
      </c>
    </row>
    <row r="449" spans="1:63" s="16" customFormat="1" ht="42" customHeight="1" x14ac:dyDescent="0.3">
      <c r="A449" s="200">
        <v>445</v>
      </c>
      <c r="B449" s="62">
        <v>245326</v>
      </c>
      <c r="C449" s="62">
        <v>445</v>
      </c>
      <c r="D449" s="63">
        <v>46048</v>
      </c>
      <c r="E449" s="63">
        <f t="shared" si="60"/>
        <v>46047</v>
      </c>
      <c r="F449" s="63">
        <f t="shared" si="54"/>
        <v>46058</v>
      </c>
      <c r="G449" s="63">
        <v>46138</v>
      </c>
      <c r="H449" s="63">
        <f ca="1">TODAY()</f>
        <v>46277</v>
      </c>
      <c r="I449" s="63" t="s">
        <v>349</v>
      </c>
      <c r="J449" s="64" t="s">
        <v>988</v>
      </c>
      <c r="K449" s="65">
        <f t="shared" si="56"/>
        <v>80</v>
      </c>
      <c r="L449" s="65">
        <v>1194596</v>
      </c>
      <c r="M449" s="64" t="s">
        <v>77</v>
      </c>
      <c r="N449" s="64">
        <v>817030</v>
      </c>
      <c r="O449" s="253" t="s">
        <v>1462</v>
      </c>
      <c r="P449" s="103">
        <v>46075</v>
      </c>
      <c r="Q449" s="103">
        <v>46247</v>
      </c>
      <c r="R449" s="73" t="s">
        <v>211</v>
      </c>
      <c r="S449" s="66" t="s">
        <v>989</v>
      </c>
      <c r="T449" s="67">
        <v>1</v>
      </c>
      <c r="U449" s="75" t="s">
        <v>122</v>
      </c>
      <c r="V449" s="68">
        <v>5</v>
      </c>
      <c r="W449" s="68"/>
      <c r="X449" s="69">
        <v>1</v>
      </c>
      <c r="Y449" s="68"/>
      <c r="Z449" s="68">
        <v>0</v>
      </c>
      <c r="AA449" s="68">
        <v>0</v>
      </c>
      <c r="AB449" s="68">
        <v>0</v>
      </c>
      <c r="AC449" s="68"/>
      <c r="AD449" s="68">
        <v>0</v>
      </c>
      <c r="AE449" s="68">
        <v>0</v>
      </c>
      <c r="AF449" s="68">
        <v>0</v>
      </c>
      <c r="AG449" s="68">
        <v>0</v>
      </c>
      <c r="AH449" s="68">
        <v>0</v>
      </c>
      <c r="AI449" s="68">
        <v>0</v>
      </c>
      <c r="AJ449" s="68">
        <v>1</v>
      </c>
      <c r="AK449" s="68"/>
      <c r="AL449" s="68">
        <v>2</v>
      </c>
      <c r="AM449" s="68"/>
      <c r="AN449" s="68">
        <v>1</v>
      </c>
      <c r="AO449" s="68"/>
      <c r="AP449" s="68">
        <v>1</v>
      </c>
      <c r="AQ449" s="68"/>
      <c r="AR449" s="68">
        <v>0</v>
      </c>
      <c r="AS449" s="68">
        <v>0</v>
      </c>
      <c r="AT449" s="68">
        <v>0</v>
      </c>
      <c r="AU449" s="68">
        <v>0</v>
      </c>
      <c r="AV449" s="68">
        <v>0</v>
      </c>
      <c r="AW449" s="68">
        <v>0</v>
      </c>
      <c r="AX449" s="146">
        <f t="shared" si="58"/>
        <v>2625</v>
      </c>
      <c r="AY449" s="146">
        <f t="shared" si="59"/>
        <v>0</v>
      </c>
      <c r="AZ449" s="64" t="s">
        <v>77</v>
      </c>
      <c r="BA449" s="64" t="s">
        <v>77</v>
      </c>
      <c r="BB449" s="15" t="s">
        <v>77</v>
      </c>
      <c r="BC449" s="74">
        <v>445</v>
      </c>
      <c r="BD449" s="70"/>
      <c r="BE449" s="67"/>
      <c r="BF449" s="71"/>
      <c r="BG449" s="15"/>
      <c r="BH449" s="72" t="s">
        <v>77</v>
      </c>
      <c r="BI449" s="72" t="s">
        <v>77</v>
      </c>
    </row>
    <row r="450" spans="1:63" s="16" customFormat="1" ht="42" customHeight="1" x14ac:dyDescent="0.3">
      <c r="A450" s="200">
        <v>446</v>
      </c>
      <c r="B450" s="62">
        <v>245394</v>
      </c>
      <c r="C450" s="62">
        <v>446</v>
      </c>
      <c r="D450" s="63">
        <v>46048</v>
      </c>
      <c r="E450" s="63">
        <f t="shared" si="60"/>
        <v>46047</v>
      </c>
      <c r="F450" s="63">
        <f t="shared" si="54"/>
        <v>46058</v>
      </c>
      <c r="G450" s="63">
        <v>46138</v>
      </c>
      <c r="H450" s="63">
        <f ca="1">TODAY()</f>
        <v>46277</v>
      </c>
      <c r="I450" s="63" t="s">
        <v>349</v>
      </c>
      <c r="J450" s="64" t="s">
        <v>990</v>
      </c>
      <c r="K450" s="65">
        <f t="shared" si="56"/>
        <v>80</v>
      </c>
      <c r="L450" s="65">
        <v>1194785</v>
      </c>
      <c r="M450" s="64" t="s">
        <v>77</v>
      </c>
      <c r="N450" s="64">
        <v>817030</v>
      </c>
      <c r="O450" s="253" t="s">
        <v>1462</v>
      </c>
      <c r="P450" s="103">
        <v>46075</v>
      </c>
      <c r="Q450" s="103">
        <v>46247</v>
      </c>
      <c r="R450" s="73" t="s">
        <v>211</v>
      </c>
      <c r="S450" s="66" t="s">
        <v>503</v>
      </c>
      <c r="T450" s="67">
        <v>1</v>
      </c>
      <c r="U450" s="75" t="s">
        <v>122</v>
      </c>
      <c r="V450" s="68">
        <v>180</v>
      </c>
      <c r="W450" s="68"/>
      <c r="X450" s="69">
        <v>1</v>
      </c>
      <c r="Y450" s="68"/>
      <c r="Z450" s="68">
        <v>0</v>
      </c>
      <c r="AA450" s="68">
        <v>0</v>
      </c>
      <c r="AB450" s="68">
        <v>0</v>
      </c>
      <c r="AC450" s="68"/>
      <c r="AD450" s="68">
        <v>0</v>
      </c>
      <c r="AE450" s="68">
        <v>0</v>
      </c>
      <c r="AF450" s="68">
        <v>0</v>
      </c>
      <c r="AG450" s="68">
        <v>0</v>
      </c>
      <c r="AH450" s="68">
        <v>1</v>
      </c>
      <c r="AI450" s="68"/>
      <c r="AJ450" s="68">
        <v>0</v>
      </c>
      <c r="AK450" s="68">
        <v>0</v>
      </c>
      <c r="AL450" s="68">
        <v>1</v>
      </c>
      <c r="AM450" s="68"/>
      <c r="AN450" s="68">
        <v>2</v>
      </c>
      <c r="AO450" s="68"/>
      <c r="AP450" s="68">
        <v>2</v>
      </c>
      <c r="AQ450" s="68"/>
      <c r="AR450" s="68">
        <v>0</v>
      </c>
      <c r="AS450" s="68">
        <v>0</v>
      </c>
      <c r="AT450" s="68">
        <v>0</v>
      </c>
      <c r="AU450" s="68">
        <v>0</v>
      </c>
      <c r="AV450" s="68">
        <v>0</v>
      </c>
      <c r="AW450" s="68">
        <v>0</v>
      </c>
      <c r="AX450" s="146">
        <f t="shared" si="58"/>
        <v>13020</v>
      </c>
      <c r="AY450" s="146">
        <f t="shared" si="59"/>
        <v>0</v>
      </c>
      <c r="AZ450" s="64" t="s">
        <v>77</v>
      </c>
      <c r="BA450" s="64" t="s">
        <v>77</v>
      </c>
      <c r="BB450" s="15" t="s">
        <v>77</v>
      </c>
      <c r="BC450" s="74">
        <v>446</v>
      </c>
      <c r="BD450" s="70"/>
      <c r="BE450" s="67"/>
      <c r="BF450" s="71"/>
      <c r="BG450" s="15"/>
      <c r="BH450" s="72" t="s">
        <v>77</v>
      </c>
      <c r="BI450" s="72" t="s">
        <v>77</v>
      </c>
    </row>
    <row r="451" spans="1:63" s="16" customFormat="1" ht="42" hidden="1" customHeight="1" x14ac:dyDescent="0.3">
      <c r="A451" s="200">
        <v>447</v>
      </c>
      <c r="B451" s="138">
        <v>245401</v>
      </c>
      <c r="C451" s="138">
        <v>447</v>
      </c>
      <c r="D451" s="139">
        <v>46048</v>
      </c>
      <c r="E451" s="139">
        <f t="shared" si="60"/>
        <v>46047</v>
      </c>
      <c r="F451" s="139">
        <f t="shared" si="54"/>
        <v>46058</v>
      </c>
      <c r="G451" s="139">
        <v>46107</v>
      </c>
      <c r="H451" s="139">
        <v>46121</v>
      </c>
      <c r="I451" s="139" t="s">
        <v>123</v>
      </c>
      <c r="J451" s="140" t="s">
        <v>991</v>
      </c>
      <c r="K451" s="141">
        <f t="shared" si="56"/>
        <v>49</v>
      </c>
      <c r="L451" s="141">
        <v>1194797</v>
      </c>
      <c r="M451" s="140" t="s">
        <v>15</v>
      </c>
      <c r="N451" s="140">
        <v>816610</v>
      </c>
      <c r="O451" s="140" t="s">
        <v>246</v>
      </c>
      <c r="P451" s="143">
        <v>46072</v>
      </c>
      <c r="Q451" s="143">
        <v>46247</v>
      </c>
      <c r="R451" s="185" t="s">
        <v>211</v>
      </c>
      <c r="S451" s="144" t="s">
        <v>992</v>
      </c>
      <c r="T451" s="145">
        <v>1</v>
      </c>
      <c r="U451" s="186" t="s">
        <v>82</v>
      </c>
      <c r="V451" s="146">
        <v>36</v>
      </c>
      <c r="W451" s="146">
        <v>36</v>
      </c>
      <c r="X451" s="147">
        <v>0</v>
      </c>
      <c r="Y451" s="146">
        <v>0</v>
      </c>
      <c r="Z451" s="146">
        <v>0</v>
      </c>
      <c r="AA451" s="146">
        <v>0</v>
      </c>
      <c r="AB451" s="146">
        <v>0</v>
      </c>
      <c r="AC451" s="146">
        <v>0</v>
      </c>
      <c r="AD451" s="146">
        <v>0</v>
      </c>
      <c r="AE451" s="146">
        <v>0</v>
      </c>
      <c r="AF451" s="146">
        <v>0</v>
      </c>
      <c r="AG451" s="146">
        <v>0</v>
      </c>
      <c r="AH451" s="146">
        <v>2</v>
      </c>
      <c r="AI451" s="146">
        <v>2</v>
      </c>
      <c r="AJ451" s="146">
        <v>0</v>
      </c>
      <c r="AK451" s="146">
        <v>0</v>
      </c>
      <c r="AL451" s="146">
        <v>0</v>
      </c>
      <c r="AM451" s="146">
        <v>0</v>
      </c>
      <c r="AN451" s="146">
        <v>1</v>
      </c>
      <c r="AO451" s="146">
        <v>1</v>
      </c>
      <c r="AP451" s="146">
        <v>3</v>
      </c>
      <c r="AQ451" s="146">
        <v>3</v>
      </c>
      <c r="AR451" s="146">
        <v>0</v>
      </c>
      <c r="AS451" s="146">
        <v>0</v>
      </c>
      <c r="AT451" s="146">
        <v>2</v>
      </c>
      <c r="AU451" s="146">
        <v>2</v>
      </c>
      <c r="AV451" s="146">
        <v>0</v>
      </c>
      <c r="AW451" s="146">
        <v>0</v>
      </c>
      <c r="AX451" s="146">
        <f t="shared" si="58"/>
        <v>5150</v>
      </c>
      <c r="AY451" s="146">
        <f t="shared" si="59"/>
        <v>5150</v>
      </c>
      <c r="AZ451" s="140" t="s">
        <v>562</v>
      </c>
      <c r="BA451" s="140" t="s">
        <v>562</v>
      </c>
      <c r="BB451" s="137">
        <v>10</v>
      </c>
      <c r="BC451" s="187">
        <v>447</v>
      </c>
      <c r="BD451" s="149"/>
      <c r="BE451" s="145"/>
      <c r="BF451" s="150"/>
      <c r="BG451" s="188">
        <v>46120</v>
      </c>
      <c r="BH451" s="153" t="s">
        <v>15</v>
      </c>
      <c r="BI451" s="153" t="s">
        <v>562</v>
      </c>
    </row>
    <row r="452" spans="1:63" s="16" customFormat="1" ht="42" customHeight="1" x14ac:dyDescent="0.3">
      <c r="A452" s="200">
        <v>448</v>
      </c>
      <c r="B452" s="163">
        <v>245403</v>
      </c>
      <c r="C452" s="163">
        <v>448</v>
      </c>
      <c r="D452" s="164">
        <v>46048</v>
      </c>
      <c r="E452" s="164">
        <f t="shared" si="60"/>
        <v>46047</v>
      </c>
      <c r="F452" s="164">
        <f t="shared" si="54"/>
        <v>46058</v>
      </c>
      <c r="G452" s="164">
        <v>46138</v>
      </c>
      <c r="H452" s="164">
        <v>46237</v>
      </c>
      <c r="I452" s="164" t="s">
        <v>321</v>
      </c>
      <c r="J452" s="165" t="s">
        <v>993</v>
      </c>
      <c r="K452" s="166">
        <f t="shared" si="56"/>
        <v>80</v>
      </c>
      <c r="L452" s="166">
        <v>1194894</v>
      </c>
      <c r="M452" s="165" t="s">
        <v>15</v>
      </c>
      <c r="N452" s="165" t="s">
        <v>1456</v>
      </c>
      <c r="O452" s="165" t="s">
        <v>246</v>
      </c>
      <c r="P452" s="167">
        <v>46090</v>
      </c>
      <c r="Q452" s="167">
        <v>46254</v>
      </c>
      <c r="R452" s="179" t="s">
        <v>211</v>
      </c>
      <c r="S452" s="168" t="s">
        <v>994</v>
      </c>
      <c r="T452" s="169">
        <v>1</v>
      </c>
      <c r="U452" s="180" t="s">
        <v>81</v>
      </c>
      <c r="V452" s="170">
        <v>84</v>
      </c>
      <c r="W452" s="170">
        <v>84</v>
      </c>
      <c r="X452" s="171">
        <v>0</v>
      </c>
      <c r="Y452" s="170">
        <v>0</v>
      </c>
      <c r="Z452" s="170">
        <v>32</v>
      </c>
      <c r="AA452" s="170">
        <v>32</v>
      </c>
      <c r="AB452" s="170">
        <v>30</v>
      </c>
      <c r="AC452" s="170">
        <v>30</v>
      </c>
      <c r="AD452" s="170">
        <v>0</v>
      </c>
      <c r="AE452" s="170">
        <v>0</v>
      </c>
      <c r="AF452" s="170">
        <v>0</v>
      </c>
      <c r="AG452" s="170">
        <v>0</v>
      </c>
      <c r="AH452" s="170">
        <v>0</v>
      </c>
      <c r="AI452" s="170"/>
      <c r="AJ452" s="170">
        <v>0</v>
      </c>
      <c r="AK452" s="170">
        <v>0</v>
      </c>
      <c r="AL452" s="170">
        <v>1</v>
      </c>
      <c r="AM452" s="170">
        <v>1</v>
      </c>
      <c r="AN452" s="170">
        <v>1</v>
      </c>
      <c r="AO452" s="170">
        <v>1</v>
      </c>
      <c r="AP452" s="170">
        <v>0</v>
      </c>
      <c r="AQ452" s="170">
        <v>0</v>
      </c>
      <c r="AR452" s="170">
        <v>0</v>
      </c>
      <c r="AS452" s="170">
        <v>0</v>
      </c>
      <c r="AT452" s="170">
        <v>0</v>
      </c>
      <c r="AU452" s="170">
        <v>0</v>
      </c>
      <c r="AV452" s="170">
        <v>0</v>
      </c>
      <c r="AW452" s="170">
        <v>0</v>
      </c>
      <c r="AX452" s="170">
        <f t="shared" si="58"/>
        <v>8616</v>
      </c>
      <c r="AY452" s="170">
        <f t="shared" si="59"/>
        <v>8616</v>
      </c>
      <c r="AZ452" s="165" t="s">
        <v>15</v>
      </c>
      <c r="BA452" s="165" t="s">
        <v>77</v>
      </c>
      <c r="BB452" s="162" t="s">
        <v>77</v>
      </c>
      <c r="BC452" s="181">
        <v>448</v>
      </c>
      <c r="BD452" s="173"/>
      <c r="BE452" s="169"/>
      <c r="BF452" s="174"/>
      <c r="BG452" s="178">
        <v>46205</v>
      </c>
      <c r="BH452" s="175" t="s">
        <v>15</v>
      </c>
      <c r="BI452" s="175" t="s">
        <v>77</v>
      </c>
    </row>
    <row r="453" spans="1:63" s="16" customFormat="1" ht="42" customHeight="1" x14ac:dyDescent="0.3">
      <c r="A453" s="200">
        <v>449</v>
      </c>
      <c r="B453" s="163">
        <v>245404</v>
      </c>
      <c r="C453" s="163">
        <v>449</v>
      </c>
      <c r="D453" s="164">
        <v>46048</v>
      </c>
      <c r="E453" s="164">
        <f t="shared" si="60"/>
        <v>46047</v>
      </c>
      <c r="F453" s="164">
        <f t="shared" si="54"/>
        <v>46058</v>
      </c>
      <c r="G453" s="164">
        <v>46138</v>
      </c>
      <c r="H453" s="164">
        <v>46226</v>
      </c>
      <c r="I453" s="164" t="s">
        <v>321</v>
      </c>
      <c r="J453" s="165" t="s">
        <v>995</v>
      </c>
      <c r="K453" s="166">
        <f t="shared" si="56"/>
        <v>80</v>
      </c>
      <c r="L453" s="166">
        <v>1194920</v>
      </c>
      <c r="M453" s="165" t="s">
        <v>15</v>
      </c>
      <c r="N453" s="165">
        <v>817644</v>
      </c>
      <c r="O453" s="165" t="s">
        <v>246</v>
      </c>
      <c r="P453" s="167">
        <v>46090</v>
      </c>
      <c r="Q453" s="167">
        <v>46254</v>
      </c>
      <c r="R453" s="179" t="s">
        <v>1235</v>
      </c>
      <c r="S453" s="168" t="s">
        <v>996</v>
      </c>
      <c r="T453" s="169">
        <v>1</v>
      </c>
      <c r="U453" s="180" t="s">
        <v>81</v>
      </c>
      <c r="V453" s="170">
        <v>105</v>
      </c>
      <c r="W453" s="170">
        <v>105</v>
      </c>
      <c r="X453" s="171">
        <v>0</v>
      </c>
      <c r="Y453" s="170">
        <v>0</v>
      </c>
      <c r="Z453" s="170">
        <v>0</v>
      </c>
      <c r="AA453" s="170">
        <v>0</v>
      </c>
      <c r="AB453" s="170">
        <v>21</v>
      </c>
      <c r="AC453" s="170">
        <v>21</v>
      </c>
      <c r="AD453" s="170">
        <v>0</v>
      </c>
      <c r="AE453" s="170">
        <v>0</v>
      </c>
      <c r="AF453" s="170">
        <v>0</v>
      </c>
      <c r="AG453" s="170">
        <v>0</v>
      </c>
      <c r="AH453" s="170">
        <v>0</v>
      </c>
      <c r="AI453" s="170"/>
      <c r="AJ453" s="170">
        <v>0</v>
      </c>
      <c r="AK453" s="170">
        <v>0</v>
      </c>
      <c r="AL453" s="170">
        <v>1</v>
      </c>
      <c r="AM453" s="170">
        <v>1</v>
      </c>
      <c r="AN453" s="170">
        <v>2</v>
      </c>
      <c r="AO453" s="170">
        <v>2</v>
      </c>
      <c r="AP453" s="170">
        <v>1</v>
      </c>
      <c r="AQ453" s="170">
        <v>1</v>
      </c>
      <c r="AR453" s="170">
        <v>0</v>
      </c>
      <c r="AS453" s="170">
        <v>0</v>
      </c>
      <c r="AT453" s="170">
        <v>0</v>
      </c>
      <c r="AU453" s="170"/>
      <c r="AV453" s="170">
        <v>0</v>
      </c>
      <c r="AW453" s="170">
        <v>0</v>
      </c>
      <c r="AX453" s="170">
        <f t="shared" si="58"/>
        <v>8837</v>
      </c>
      <c r="AY453" s="170">
        <f t="shared" si="59"/>
        <v>8837</v>
      </c>
      <c r="AZ453" s="165" t="s">
        <v>15</v>
      </c>
      <c r="BA453" s="165" t="s">
        <v>77</v>
      </c>
      <c r="BB453" s="162" t="s">
        <v>77</v>
      </c>
      <c r="BC453" s="181">
        <v>449</v>
      </c>
      <c r="BD453" s="173"/>
      <c r="BE453" s="169"/>
      <c r="BF453" s="174"/>
      <c r="BG453" s="178">
        <v>46219</v>
      </c>
      <c r="BH453" s="175" t="s">
        <v>77</v>
      </c>
      <c r="BI453" s="175" t="s">
        <v>77</v>
      </c>
    </row>
    <row r="454" spans="1:63" s="16" customFormat="1" ht="42" customHeight="1" x14ac:dyDescent="0.3">
      <c r="A454" s="200">
        <v>450</v>
      </c>
      <c r="B454" s="163">
        <v>245405</v>
      </c>
      <c r="C454" s="163">
        <v>450</v>
      </c>
      <c r="D454" s="164">
        <v>46048</v>
      </c>
      <c r="E454" s="164">
        <f t="shared" si="60"/>
        <v>46047</v>
      </c>
      <c r="F454" s="164">
        <f t="shared" si="54"/>
        <v>46058</v>
      </c>
      <c r="G454" s="164">
        <v>46138</v>
      </c>
      <c r="H454" s="164">
        <v>46244</v>
      </c>
      <c r="I454" s="164" t="s">
        <v>321</v>
      </c>
      <c r="J454" s="165" t="s">
        <v>997</v>
      </c>
      <c r="K454" s="166">
        <f t="shared" si="56"/>
        <v>80</v>
      </c>
      <c r="L454" s="166">
        <v>1194922</v>
      </c>
      <c r="M454" s="165" t="s">
        <v>15</v>
      </c>
      <c r="N454" s="165">
        <v>817644</v>
      </c>
      <c r="O454" s="165" t="s">
        <v>246</v>
      </c>
      <c r="P454" s="167">
        <v>46090</v>
      </c>
      <c r="Q454" s="167">
        <v>46254</v>
      </c>
      <c r="R454" s="179" t="s">
        <v>211</v>
      </c>
      <c r="S454" s="168" t="s">
        <v>998</v>
      </c>
      <c r="T454" s="169">
        <v>1</v>
      </c>
      <c r="U454" s="180" t="s">
        <v>81</v>
      </c>
      <c r="V454" s="170">
        <v>58</v>
      </c>
      <c r="W454" s="170">
        <v>58</v>
      </c>
      <c r="X454" s="171">
        <v>0</v>
      </c>
      <c r="Y454" s="170">
        <v>0</v>
      </c>
      <c r="Z454" s="170">
        <v>0</v>
      </c>
      <c r="AA454" s="170">
        <v>0</v>
      </c>
      <c r="AB454" s="170">
        <v>30</v>
      </c>
      <c r="AC454" s="170">
        <v>30</v>
      </c>
      <c r="AD454" s="170">
        <v>0</v>
      </c>
      <c r="AE454" s="170">
        <v>0</v>
      </c>
      <c r="AF454" s="170">
        <v>0</v>
      </c>
      <c r="AG454" s="170">
        <v>0</v>
      </c>
      <c r="AH454" s="170">
        <v>2</v>
      </c>
      <c r="AI454" s="170">
        <v>2</v>
      </c>
      <c r="AJ454" s="170">
        <v>0</v>
      </c>
      <c r="AK454" s="170">
        <v>0</v>
      </c>
      <c r="AL454" s="170">
        <v>1</v>
      </c>
      <c r="AM454" s="170">
        <v>1</v>
      </c>
      <c r="AN454" s="170">
        <v>4</v>
      </c>
      <c r="AO454" s="170">
        <v>4</v>
      </c>
      <c r="AP454" s="170">
        <v>3</v>
      </c>
      <c r="AQ454" s="170">
        <v>3</v>
      </c>
      <c r="AR454" s="170">
        <v>0</v>
      </c>
      <c r="AS454" s="170">
        <v>0</v>
      </c>
      <c r="AT454" s="170">
        <v>0</v>
      </c>
      <c r="AU454" s="170">
        <v>0</v>
      </c>
      <c r="AV454" s="170">
        <v>0</v>
      </c>
      <c r="AW454" s="170">
        <v>0</v>
      </c>
      <c r="AX454" s="170">
        <f t="shared" ref="AX454:AX470" si="61">(V454*60)+(X454*80)+(Z454*38)+(AB454*57)+(AD454*75)+(AF454*155)+(AH454*170)+(AJ454*375)+(AL454*590)+(AN454*60)+(AP454*630)+(AR454*400)+(AT454*350)+(AV454*950)</f>
        <v>8250</v>
      </c>
      <c r="AY454" s="170">
        <f t="shared" ref="AY454:AY470" si="62">(W454*60)+(Y454*80)+(AA454*38)+(AC454*57)+(AE454*75)+(AG454*155)+(AI454*170)+(AK454*375)+(AM454*590)+(AO454*60)+(AQ454*630)+(AS454*400)+(AU454*350)+(AW454*950)</f>
        <v>8250</v>
      </c>
      <c r="AZ454" s="165" t="s">
        <v>15</v>
      </c>
      <c r="BA454" s="165" t="s">
        <v>77</v>
      </c>
      <c r="BB454" s="162" t="s">
        <v>77</v>
      </c>
      <c r="BC454" s="181">
        <v>450</v>
      </c>
      <c r="BD454" s="173"/>
      <c r="BE454" s="169"/>
      <c r="BF454" s="174"/>
      <c r="BG454" s="178">
        <v>46238</v>
      </c>
      <c r="BH454" s="175" t="s">
        <v>15</v>
      </c>
      <c r="BI454" s="175" t="s">
        <v>77</v>
      </c>
    </row>
    <row r="455" spans="1:63" s="16" customFormat="1" ht="42" customHeight="1" x14ac:dyDescent="0.3">
      <c r="A455" s="200">
        <v>451</v>
      </c>
      <c r="B455" s="163">
        <v>245459</v>
      </c>
      <c r="C455" s="163">
        <v>451</v>
      </c>
      <c r="D455" s="164">
        <v>46049</v>
      </c>
      <c r="E455" s="164">
        <f t="shared" si="60"/>
        <v>46048</v>
      </c>
      <c r="F455" s="164">
        <f t="shared" si="54"/>
        <v>46059</v>
      </c>
      <c r="G455" s="164">
        <v>46139</v>
      </c>
      <c r="H455" s="164">
        <v>46226</v>
      </c>
      <c r="I455" s="164" t="s">
        <v>321</v>
      </c>
      <c r="J455" s="165" t="s">
        <v>999</v>
      </c>
      <c r="K455" s="166">
        <f t="shared" si="56"/>
        <v>80</v>
      </c>
      <c r="L455" s="166">
        <v>1195212</v>
      </c>
      <c r="M455" s="165" t="s">
        <v>15</v>
      </c>
      <c r="N455" s="165">
        <v>816837</v>
      </c>
      <c r="O455" s="165" t="s">
        <v>246</v>
      </c>
      <c r="P455" s="167">
        <v>46068</v>
      </c>
      <c r="Q455" s="167">
        <v>46247</v>
      </c>
      <c r="R455" s="179" t="s">
        <v>211</v>
      </c>
      <c r="S455" s="168" t="s">
        <v>1000</v>
      </c>
      <c r="T455" s="169">
        <v>1</v>
      </c>
      <c r="U455" s="180" t="s">
        <v>82</v>
      </c>
      <c r="V455" s="170">
        <v>33</v>
      </c>
      <c r="W455" s="170">
        <v>33</v>
      </c>
      <c r="X455" s="171">
        <v>0</v>
      </c>
      <c r="Y455" s="170">
        <v>0</v>
      </c>
      <c r="Z455" s="170">
        <v>0</v>
      </c>
      <c r="AA455" s="170">
        <v>0</v>
      </c>
      <c r="AB455" s="170">
        <v>30</v>
      </c>
      <c r="AC455" s="170">
        <v>30</v>
      </c>
      <c r="AD455" s="170">
        <v>0</v>
      </c>
      <c r="AE455" s="170">
        <v>0</v>
      </c>
      <c r="AF455" s="170">
        <v>0</v>
      </c>
      <c r="AG455" s="170">
        <v>0</v>
      </c>
      <c r="AH455" s="170">
        <v>0</v>
      </c>
      <c r="AI455" s="170"/>
      <c r="AJ455" s="170">
        <v>0</v>
      </c>
      <c r="AK455" s="170">
        <v>0</v>
      </c>
      <c r="AL455" s="170">
        <v>2</v>
      </c>
      <c r="AM455" s="170">
        <v>2</v>
      </c>
      <c r="AN455" s="170">
        <v>2</v>
      </c>
      <c r="AO455" s="170">
        <v>2</v>
      </c>
      <c r="AP455" s="170">
        <v>0</v>
      </c>
      <c r="AQ455" s="170">
        <v>0</v>
      </c>
      <c r="AR455" s="170">
        <v>0</v>
      </c>
      <c r="AS455" s="170">
        <v>0</v>
      </c>
      <c r="AT455" s="170">
        <v>0</v>
      </c>
      <c r="AU455" s="170">
        <v>0</v>
      </c>
      <c r="AV455" s="170">
        <v>0</v>
      </c>
      <c r="AW455" s="170">
        <v>0</v>
      </c>
      <c r="AX455" s="170">
        <f t="shared" si="61"/>
        <v>4990</v>
      </c>
      <c r="AY455" s="170">
        <f t="shared" si="62"/>
        <v>4990</v>
      </c>
      <c r="AZ455" s="165" t="s">
        <v>15</v>
      </c>
      <c r="BA455" s="165" t="s">
        <v>77</v>
      </c>
      <c r="BB455" s="162" t="s">
        <v>77</v>
      </c>
      <c r="BC455" s="181">
        <v>451</v>
      </c>
      <c r="BD455" s="173"/>
      <c r="BE455" s="169"/>
      <c r="BF455" s="174"/>
      <c r="BG455" s="178">
        <v>46218</v>
      </c>
      <c r="BH455" s="175" t="s">
        <v>77</v>
      </c>
      <c r="BI455" s="175" t="s">
        <v>77</v>
      </c>
    </row>
    <row r="456" spans="1:63" s="16" customFormat="1" ht="42" customHeight="1" x14ac:dyDescent="0.3">
      <c r="A456" s="200">
        <v>452</v>
      </c>
      <c r="B456" s="62">
        <v>245466</v>
      </c>
      <c r="C456" s="62">
        <v>452</v>
      </c>
      <c r="D456" s="63">
        <v>46049</v>
      </c>
      <c r="E456" s="63">
        <f t="shared" si="60"/>
        <v>46048</v>
      </c>
      <c r="F456" s="63">
        <f t="shared" si="54"/>
        <v>46059</v>
      </c>
      <c r="G456" s="63">
        <v>46139</v>
      </c>
      <c r="H456" s="63">
        <f ca="1">TODAY()</f>
        <v>46277</v>
      </c>
      <c r="I456" s="63" t="s">
        <v>321</v>
      </c>
      <c r="J456" s="64" t="s">
        <v>1001</v>
      </c>
      <c r="K456" s="65">
        <f t="shared" si="56"/>
        <v>80</v>
      </c>
      <c r="L456" s="65">
        <v>1195246</v>
      </c>
      <c r="M456" s="64" t="s">
        <v>77</v>
      </c>
      <c r="N456" s="64">
        <v>816837</v>
      </c>
      <c r="O456" s="253" t="s">
        <v>1462</v>
      </c>
      <c r="P456" s="103">
        <v>46068</v>
      </c>
      <c r="Q456" s="103">
        <v>46247</v>
      </c>
      <c r="R456" s="73" t="s">
        <v>211</v>
      </c>
      <c r="S456" s="66" t="s">
        <v>1002</v>
      </c>
      <c r="T456" s="67">
        <v>1</v>
      </c>
      <c r="U456" s="75" t="s">
        <v>82</v>
      </c>
      <c r="V456" s="68">
        <v>73</v>
      </c>
      <c r="W456" s="68"/>
      <c r="X456" s="69">
        <v>0</v>
      </c>
      <c r="Y456" s="68">
        <v>0</v>
      </c>
      <c r="Z456" s="68">
        <v>0</v>
      </c>
      <c r="AA456" s="68">
        <v>0</v>
      </c>
      <c r="AB456" s="68">
        <v>0</v>
      </c>
      <c r="AC456" s="68"/>
      <c r="AD456" s="68">
        <v>0</v>
      </c>
      <c r="AE456" s="68">
        <v>0</v>
      </c>
      <c r="AF456" s="68">
        <v>0</v>
      </c>
      <c r="AG456" s="68">
        <v>0</v>
      </c>
      <c r="AH456" s="68">
        <v>0</v>
      </c>
      <c r="AI456" s="68"/>
      <c r="AJ456" s="68">
        <v>0</v>
      </c>
      <c r="AK456" s="68">
        <v>0</v>
      </c>
      <c r="AL456" s="68">
        <v>1</v>
      </c>
      <c r="AM456" s="68"/>
      <c r="AN456" s="68">
        <v>1</v>
      </c>
      <c r="AO456" s="68"/>
      <c r="AP456" s="68">
        <v>1</v>
      </c>
      <c r="AQ456" s="68"/>
      <c r="AR456" s="68">
        <v>0</v>
      </c>
      <c r="AS456" s="68">
        <v>0</v>
      </c>
      <c r="AT456" s="68">
        <v>0</v>
      </c>
      <c r="AU456" s="68"/>
      <c r="AV456" s="68">
        <v>0</v>
      </c>
      <c r="AW456" s="68">
        <v>0</v>
      </c>
      <c r="AX456" s="146">
        <f t="shared" si="61"/>
        <v>5660</v>
      </c>
      <c r="AY456" s="146">
        <f t="shared" si="62"/>
        <v>0</v>
      </c>
      <c r="AZ456" s="64" t="s">
        <v>77</v>
      </c>
      <c r="BA456" s="64" t="s">
        <v>77</v>
      </c>
      <c r="BB456" s="15" t="s">
        <v>77</v>
      </c>
      <c r="BC456" s="74">
        <v>452</v>
      </c>
      <c r="BD456" s="70"/>
      <c r="BE456" s="67"/>
      <c r="BF456" s="71"/>
      <c r="BG456" s="15"/>
      <c r="BH456" s="72" t="s">
        <v>77</v>
      </c>
      <c r="BI456" s="72" t="s">
        <v>77</v>
      </c>
    </row>
    <row r="457" spans="1:63" s="16" customFormat="1" ht="42" hidden="1" customHeight="1" x14ac:dyDescent="0.3">
      <c r="A457" s="201">
        <v>453</v>
      </c>
      <c r="B457" s="138">
        <v>245477</v>
      </c>
      <c r="C457" s="138">
        <v>453</v>
      </c>
      <c r="D457" s="139">
        <v>46057</v>
      </c>
      <c r="E457" s="139">
        <f t="shared" si="60"/>
        <v>46056</v>
      </c>
      <c r="F457" s="139">
        <f t="shared" ref="F457:F522" si="63">D457+10</f>
        <v>46067</v>
      </c>
      <c r="G457" s="139">
        <v>46116</v>
      </c>
      <c r="H457" s="139">
        <v>46137</v>
      </c>
      <c r="I457" s="139" t="s">
        <v>123</v>
      </c>
      <c r="J457" s="140" t="s">
        <v>1003</v>
      </c>
      <c r="K457" s="141">
        <f t="shared" si="56"/>
        <v>49</v>
      </c>
      <c r="L457" s="141">
        <v>1195255</v>
      </c>
      <c r="M457" s="140" t="s">
        <v>15</v>
      </c>
      <c r="N457" s="140">
        <v>817305</v>
      </c>
      <c r="O457" s="140" t="s">
        <v>246</v>
      </c>
      <c r="P457" s="143">
        <v>46082</v>
      </c>
      <c r="Q457" s="143">
        <v>46247</v>
      </c>
      <c r="R457" s="185" t="s">
        <v>1234</v>
      </c>
      <c r="S457" s="144" t="s">
        <v>1004</v>
      </c>
      <c r="T457" s="145">
        <v>1</v>
      </c>
      <c r="U457" s="186" t="s">
        <v>82</v>
      </c>
      <c r="V457" s="146">
        <v>340</v>
      </c>
      <c r="W457" s="146">
        <v>340</v>
      </c>
      <c r="X457" s="147">
        <v>0</v>
      </c>
      <c r="Y457" s="146">
        <v>0</v>
      </c>
      <c r="Z457" s="146">
        <v>0</v>
      </c>
      <c r="AA457" s="146">
        <v>0</v>
      </c>
      <c r="AB457" s="146">
        <v>320</v>
      </c>
      <c r="AC457" s="146">
        <v>320</v>
      </c>
      <c r="AD457" s="146">
        <v>0</v>
      </c>
      <c r="AE457" s="146">
        <v>0</v>
      </c>
      <c r="AF457" s="146">
        <v>0</v>
      </c>
      <c r="AG457" s="146">
        <v>0</v>
      </c>
      <c r="AH457" s="146">
        <v>3</v>
      </c>
      <c r="AI457" s="146">
        <v>3</v>
      </c>
      <c r="AJ457" s="146">
        <v>0</v>
      </c>
      <c r="AK457" s="146">
        <v>0</v>
      </c>
      <c r="AL457" s="146">
        <v>2</v>
      </c>
      <c r="AM457" s="146">
        <v>2</v>
      </c>
      <c r="AN457" s="146">
        <v>4</v>
      </c>
      <c r="AO457" s="146">
        <v>4</v>
      </c>
      <c r="AP457" s="146">
        <v>4</v>
      </c>
      <c r="AQ457" s="146">
        <v>4</v>
      </c>
      <c r="AR457" s="146">
        <v>0</v>
      </c>
      <c r="AS457" s="146">
        <v>0</v>
      </c>
      <c r="AT457" s="146">
        <v>1</v>
      </c>
      <c r="AU457" s="146">
        <v>1</v>
      </c>
      <c r="AV457" s="146"/>
      <c r="AW457" s="146"/>
      <c r="AX457" s="146">
        <f t="shared" si="61"/>
        <v>43440</v>
      </c>
      <c r="AY457" s="146">
        <f t="shared" si="62"/>
        <v>43440</v>
      </c>
      <c r="AZ457" s="140" t="s">
        <v>562</v>
      </c>
      <c r="BA457" s="140" t="s">
        <v>562</v>
      </c>
      <c r="BB457" s="137">
        <v>12</v>
      </c>
      <c r="BC457" s="187">
        <v>453</v>
      </c>
      <c r="BD457" s="149"/>
      <c r="BE457" s="145"/>
      <c r="BF457" s="150"/>
      <c r="BG457" s="188">
        <v>46141</v>
      </c>
      <c r="BH457" s="153" t="s">
        <v>15</v>
      </c>
      <c r="BI457" s="153" t="s">
        <v>562</v>
      </c>
    </row>
    <row r="458" spans="1:63" s="16" customFormat="1" ht="42" hidden="1" customHeight="1" x14ac:dyDescent="0.3">
      <c r="A458" s="200">
        <v>454</v>
      </c>
      <c r="B458" s="138">
        <v>245484</v>
      </c>
      <c r="C458" s="138">
        <v>454</v>
      </c>
      <c r="D458" s="139">
        <v>46049</v>
      </c>
      <c r="E458" s="139">
        <f t="shared" si="60"/>
        <v>46048</v>
      </c>
      <c r="F458" s="139">
        <f t="shared" si="63"/>
        <v>46059</v>
      </c>
      <c r="G458" s="139">
        <v>46139</v>
      </c>
      <c r="H458" s="139">
        <v>46130</v>
      </c>
      <c r="I458" s="139" t="s">
        <v>321</v>
      </c>
      <c r="J458" s="140" t="s">
        <v>1005</v>
      </c>
      <c r="K458" s="141">
        <f t="shared" si="56"/>
        <v>80</v>
      </c>
      <c r="L458" s="141">
        <v>1195263</v>
      </c>
      <c r="M458" s="140" t="s">
        <v>15</v>
      </c>
      <c r="N458" s="140">
        <v>817644</v>
      </c>
      <c r="O458" s="140" t="s">
        <v>246</v>
      </c>
      <c r="P458" s="143">
        <v>46090</v>
      </c>
      <c r="Q458" s="143">
        <v>46254</v>
      </c>
      <c r="R458" s="185" t="s">
        <v>1013</v>
      </c>
      <c r="S458" s="144" t="s">
        <v>1006</v>
      </c>
      <c r="T458" s="145">
        <v>1</v>
      </c>
      <c r="U458" s="186" t="s">
        <v>81</v>
      </c>
      <c r="V458" s="146">
        <v>296</v>
      </c>
      <c r="W458" s="146">
        <v>296</v>
      </c>
      <c r="X458" s="147">
        <v>0</v>
      </c>
      <c r="Y458" s="146">
        <v>0</v>
      </c>
      <c r="Z458" s="146">
        <v>0</v>
      </c>
      <c r="AA458" s="146">
        <v>0</v>
      </c>
      <c r="AB458" s="146">
        <v>111</v>
      </c>
      <c r="AC458" s="146">
        <v>111</v>
      </c>
      <c r="AD458" s="146">
        <v>2</v>
      </c>
      <c r="AE458" s="146">
        <v>2</v>
      </c>
      <c r="AF458" s="146">
        <v>0</v>
      </c>
      <c r="AG458" s="146">
        <v>0</v>
      </c>
      <c r="AH458" s="146">
        <v>3</v>
      </c>
      <c r="AI458" s="146">
        <v>3</v>
      </c>
      <c r="AJ458" s="146">
        <v>0</v>
      </c>
      <c r="AK458" s="146">
        <v>0</v>
      </c>
      <c r="AL458" s="146">
        <v>2</v>
      </c>
      <c r="AM458" s="146">
        <v>2</v>
      </c>
      <c r="AN458" s="146">
        <v>4</v>
      </c>
      <c r="AO458" s="146">
        <v>4</v>
      </c>
      <c r="AP458" s="146">
        <v>3</v>
      </c>
      <c r="AQ458" s="146">
        <v>3</v>
      </c>
      <c r="AR458" s="146">
        <v>0</v>
      </c>
      <c r="AS458" s="146">
        <v>0</v>
      </c>
      <c r="AT458" s="146">
        <v>0</v>
      </c>
      <c r="AU458" s="146">
        <v>0</v>
      </c>
      <c r="AV458" s="146">
        <v>0</v>
      </c>
      <c r="AW458" s="146">
        <v>0</v>
      </c>
      <c r="AX458" s="146">
        <f t="shared" si="61"/>
        <v>28057</v>
      </c>
      <c r="AY458" s="146">
        <f t="shared" si="62"/>
        <v>28057</v>
      </c>
      <c r="AZ458" s="140" t="s">
        <v>562</v>
      </c>
      <c r="BA458" s="140" t="s">
        <v>562</v>
      </c>
      <c r="BB458" s="137">
        <v>10</v>
      </c>
      <c r="BC458" s="187">
        <v>454</v>
      </c>
      <c r="BD458" s="149"/>
      <c r="BE458" s="145"/>
      <c r="BF458" s="150"/>
      <c r="BG458" s="188">
        <v>46119</v>
      </c>
      <c r="BH458" s="153" t="s">
        <v>15</v>
      </c>
      <c r="BI458" s="153" t="s">
        <v>562</v>
      </c>
    </row>
    <row r="459" spans="1:63" s="16" customFormat="1" ht="42" hidden="1" customHeight="1" x14ac:dyDescent="0.3">
      <c r="A459" s="200">
        <v>455</v>
      </c>
      <c r="B459" s="77">
        <v>245490</v>
      </c>
      <c r="C459" s="77">
        <v>455</v>
      </c>
      <c r="D459" s="78">
        <v>46049</v>
      </c>
      <c r="E459" s="78">
        <f t="shared" si="60"/>
        <v>46048</v>
      </c>
      <c r="F459" s="78">
        <f t="shared" si="63"/>
        <v>46059</v>
      </c>
      <c r="G459" s="78">
        <v>46139</v>
      </c>
      <c r="H459" s="78">
        <f ca="1">TODAY()</f>
        <v>46277</v>
      </c>
      <c r="I459" s="78" t="s">
        <v>321</v>
      </c>
      <c r="J459" s="79" t="s">
        <v>1007</v>
      </c>
      <c r="K459" s="76">
        <f t="shared" si="56"/>
        <v>80</v>
      </c>
      <c r="L459" s="76">
        <v>1195264</v>
      </c>
      <c r="M459" s="79" t="s">
        <v>210</v>
      </c>
      <c r="N459" s="79">
        <v>817644</v>
      </c>
      <c r="O459" s="79" t="s">
        <v>246</v>
      </c>
      <c r="P459" s="104">
        <v>46090</v>
      </c>
      <c r="Q459" s="104">
        <v>46254</v>
      </c>
      <c r="R459" s="194" t="s">
        <v>211</v>
      </c>
      <c r="S459" s="81" t="s">
        <v>1008</v>
      </c>
      <c r="T459" s="82">
        <v>1</v>
      </c>
      <c r="U459" s="195" t="s">
        <v>81</v>
      </c>
      <c r="V459" s="83">
        <v>63</v>
      </c>
      <c r="W459" s="83"/>
      <c r="X459" s="84">
        <v>0</v>
      </c>
      <c r="Y459" s="83">
        <v>0</v>
      </c>
      <c r="Z459" s="83">
        <v>0</v>
      </c>
      <c r="AA459" s="83">
        <v>0</v>
      </c>
      <c r="AB459" s="83">
        <v>0</v>
      </c>
      <c r="AC459" s="83"/>
      <c r="AD459" s="83">
        <v>0</v>
      </c>
      <c r="AE459" s="83">
        <v>0</v>
      </c>
      <c r="AF459" s="83">
        <v>0</v>
      </c>
      <c r="AG459" s="83">
        <v>0</v>
      </c>
      <c r="AH459" s="83">
        <v>0</v>
      </c>
      <c r="AI459" s="83"/>
      <c r="AJ459" s="83">
        <v>0</v>
      </c>
      <c r="AK459" s="83">
        <v>0</v>
      </c>
      <c r="AL459" s="83">
        <v>1</v>
      </c>
      <c r="AM459" s="83"/>
      <c r="AN459" s="83">
        <v>1</v>
      </c>
      <c r="AO459" s="83"/>
      <c r="AP459" s="83">
        <v>1</v>
      </c>
      <c r="AQ459" s="83"/>
      <c r="AR459" s="83">
        <v>0</v>
      </c>
      <c r="AS459" s="83">
        <v>0</v>
      </c>
      <c r="AT459" s="83">
        <v>0</v>
      </c>
      <c r="AU459" s="83"/>
      <c r="AV459" s="83">
        <v>0</v>
      </c>
      <c r="AW459" s="83">
        <v>0</v>
      </c>
      <c r="AX459" s="83">
        <f t="shared" si="61"/>
        <v>5060</v>
      </c>
      <c r="AY459" s="83">
        <f t="shared" si="62"/>
        <v>0</v>
      </c>
      <c r="AZ459" s="79" t="s">
        <v>210</v>
      </c>
      <c r="BA459" s="79" t="s">
        <v>77</v>
      </c>
      <c r="BB459" s="80" t="s">
        <v>77</v>
      </c>
      <c r="BC459" s="196">
        <v>455</v>
      </c>
      <c r="BD459" s="85"/>
      <c r="BE459" s="82"/>
      <c r="BF459" s="86"/>
      <c r="BG459" s="80"/>
      <c r="BH459" s="87" t="s">
        <v>77</v>
      </c>
      <c r="BI459" s="87" t="s">
        <v>1543</v>
      </c>
    </row>
    <row r="460" spans="1:63" s="16" customFormat="1" ht="42" hidden="1" customHeight="1" x14ac:dyDescent="0.3">
      <c r="A460" s="200">
        <v>456</v>
      </c>
      <c r="B460" s="138">
        <v>245491</v>
      </c>
      <c r="C460" s="138">
        <v>456</v>
      </c>
      <c r="D460" s="139">
        <v>46049</v>
      </c>
      <c r="E460" s="139">
        <f t="shared" si="60"/>
        <v>46048</v>
      </c>
      <c r="F460" s="139">
        <f t="shared" si="63"/>
        <v>46059</v>
      </c>
      <c r="G460" s="139">
        <v>46139</v>
      </c>
      <c r="H460" s="139">
        <v>46229</v>
      </c>
      <c r="I460" s="139" t="s">
        <v>321</v>
      </c>
      <c r="J460" s="140" t="s">
        <v>1009</v>
      </c>
      <c r="K460" s="141">
        <f t="shared" si="56"/>
        <v>80</v>
      </c>
      <c r="L460" s="141">
        <v>1195270</v>
      </c>
      <c r="M460" s="140" t="s">
        <v>15</v>
      </c>
      <c r="N460" s="140">
        <v>816837</v>
      </c>
      <c r="O460" s="140" t="s">
        <v>246</v>
      </c>
      <c r="P460" s="143">
        <v>46068</v>
      </c>
      <c r="Q460" s="143">
        <v>46247</v>
      </c>
      <c r="R460" s="185" t="s">
        <v>211</v>
      </c>
      <c r="S460" s="144" t="s">
        <v>1010</v>
      </c>
      <c r="T460" s="145">
        <v>1</v>
      </c>
      <c r="U460" s="186" t="s">
        <v>82</v>
      </c>
      <c r="V460" s="146">
        <v>47</v>
      </c>
      <c r="W460" s="146">
        <v>47</v>
      </c>
      <c r="X460" s="147">
        <v>0</v>
      </c>
      <c r="Y460" s="146">
        <v>0</v>
      </c>
      <c r="Z460" s="146">
        <v>0</v>
      </c>
      <c r="AA460" s="146">
        <v>0</v>
      </c>
      <c r="AB460" s="146">
        <v>0</v>
      </c>
      <c r="AC460" s="146"/>
      <c r="AD460" s="146">
        <v>0</v>
      </c>
      <c r="AE460" s="146">
        <v>0</v>
      </c>
      <c r="AF460" s="146">
        <v>0</v>
      </c>
      <c r="AG460" s="146">
        <v>0</v>
      </c>
      <c r="AH460" s="146">
        <v>0</v>
      </c>
      <c r="AI460" s="146"/>
      <c r="AJ460" s="146">
        <v>0</v>
      </c>
      <c r="AK460" s="146">
        <v>0</v>
      </c>
      <c r="AL460" s="146">
        <v>1</v>
      </c>
      <c r="AM460" s="146">
        <v>1</v>
      </c>
      <c r="AN460" s="146">
        <v>2</v>
      </c>
      <c r="AO460" s="146">
        <v>2</v>
      </c>
      <c r="AP460" s="146">
        <v>1</v>
      </c>
      <c r="AQ460" s="146">
        <v>1</v>
      </c>
      <c r="AR460" s="146">
        <v>0</v>
      </c>
      <c r="AS460" s="146">
        <v>0</v>
      </c>
      <c r="AT460" s="146">
        <v>0</v>
      </c>
      <c r="AU460" s="146"/>
      <c r="AV460" s="146">
        <v>0</v>
      </c>
      <c r="AW460" s="146">
        <v>0</v>
      </c>
      <c r="AX460" s="146">
        <f t="shared" si="61"/>
        <v>4160</v>
      </c>
      <c r="AY460" s="146">
        <f t="shared" si="62"/>
        <v>4160</v>
      </c>
      <c r="AZ460" s="140" t="s">
        <v>562</v>
      </c>
      <c r="BA460" s="140" t="s">
        <v>562</v>
      </c>
      <c r="BB460" s="137">
        <v>13</v>
      </c>
      <c r="BC460" s="187">
        <v>456</v>
      </c>
      <c r="BD460" s="149"/>
      <c r="BE460" s="145"/>
      <c r="BF460" s="150"/>
      <c r="BG460" s="188">
        <v>46219</v>
      </c>
      <c r="BH460" s="153" t="s">
        <v>15</v>
      </c>
      <c r="BI460" s="153" t="s">
        <v>562</v>
      </c>
    </row>
    <row r="461" spans="1:63" s="16" customFormat="1" ht="42" hidden="1" customHeight="1" x14ac:dyDescent="0.3">
      <c r="A461" s="200">
        <v>457</v>
      </c>
      <c r="B461" s="138">
        <v>245642</v>
      </c>
      <c r="C461" s="138">
        <v>457</v>
      </c>
      <c r="D461" s="139">
        <v>46051</v>
      </c>
      <c r="E461" s="139">
        <f t="shared" si="60"/>
        <v>46050</v>
      </c>
      <c r="F461" s="139">
        <f t="shared" si="63"/>
        <v>46061</v>
      </c>
      <c r="G461" s="139">
        <v>46110</v>
      </c>
      <c r="H461" s="139">
        <v>46145</v>
      </c>
      <c r="I461" s="139" t="s">
        <v>123</v>
      </c>
      <c r="J461" s="140" t="s">
        <v>1011</v>
      </c>
      <c r="K461" s="141">
        <f t="shared" si="56"/>
        <v>49</v>
      </c>
      <c r="L461" s="141">
        <v>1196091</v>
      </c>
      <c r="M461" s="140" t="s">
        <v>15</v>
      </c>
      <c r="N461" s="140">
        <v>816610</v>
      </c>
      <c r="O461" s="140" t="s">
        <v>246</v>
      </c>
      <c r="P461" s="143">
        <v>46072</v>
      </c>
      <c r="Q461" s="143">
        <v>46247</v>
      </c>
      <c r="R461" s="185" t="s">
        <v>211</v>
      </c>
      <c r="S461" s="144" t="s">
        <v>1012</v>
      </c>
      <c r="T461" s="145">
        <v>1</v>
      </c>
      <c r="U461" s="186" t="s">
        <v>82</v>
      </c>
      <c r="V461" s="146">
        <v>35</v>
      </c>
      <c r="W461" s="146">
        <v>35</v>
      </c>
      <c r="X461" s="147">
        <v>0</v>
      </c>
      <c r="Y461" s="146">
        <v>0</v>
      </c>
      <c r="Z461" s="146">
        <v>0</v>
      </c>
      <c r="AA461" s="146">
        <v>0</v>
      </c>
      <c r="AB461" s="146">
        <v>35</v>
      </c>
      <c r="AC461" s="146">
        <v>35</v>
      </c>
      <c r="AD461" s="146">
        <v>0</v>
      </c>
      <c r="AE461" s="146">
        <v>0</v>
      </c>
      <c r="AF461" s="146">
        <v>0</v>
      </c>
      <c r="AG461" s="146">
        <v>0</v>
      </c>
      <c r="AH461" s="146">
        <v>1</v>
      </c>
      <c r="AI461" s="146">
        <v>1</v>
      </c>
      <c r="AJ461" s="146">
        <v>0</v>
      </c>
      <c r="AK461" s="146">
        <v>0</v>
      </c>
      <c r="AL461" s="146">
        <v>0</v>
      </c>
      <c r="AM461" s="146">
        <v>0</v>
      </c>
      <c r="AN461" s="146">
        <v>1</v>
      </c>
      <c r="AO461" s="146">
        <v>1</v>
      </c>
      <c r="AP461" s="146">
        <v>2</v>
      </c>
      <c r="AQ461" s="146">
        <v>2</v>
      </c>
      <c r="AR461" s="146">
        <v>0</v>
      </c>
      <c r="AS461" s="146">
        <v>0</v>
      </c>
      <c r="AT461" s="146">
        <v>1</v>
      </c>
      <c r="AU461" s="146">
        <v>1</v>
      </c>
      <c r="AV461" s="146">
        <v>0</v>
      </c>
      <c r="AW461" s="146">
        <v>0</v>
      </c>
      <c r="AX461" s="146">
        <f t="shared" si="61"/>
        <v>5935</v>
      </c>
      <c r="AY461" s="146">
        <f t="shared" si="62"/>
        <v>5935</v>
      </c>
      <c r="AZ461" s="137" t="s">
        <v>562</v>
      </c>
      <c r="BA461" s="137" t="s">
        <v>562</v>
      </c>
      <c r="BB461" s="137">
        <v>11</v>
      </c>
      <c r="BC461" s="187">
        <v>457</v>
      </c>
      <c r="BD461" s="149"/>
      <c r="BE461" s="145"/>
      <c r="BF461" s="150"/>
      <c r="BG461" s="188">
        <v>46132</v>
      </c>
      <c r="BH461" s="153" t="s">
        <v>15</v>
      </c>
      <c r="BI461" s="153" t="s">
        <v>562</v>
      </c>
      <c r="BK461" s="238"/>
    </row>
    <row r="462" spans="1:63" s="16" customFormat="1" ht="42" hidden="1" customHeight="1" x14ac:dyDescent="0.3">
      <c r="A462" s="200">
        <v>458</v>
      </c>
      <c r="B462" s="138">
        <v>245714</v>
      </c>
      <c r="C462" s="138">
        <v>458</v>
      </c>
      <c r="D462" s="139">
        <v>46163</v>
      </c>
      <c r="E462" s="139">
        <f t="shared" si="60"/>
        <v>46162</v>
      </c>
      <c r="F462" s="139">
        <f t="shared" si="63"/>
        <v>46173</v>
      </c>
      <c r="G462" s="139">
        <v>46224</v>
      </c>
      <c r="H462" s="139">
        <v>46187</v>
      </c>
      <c r="I462" s="139" t="s">
        <v>123</v>
      </c>
      <c r="J462" s="140" t="s">
        <v>1253</v>
      </c>
      <c r="K462" s="141">
        <f t="shared" si="56"/>
        <v>51</v>
      </c>
      <c r="L462" s="141">
        <v>1196903</v>
      </c>
      <c r="M462" s="140" t="s">
        <v>15</v>
      </c>
      <c r="N462" s="140">
        <v>817994</v>
      </c>
      <c r="O462" s="140" t="s">
        <v>246</v>
      </c>
      <c r="P462" s="143">
        <v>46092</v>
      </c>
      <c r="Q462" s="143">
        <v>46261</v>
      </c>
      <c r="R462" s="185" t="s">
        <v>211</v>
      </c>
      <c r="S462" s="144" t="s">
        <v>1020</v>
      </c>
      <c r="T462" s="145">
        <v>2</v>
      </c>
      <c r="U462" s="186" t="s">
        <v>82</v>
      </c>
      <c r="V462" s="146">
        <v>100</v>
      </c>
      <c r="W462" s="146">
        <v>100</v>
      </c>
      <c r="X462" s="147">
        <v>0</v>
      </c>
      <c r="Y462" s="146">
        <v>0</v>
      </c>
      <c r="Z462" s="146">
        <v>0</v>
      </c>
      <c r="AA462" s="146">
        <v>0</v>
      </c>
      <c r="AB462" s="146">
        <v>0</v>
      </c>
      <c r="AC462" s="146">
        <v>0</v>
      </c>
      <c r="AD462" s="146">
        <v>0</v>
      </c>
      <c r="AE462" s="146">
        <v>0</v>
      </c>
      <c r="AF462" s="146">
        <v>0</v>
      </c>
      <c r="AG462" s="146">
        <v>0</v>
      </c>
      <c r="AH462" s="146">
        <v>1</v>
      </c>
      <c r="AI462" s="146">
        <v>1</v>
      </c>
      <c r="AJ462" s="146">
        <v>0</v>
      </c>
      <c r="AK462" s="146">
        <v>0</v>
      </c>
      <c r="AL462" s="146">
        <v>0</v>
      </c>
      <c r="AM462" s="146">
        <v>0</v>
      </c>
      <c r="AN462" s="146">
        <v>1</v>
      </c>
      <c r="AO462" s="146">
        <v>1</v>
      </c>
      <c r="AP462" s="146">
        <v>2</v>
      </c>
      <c r="AQ462" s="146">
        <v>2</v>
      </c>
      <c r="AR462" s="146">
        <v>0</v>
      </c>
      <c r="AS462" s="146">
        <v>0</v>
      </c>
      <c r="AT462" s="146">
        <v>1</v>
      </c>
      <c r="AU462" s="146">
        <v>1</v>
      </c>
      <c r="AV462" s="146">
        <v>0</v>
      </c>
      <c r="AW462" s="146">
        <v>0</v>
      </c>
      <c r="AX462" s="146">
        <f t="shared" si="61"/>
        <v>7840</v>
      </c>
      <c r="AY462" s="146">
        <f t="shared" si="62"/>
        <v>7840</v>
      </c>
      <c r="AZ462" s="140" t="s">
        <v>562</v>
      </c>
      <c r="BA462" s="140" t="s">
        <v>562</v>
      </c>
      <c r="BB462" s="137">
        <v>13</v>
      </c>
      <c r="BC462" s="187">
        <v>458</v>
      </c>
      <c r="BD462" s="149"/>
      <c r="BE462" s="145"/>
      <c r="BF462" s="150"/>
      <c r="BG462" s="188">
        <v>46180</v>
      </c>
      <c r="BH462" s="153" t="s">
        <v>15</v>
      </c>
      <c r="BI462" s="153" t="s">
        <v>562</v>
      </c>
    </row>
    <row r="463" spans="1:63" s="16" customFormat="1" ht="42" hidden="1" customHeight="1" x14ac:dyDescent="0.3">
      <c r="A463" s="200">
        <v>459</v>
      </c>
      <c r="B463" s="138">
        <v>245716</v>
      </c>
      <c r="C463" s="138">
        <v>459</v>
      </c>
      <c r="D463" s="139">
        <v>46138</v>
      </c>
      <c r="E463" s="139">
        <f t="shared" si="60"/>
        <v>46137</v>
      </c>
      <c r="F463" s="139">
        <f t="shared" si="63"/>
        <v>46148</v>
      </c>
      <c r="G463" s="139">
        <v>46199</v>
      </c>
      <c r="H463" s="139">
        <v>46161</v>
      </c>
      <c r="I463" s="139" t="s">
        <v>123</v>
      </c>
      <c r="J463" s="140" t="s">
        <v>1230</v>
      </c>
      <c r="K463" s="141">
        <f t="shared" si="56"/>
        <v>51</v>
      </c>
      <c r="L463" s="141">
        <v>1196910</v>
      </c>
      <c r="M463" s="140" t="s">
        <v>15</v>
      </c>
      <c r="N463" s="140">
        <v>817645</v>
      </c>
      <c r="O463" s="140" t="s">
        <v>246</v>
      </c>
      <c r="P463" s="143">
        <v>46085</v>
      </c>
      <c r="Q463" s="143">
        <v>46254</v>
      </c>
      <c r="R463" s="185" t="s">
        <v>211</v>
      </c>
      <c r="S463" s="144" t="s">
        <v>1021</v>
      </c>
      <c r="T463" s="145">
        <v>2</v>
      </c>
      <c r="U463" s="186" t="s">
        <v>840</v>
      </c>
      <c r="V463" s="146">
        <v>176</v>
      </c>
      <c r="W463" s="146">
        <v>176</v>
      </c>
      <c r="X463" s="147">
        <v>0</v>
      </c>
      <c r="Y463" s="146">
        <v>0</v>
      </c>
      <c r="Z463" s="146">
        <v>0</v>
      </c>
      <c r="AA463" s="146">
        <v>0</v>
      </c>
      <c r="AB463" s="146">
        <v>176</v>
      </c>
      <c r="AC463" s="146">
        <v>176</v>
      </c>
      <c r="AD463" s="146">
        <v>0</v>
      </c>
      <c r="AE463" s="146">
        <v>0</v>
      </c>
      <c r="AF463" s="146">
        <v>0</v>
      </c>
      <c r="AG463" s="146">
        <v>0</v>
      </c>
      <c r="AH463" s="146">
        <v>2</v>
      </c>
      <c r="AI463" s="146">
        <v>2</v>
      </c>
      <c r="AJ463" s="146">
        <v>0</v>
      </c>
      <c r="AK463" s="146">
        <v>0</v>
      </c>
      <c r="AL463" s="146">
        <v>0</v>
      </c>
      <c r="AM463" s="146">
        <v>0</v>
      </c>
      <c r="AN463" s="146">
        <v>1</v>
      </c>
      <c r="AO463" s="146">
        <v>1</v>
      </c>
      <c r="AP463" s="146">
        <v>3</v>
      </c>
      <c r="AQ463" s="146">
        <v>3</v>
      </c>
      <c r="AR463" s="146">
        <v>0</v>
      </c>
      <c r="AS463" s="146">
        <v>0</v>
      </c>
      <c r="AT463" s="146">
        <v>2</v>
      </c>
      <c r="AU463" s="146">
        <v>2</v>
      </c>
      <c r="AV463" s="146">
        <v>0</v>
      </c>
      <c r="AW463" s="146">
        <v>0</v>
      </c>
      <c r="AX463" s="146">
        <f t="shared" si="61"/>
        <v>23582</v>
      </c>
      <c r="AY463" s="146">
        <f t="shared" si="62"/>
        <v>23582</v>
      </c>
      <c r="AZ463" s="137" t="s">
        <v>562</v>
      </c>
      <c r="BA463" s="137" t="s">
        <v>562</v>
      </c>
      <c r="BB463" s="137">
        <v>11</v>
      </c>
      <c r="BC463" s="187">
        <v>459</v>
      </c>
      <c r="BD463" s="149"/>
      <c r="BE463" s="145"/>
      <c r="BF463" s="150"/>
      <c r="BG463" s="188">
        <v>46152</v>
      </c>
      <c r="BH463" s="153" t="s">
        <v>15</v>
      </c>
      <c r="BI463" s="153" t="s">
        <v>562</v>
      </c>
      <c r="BK463" s="238"/>
    </row>
    <row r="464" spans="1:63" s="16" customFormat="1" ht="42" customHeight="1" x14ac:dyDescent="0.3">
      <c r="A464" s="200">
        <v>460</v>
      </c>
      <c r="B464" s="62">
        <v>245719</v>
      </c>
      <c r="C464" s="62">
        <v>460</v>
      </c>
      <c r="D464" s="63">
        <v>46054</v>
      </c>
      <c r="E464" s="63">
        <f t="shared" si="60"/>
        <v>46053</v>
      </c>
      <c r="F464" s="63">
        <f t="shared" si="63"/>
        <v>46064</v>
      </c>
      <c r="G464" s="63">
        <v>46143</v>
      </c>
      <c r="H464" s="63">
        <f ca="1">TODAY()</f>
        <v>46277</v>
      </c>
      <c r="I464" s="63" t="s">
        <v>321</v>
      </c>
      <c r="J464" s="64" t="s">
        <v>1015</v>
      </c>
      <c r="K464" s="65">
        <f t="shared" si="56"/>
        <v>79</v>
      </c>
      <c r="L464" s="65">
        <v>1196923</v>
      </c>
      <c r="M464" s="64" t="s">
        <v>77</v>
      </c>
      <c r="N464" s="64">
        <v>817645</v>
      </c>
      <c r="O464" s="253" t="s">
        <v>1462</v>
      </c>
      <c r="P464" s="103">
        <v>46085</v>
      </c>
      <c r="Q464" s="103">
        <v>46254</v>
      </c>
      <c r="R464" s="73" t="s">
        <v>211</v>
      </c>
      <c r="S464" s="66" t="s">
        <v>1022</v>
      </c>
      <c r="T464" s="67">
        <v>1</v>
      </c>
      <c r="U464" s="75" t="s">
        <v>840</v>
      </c>
      <c r="V464" s="68">
        <v>83</v>
      </c>
      <c r="W464" s="68"/>
      <c r="X464" s="69">
        <v>0</v>
      </c>
      <c r="Y464" s="68">
        <v>0</v>
      </c>
      <c r="Z464" s="68">
        <v>0</v>
      </c>
      <c r="AA464" s="68">
        <v>0</v>
      </c>
      <c r="AB464" s="68">
        <v>0</v>
      </c>
      <c r="AC464" s="68"/>
      <c r="AD464" s="68">
        <v>0</v>
      </c>
      <c r="AE464" s="68">
        <v>0</v>
      </c>
      <c r="AF464" s="68">
        <v>0</v>
      </c>
      <c r="AG464" s="68">
        <v>0</v>
      </c>
      <c r="AH464" s="68">
        <v>0</v>
      </c>
      <c r="AI464" s="68"/>
      <c r="AJ464" s="68">
        <v>0</v>
      </c>
      <c r="AK464" s="68">
        <v>0</v>
      </c>
      <c r="AL464" s="68">
        <v>1</v>
      </c>
      <c r="AM464" s="68"/>
      <c r="AN464" s="68">
        <v>1</v>
      </c>
      <c r="AO464" s="68"/>
      <c r="AP464" s="68">
        <v>1</v>
      </c>
      <c r="AQ464" s="68"/>
      <c r="AR464" s="68">
        <v>0</v>
      </c>
      <c r="AS464" s="68">
        <v>0</v>
      </c>
      <c r="AT464" s="68">
        <v>0</v>
      </c>
      <c r="AU464" s="68"/>
      <c r="AV464" s="68">
        <v>0</v>
      </c>
      <c r="AW464" s="68">
        <v>0</v>
      </c>
      <c r="AX464" s="146">
        <f t="shared" si="61"/>
        <v>6260</v>
      </c>
      <c r="AY464" s="146">
        <f t="shared" si="62"/>
        <v>0</v>
      </c>
      <c r="AZ464" s="64" t="s">
        <v>77</v>
      </c>
      <c r="BA464" s="64" t="s">
        <v>77</v>
      </c>
      <c r="BB464" s="15" t="s">
        <v>77</v>
      </c>
      <c r="BC464" s="74">
        <v>460</v>
      </c>
      <c r="BD464" s="70"/>
      <c r="BE464" s="67"/>
      <c r="BF464" s="71"/>
      <c r="BG464" s="15"/>
      <c r="BH464" s="72" t="s">
        <v>77</v>
      </c>
      <c r="BI464" s="72" t="s">
        <v>77</v>
      </c>
    </row>
    <row r="465" spans="1:63" s="16" customFormat="1" ht="42" hidden="1" customHeight="1" x14ac:dyDescent="0.3">
      <c r="A465" s="26">
        <v>461</v>
      </c>
      <c r="B465" s="138">
        <v>245720</v>
      </c>
      <c r="C465" s="138">
        <v>461</v>
      </c>
      <c r="D465" s="139">
        <v>46065</v>
      </c>
      <c r="E465" s="139">
        <f t="shared" si="60"/>
        <v>46064</v>
      </c>
      <c r="F465" s="139">
        <f t="shared" si="63"/>
        <v>46075</v>
      </c>
      <c r="G465" s="139">
        <v>46124</v>
      </c>
      <c r="H465" s="139">
        <v>46074</v>
      </c>
      <c r="I465" s="139" t="s">
        <v>123</v>
      </c>
      <c r="J465" s="140" t="s">
        <v>1053</v>
      </c>
      <c r="K465" s="141">
        <f t="shared" si="56"/>
        <v>49</v>
      </c>
      <c r="L465" s="141">
        <v>1196926</v>
      </c>
      <c r="M465" s="140" t="s">
        <v>15</v>
      </c>
      <c r="N465" s="140">
        <v>817659</v>
      </c>
      <c r="O465" s="140" t="s">
        <v>246</v>
      </c>
      <c r="P465" s="143">
        <v>46074</v>
      </c>
      <c r="Q465" s="143">
        <v>46254</v>
      </c>
      <c r="R465" s="185" t="s">
        <v>211</v>
      </c>
      <c r="S465" s="144" t="s">
        <v>1023</v>
      </c>
      <c r="T465" s="145">
        <v>1</v>
      </c>
      <c r="U465" s="186" t="s">
        <v>1029</v>
      </c>
      <c r="V465" s="146">
        <v>40</v>
      </c>
      <c r="W465" s="146">
        <v>40</v>
      </c>
      <c r="X465" s="147">
        <v>0</v>
      </c>
      <c r="Y465" s="146">
        <v>0</v>
      </c>
      <c r="Z465" s="146">
        <v>0</v>
      </c>
      <c r="AA465" s="146">
        <v>0</v>
      </c>
      <c r="AB465" s="146">
        <v>40</v>
      </c>
      <c r="AC465" s="146">
        <v>40</v>
      </c>
      <c r="AD465" s="146">
        <v>0</v>
      </c>
      <c r="AE465" s="146">
        <v>0</v>
      </c>
      <c r="AF465" s="146">
        <v>0</v>
      </c>
      <c r="AG465" s="146">
        <v>0</v>
      </c>
      <c r="AH465" s="146">
        <v>1</v>
      </c>
      <c r="AI465" s="146">
        <v>1</v>
      </c>
      <c r="AJ465" s="146">
        <v>0</v>
      </c>
      <c r="AK465" s="146">
        <v>0</v>
      </c>
      <c r="AL465" s="146">
        <v>0</v>
      </c>
      <c r="AM465" s="146"/>
      <c r="AN465" s="146">
        <v>1</v>
      </c>
      <c r="AO465" s="146">
        <v>1</v>
      </c>
      <c r="AP465" s="146">
        <v>2</v>
      </c>
      <c r="AQ465" s="146">
        <v>2</v>
      </c>
      <c r="AR465" s="146">
        <v>0</v>
      </c>
      <c r="AS465" s="146">
        <v>0</v>
      </c>
      <c r="AT465" s="146">
        <v>0</v>
      </c>
      <c r="AU465" s="146"/>
      <c r="AV465" s="146">
        <v>1</v>
      </c>
      <c r="AW465" s="146">
        <v>1</v>
      </c>
      <c r="AX465" s="146">
        <f t="shared" si="61"/>
        <v>7120</v>
      </c>
      <c r="AY465" s="146">
        <f t="shared" si="62"/>
        <v>7120</v>
      </c>
      <c r="AZ465" s="140" t="s">
        <v>562</v>
      </c>
      <c r="BA465" s="140" t="s">
        <v>562</v>
      </c>
      <c r="BB465" s="137">
        <v>7</v>
      </c>
      <c r="BC465" s="187">
        <v>461</v>
      </c>
      <c r="BD465" s="149"/>
      <c r="BE465" s="145"/>
      <c r="BF465" s="150"/>
      <c r="BG465" s="188">
        <v>46054</v>
      </c>
      <c r="BH465" s="153" t="s">
        <v>15</v>
      </c>
      <c r="BI465" s="153" t="s">
        <v>562</v>
      </c>
    </row>
    <row r="466" spans="1:63" s="16" customFormat="1" ht="42" customHeight="1" x14ac:dyDescent="0.3">
      <c r="A466" s="200">
        <v>462</v>
      </c>
      <c r="B466" s="62">
        <v>245721</v>
      </c>
      <c r="C466" s="62">
        <v>462</v>
      </c>
      <c r="D466" s="63">
        <v>46054</v>
      </c>
      <c r="E466" s="63">
        <f t="shared" si="60"/>
        <v>46053</v>
      </c>
      <c r="F466" s="63">
        <f t="shared" si="63"/>
        <v>46064</v>
      </c>
      <c r="G466" s="63">
        <v>46143</v>
      </c>
      <c r="H466" s="63">
        <f ca="1">TODAY()</f>
        <v>46277</v>
      </c>
      <c r="I466" s="63" t="s">
        <v>321</v>
      </c>
      <c r="J466" s="64" t="s">
        <v>1016</v>
      </c>
      <c r="K466" s="65">
        <f t="shared" si="56"/>
        <v>79</v>
      </c>
      <c r="L466" s="65">
        <v>1196927</v>
      </c>
      <c r="M466" s="64" t="s">
        <v>77</v>
      </c>
      <c r="N466" s="64">
        <v>817995</v>
      </c>
      <c r="O466" s="253" t="s">
        <v>1462</v>
      </c>
      <c r="P466" s="103">
        <v>46089</v>
      </c>
      <c r="Q466" s="103">
        <v>46261</v>
      </c>
      <c r="R466" s="73" t="s">
        <v>211</v>
      </c>
      <c r="S466" s="66" t="s">
        <v>1024</v>
      </c>
      <c r="T466" s="67">
        <v>1</v>
      </c>
      <c r="U466" s="75" t="s">
        <v>81</v>
      </c>
      <c r="V466" s="68">
        <v>85</v>
      </c>
      <c r="W466" s="68"/>
      <c r="X466" s="69">
        <v>0</v>
      </c>
      <c r="Y466" s="68">
        <v>0</v>
      </c>
      <c r="Z466" s="68">
        <v>0</v>
      </c>
      <c r="AA466" s="68">
        <v>0</v>
      </c>
      <c r="AB466" s="68">
        <v>0</v>
      </c>
      <c r="AC466" s="68"/>
      <c r="AD466" s="68">
        <v>0</v>
      </c>
      <c r="AE466" s="68">
        <v>0</v>
      </c>
      <c r="AF466" s="68">
        <v>0</v>
      </c>
      <c r="AG466" s="68">
        <v>0</v>
      </c>
      <c r="AH466" s="68">
        <v>0</v>
      </c>
      <c r="AI466" s="68"/>
      <c r="AJ466" s="68">
        <v>0</v>
      </c>
      <c r="AK466" s="68">
        <v>0</v>
      </c>
      <c r="AL466" s="68">
        <v>1</v>
      </c>
      <c r="AM466" s="68"/>
      <c r="AN466" s="68">
        <v>1</v>
      </c>
      <c r="AO466" s="68"/>
      <c r="AP466" s="68">
        <v>1</v>
      </c>
      <c r="AQ466" s="68"/>
      <c r="AR466" s="68">
        <v>0</v>
      </c>
      <c r="AS466" s="68">
        <v>0</v>
      </c>
      <c r="AT466" s="68">
        <v>0</v>
      </c>
      <c r="AU466" s="68"/>
      <c r="AV466" s="68">
        <v>0</v>
      </c>
      <c r="AW466" s="68">
        <v>0</v>
      </c>
      <c r="AX466" s="146">
        <f t="shared" si="61"/>
        <v>6380</v>
      </c>
      <c r="AY466" s="146">
        <f t="shared" si="62"/>
        <v>0</v>
      </c>
      <c r="AZ466" s="64" t="s">
        <v>77</v>
      </c>
      <c r="BA466" s="64" t="s">
        <v>77</v>
      </c>
      <c r="BB466" s="15" t="s">
        <v>77</v>
      </c>
      <c r="BC466" s="74">
        <v>462</v>
      </c>
      <c r="BD466" s="70"/>
      <c r="BE466" s="67"/>
      <c r="BF466" s="71"/>
      <c r="BG466" s="15"/>
      <c r="BH466" s="72" t="s">
        <v>77</v>
      </c>
      <c r="BI466" s="72" t="s">
        <v>77</v>
      </c>
    </row>
    <row r="467" spans="1:63" s="16" customFormat="1" ht="42" customHeight="1" x14ac:dyDescent="0.3">
      <c r="A467" s="200">
        <v>463</v>
      </c>
      <c r="B467" s="77">
        <v>245723</v>
      </c>
      <c r="C467" s="77">
        <v>463</v>
      </c>
      <c r="D467" s="78">
        <v>46054</v>
      </c>
      <c r="E467" s="78">
        <f t="shared" si="60"/>
        <v>46053</v>
      </c>
      <c r="F467" s="78">
        <f t="shared" si="63"/>
        <v>46064</v>
      </c>
      <c r="G467" s="78">
        <v>46143</v>
      </c>
      <c r="H467" s="78">
        <f ca="1">TODAY()</f>
        <v>46277</v>
      </c>
      <c r="I467" s="78" t="s">
        <v>321</v>
      </c>
      <c r="J467" s="79" t="s">
        <v>1017</v>
      </c>
      <c r="K467" s="76">
        <f t="shared" ref="K467:K532" si="64">G467-F467</f>
        <v>79</v>
      </c>
      <c r="L467" s="76">
        <v>1196929</v>
      </c>
      <c r="M467" s="79" t="s">
        <v>210</v>
      </c>
      <c r="N467" s="79">
        <v>817994</v>
      </c>
      <c r="O467" s="253" t="s">
        <v>1462</v>
      </c>
      <c r="P467" s="104">
        <v>46092</v>
      </c>
      <c r="Q467" s="104">
        <v>46261</v>
      </c>
      <c r="R467" s="194" t="s">
        <v>211</v>
      </c>
      <c r="S467" s="81" t="s">
        <v>1025</v>
      </c>
      <c r="T467" s="82">
        <v>1</v>
      </c>
      <c r="U467" s="195" t="s">
        <v>82</v>
      </c>
      <c r="V467" s="83">
        <v>10</v>
      </c>
      <c r="W467" s="83">
        <v>0</v>
      </c>
      <c r="X467" s="84">
        <v>0</v>
      </c>
      <c r="Y467" s="83">
        <v>0</v>
      </c>
      <c r="Z467" s="83">
        <v>0</v>
      </c>
      <c r="AA467" s="83">
        <v>0</v>
      </c>
      <c r="AB467" s="83">
        <v>0</v>
      </c>
      <c r="AC467" s="83"/>
      <c r="AD467" s="83">
        <v>0</v>
      </c>
      <c r="AE467" s="83">
        <v>0</v>
      </c>
      <c r="AF467" s="83">
        <v>0</v>
      </c>
      <c r="AG467" s="83">
        <v>0</v>
      </c>
      <c r="AH467" s="83">
        <v>0</v>
      </c>
      <c r="AI467" s="83">
        <v>0</v>
      </c>
      <c r="AJ467" s="83">
        <v>0</v>
      </c>
      <c r="AK467" s="83">
        <v>0</v>
      </c>
      <c r="AL467" s="83">
        <v>0</v>
      </c>
      <c r="AM467" s="83">
        <v>0</v>
      </c>
      <c r="AN467" s="83">
        <v>1</v>
      </c>
      <c r="AO467" s="83"/>
      <c r="AP467" s="83">
        <v>1</v>
      </c>
      <c r="AQ467" s="83"/>
      <c r="AR467" s="83">
        <v>0</v>
      </c>
      <c r="AS467" s="83">
        <v>0</v>
      </c>
      <c r="AT467" s="83">
        <v>0</v>
      </c>
      <c r="AU467" s="83">
        <v>0</v>
      </c>
      <c r="AV467" s="83">
        <v>0</v>
      </c>
      <c r="AW467" s="83">
        <v>0</v>
      </c>
      <c r="AX467" s="83">
        <f t="shared" si="61"/>
        <v>1290</v>
      </c>
      <c r="AY467" s="83">
        <f t="shared" si="62"/>
        <v>0</v>
      </c>
      <c r="AZ467" s="79" t="s">
        <v>210</v>
      </c>
      <c r="BA467" s="79" t="s">
        <v>77</v>
      </c>
      <c r="BB467" s="80" t="s">
        <v>77</v>
      </c>
      <c r="BC467" s="196">
        <v>463</v>
      </c>
      <c r="BD467" s="85"/>
      <c r="BE467" s="82"/>
      <c r="BF467" s="86"/>
      <c r="BG467" s="80"/>
      <c r="BH467" s="87" t="s">
        <v>77</v>
      </c>
      <c r="BI467" s="87" t="s">
        <v>77</v>
      </c>
    </row>
    <row r="468" spans="1:63" s="16" customFormat="1" ht="42" hidden="1" customHeight="1" x14ac:dyDescent="0.3">
      <c r="A468" s="200">
        <v>464</v>
      </c>
      <c r="B468" s="138">
        <v>245726</v>
      </c>
      <c r="C468" s="138">
        <v>464</v>
      </c>
      <c r="D468" s="139">
        <v>46054</v>
      </c>
      <c r="E468" s="139">
        <f t="shared" si="60"/>
        <v>46053</v>
      </c>
      <c r="F468" s="139">
        <f t="shared" si="63"/>
        <v>46064</v>
      </c>
      <c r="G468" s="139">
        <v>46143</v>
      </c>
      <c r="H468" s="139">
        <v>46201</v>
      </c>
      <c r="I468" s="139" t="s">
        <v>321</v>
      </c>
      <c r="J468" s="140" t="s">
        <v>1018</v>
      </c>
      <c r="K468" s="141">
        <f t="shared" si="64"/>
        <v>79</v>
      </c>
      <c r="L468" s="141">
        <v>1196932</v>
      </c>
      <c r="M468" s="140" t="s">
        <v>15</v>
      </c>
      <c r="N468" s="140">
        <v>817994</v>
      </c>
      <c r="O468" s="140" t="s">
        <v>246</v>
      </c>
      <c r="P468" s="143">
        <v>46092</v>
      </c>
      <c r="Q468" s="143">
        <v>46261</v>
      </c>
      <c r="R468" s="185" t="s">
        <v>211</v>
      </c>
      <c r="S468" s="144" t="s">
        <v>1026</v>
      </c>
      <c r="T468" s="145">
        <v>1</v>
      </c>
      <c r="U468" s="186" t="s">
        <v>82</v>
      </c>
      <c r="V468" s="146">
        <v>6</v>
      </c>
      <c r="W468" s="146">
        <v>6</v>
      </c>
      <c r="X468" s="147">
        <v>0</v>
      </c>
      <c r="Y468" s="146">
        <v>0</v>
      </c>
      <c r="Z468" s="146">
        <v>0</v>
      </c>
      <c r="AA468" s="146">
        <v>0</v>
      </c>
      <c r="AB468" s="146">
        <v>6</v>
      </c>
      <c r="AC468" s="146">
        <v>6</v>
      </c>
      <c r="AD468" s="146">
        <v>0</v>
      </c>
      <c r="AE468" s="146">
        <v>0</v>
      </c>
      <c r="AF468" s="146">
        <v>0</v>
      </c>
      <c r="AG468" s="146">
        <v>0</v>
      </c>
      <c r="AH468" s="146">
        <v>0</v>
      </c>
      <c r="AI468" s="146">
        <v>0</v>
      </c>
      <c r="AJ468" s="146">
        <v>0</v>
      </c>
      <c r="AK468" s="146">
        <v>0</v>
      </c>
      <c r="AL468" s="146">
        <v>0</v>
      </c>
      <c r="AM468" s="146">
        <v>0</v>
      </c>
      <c r="AN468" s="146">
        <v>1</v>
      </c>
      <c r="AO468" s="146">
        <v>1</v>
      </c>
      <c r="AP468" s="146">
        <v>1</v>
      </c>
      <c r="AQ468" s="146">
        <v>1</v>
      </c>
      <c r="AR468" s="146">
        <v>0</v>
      </c>
      <c r="AS468" s="146">
        <v>0</v>
      </c>
      <c r="AT468" s="146">
        <v>0</v>
      </c>
      <c r="AU468" s="146">
        <v>0</v>
      </c>
      <c r="AV468" s="146">
        <v>0</v>
      </c>
      <c r="AW468" s="146">
        <v>0</v>
      </c>
      <c r="AX468" s="146">
        <f t="shared" si="61"/>
        <v>1392</v>
      </c>
      <c r="AY468" s="146">
        <f t="shared" si="62"/>
        <v>1392</v>
      </c>
      <c r="AZ468" s="140" t="s">
        <v>562</v>
      </c>
      <c r="BA468" s="140" t="s">
        <v>562</v>
      </c>
      <c r="BB468" s="137">
        <v>13</v>
      </c>
      <c r="BC468" s="187">
        <v>464</v>
      </c>
      <c r="BD468" s="149"/>
      <c r="BE468" s="145"/>
      <c r="BF468" s="150"/>
      <c r="BG468" s="188">
        <v>46201</v>
      </c>
      <c r="BH468" s="153" t="s">
        <v>15</v>
      </c>
      <c r="BI468" s="153" t="s">
        <v>562</v>
      </c>
    </row>
    <row r="469" spans="1:63" s="16" customFormat="1" ht="42" customHeight="1" x14ac:dyDescent="0.3">
      <c r="A469" s="200">
        <v>465</v>
      </c>
      <c r="B469" s="163">
        <v>245804</v>
      </c>
      <c r="C469" s="163">
        <v>465</v>
      </c>
      <c r="D469" s="164">
        <v>46055</v>
      </c>
      <c r="E469" s="164">
        <f t="shared" si="60"/>
        <v>46054</v>
      </c>
      <c r="F469" s="164">
        <f t="shared" si="63"/>
        <v>46065</v>
      </c>
      <c r="G469" s="164">
        <v>46144</v>
      </c>
      <c r="H469" s="164">
        <v>46232</v>
      </c>
      <c r="I469" s="164" t="s">
        <v>321</v>
      </c>
      <c r="J469" s="165" t="s">
        <v>1019</v>
      </c>
      <c r="K469" s="166">
        <f t="shared" si="64"/>
        <v>79</v>
      </c>
      <c r="L469" s="166">
        <v>1197267</v>
      </c>
      <c r="M469" s="165" t="s">
        <v>15</v>
      </c>
      <c r="N469" s="165">
        <v>817995</v>
      </c>
      <c r="O469" s="165" t="s">
        <v>246</v>
      </c>
      <c r="P469" s="167">
        <v>46089</v>
      </c>
      <c r="Q469" s="167">
        <v>46261</v>
      </c>
      <c r="R469" s="179" t="s">
        <v>211</v>
      </c>
      <c r="S469" s="168" t="s">
        <v>1027</v>
      </c>
      <c r="T469" s="169">
        <v>1</v>
      </c>
      <c r="U469" s="180" t="s">
        <v>81</v>
      </c>
      <c r="V469" s="170">
        <v>284</v>
      </c>
      <c r="W469" s="170">
        <v>284</v>
      </c>
      <c r="X469" s="171">
        <v>0</v>
      </c>
      <c r="Y469" s="170">
        <v>0</v>
      </c>
      <c r="Z469" s="170">
        <v>0</v>
      </c>
      <c r="AA469" s="170">
        <v>0</v>
      </c>
      <c r="AB469" s="170">
        <v>47</v>
      </c>
      <c r="AC469" s="170">
        <v>47</v>
      </c>
      <c r="AD469" s="170">
        <v>0</v>
      </c>
      <c r="AE469" s="170">
        <v>0</v>
      </c>
      <c r="AF469" s="170">
        <v>0</v>
      </c>
      <c r="AG469" s="170">
        <v>0</v>
      </c>
      <c r="AH469" s="170">
        <v>0</v>
      </c>
      <c r="AI469" s="170"/>
      <c r="AJ469" s="170">
        <v>0</v>
      </c>
      <c r="AK469" s="170">
        <v>0</v>
      </c>
      <c r="AL469" s="170">
        <v>3</v>
      </c>
      <c r="AM469" s="170">
        <v>3</v>
      </c>
      <c r="AN469" s="170">
        <v>1</v>
      </c>
      <c r="AO469" s="170">
        <v>1</v>
      </c>
      <c r="AP469" s="170">
        <v>0</v>
      </c>
      <c r="AQ469" s="170">
        <v>0</v>
      </c>
      <c r="AR469" s="170">
        <v>0</v>
      </c>
      <c r="AS469" s="170">
        <v>0</v>
      </c>
      <c r="AT469" s="170">
        <v>0</v>
      </c>
      <c r="AU469" s="170"/>
      <c r="AV469" s="170">
        <v>0</v>
      </c>
      <c r="AW469" s="170">
        <v>0</v>
      </c>
      <c r="AX469" s="170">
        <f t="shared" si="61"/>
        <v>21549</v>
      </c>
      <c r="AY469" s="170">
        <f t="shared" si="62"/>
        <v>21549</v>
      </c>
      <c r="AZ469" s="165" t="s">
        <v>15</v>
      </c>
      <c r="BA469" s="165" t="s">
        <v>77</v>
      </c>
      <c r="BB469" s="162" t="s">
        <v>77</v>
      </c>
      <c r="BC469" s="181">
        <v>465</v>
      </c>
      <c r="BD469" s="173"/>
      <c r="BE469" s="169"/>
      <c r="BF469" s="174"/>
      <c r="BG469" s="178">
        <v>46229</v>
      </c>
      <c r="BH469" s="175" t="s">
        <v>77</v>
      </c>
      <c r="BI469" s="175" t="s">
        <v>77</v>
      </c>
    </row>
    <row r="470" spans="1:63" s="16" customFormat="1" ht="42" hidden="1" customHeight="1" x14ac:dyDescent="0.3">
      <c r="A470" s="26">
        <v>466</v>
      </c>
      <c r="B470" s="138">
        <v>245805</v>
      </c>
      <c r="C470" s="138">
        <v>466</v>
      </c>
      <c r="D470" s="139">
        <v>46061</v>
      </c>
      <c r="E470" s="139">
        <f t="shared" si="60"/>
        <v>46060</v>
      </c>
      <c r="F470" s="139">
        <f t="shared" si="63"/>
        <v>46071</v>
      </c>
      <c r="G470" s="139">
        <v>46120</v>
      </c>
      <c r="H470" s="139">
        <v>46069</v>
      </c>
      <c r="I470" s="139" t="s">
        <v>123</v>
      </c>
      <c r="J470" s="140" t="s">
        <v>1041</v>
      </c>
      <c r="K470" s="141">
        <f t="shared" si="64"/>
        <v>49</v>
      </c>
      <c r="L470" s="141">
        <v>1197276</v>
      </c>
      <c r="M470" s="140" t="s">
        <v>15</v>
      </c>
      <c r="N470" s="140">
        <v>817543</v>
      </c>
      <c r="O470" s="140" t="s">
        <v>246</v>
      </c>
      <c r="P470" s="143">
        <v>46067</v>
      </c>
      <c r="Q470" s="143">
        <v>46082</v>
      </c>
      <c r="R470" s="185" t="s">
        <v>211</v>
      </c>
      <c r="S470" s="144" t="s">
        <v>1028</v>
      </c>
      <c r="T470" s="145">
        <v>4</v>
      </c>
      <c r="U470" s="186" t="s">
        <v>81</v>
      </c>
      <c r="V470" s="146">
        <v>45</v>
      </c>
      <c r="W470" s="146">
        <v>45</v>
      </c>
      <c r="X470" s="147">
        <v>0</v>
      </c>
      <c r="Y470" s="146">
        <v>0</v>
      </c>
      <c r="Z470" s="146">
        <v>0</v>
      </c>
      <c r="AA470" s="146">
        <v>0</v>
      </c>
      <c r="AB470" s="146">
        <v>13</v>
      </c>
      <c r="AC470" s="146">
        <v>13</v>
      </c>
      <c r="AD470" s="146">
        <v>0</v>
      </c>
      <c r="AE470" s="146">
        <v>0</v>
      </c>
      <c r="AF470" s="146">
        <v>0</v>
      </c>
      <c r="AG470" s="146">
        <v>0</v>
      </c>
      <c r="AH470" s="146">
        <v>5</v>
      </c>
      <c r="AI470" s="146">
        <v>5</v>
      </c>
      <c r="AJ470" s="146">
        <v>0</v>
      </c>
      <c r="AK470" s="146">
        <v>0</v>
      </c>
      <c r="AL470" s="146">
        <v>1</v>
      </c>
      <c r="AM470" s="146">
        <v>1</v>
      </c>
      <c r="AN470" s="146">
        <v>2</v>
      </c>
      <c r="AO470" s="146">
        <v>2</v>
      </c>
      <c r="AP470" s="146">
        <v>6</v>
      </c>
      <c r="AQ470" s="146">
        <v>6</v>
      </c>
      <c r="AR470" s="146">
        <v>0</v>
      </c>
      <c r="AS470" s="146">
        <v>0</v>
      </c>
      <c r="AT470" s="146">
        <v>4</v>
      </c>
      <c r="AU470" s="146">
        <v>4</v>
      </c>
      <c r="AV470" s="146">
        <v>0</v>
      </c>
      <c r="AW470" s="146">
        <v>0</v>
      </c>
      <c r="AX470" s="146">
        <f t="shared" si="61"/>
        <v>10181</v>
      </c>
      <c r="AY470" s="146">
        <f t="shared" si="62"/>
        <v>10181</v>
      </c>
      <c r="AZ470" s="140" t="s">
        <v>562</v>
      </c>
      <c r="BA470" s="140" t="s">
        <v>562</v>
      </c>
      <c r="BB470" s="137">
        <v>7</v>
      </c>
      <c r="BC470" s="187">
        <v>466</v>
      </c>
      <c r="BD470" s="149"/>
      <c r="BE470" s="145"/>
      <c r="BF470" s="150"/>
      <c r="BG470" s="188">
        <v>46054</v>
      </c>
      <c r="BH470" s="153" t="s">
        <v>15</v>
      </c>
      <c r="BI470" s="153" t="s">
        <v>562</v>
      </c>
    </row>
    <row r="471" spans="1:63" s="16" customFormat="1" ht="42" hidden="1" customHeight="1" x14ac:dyDescent="0.3">
      <c r="A471" s="200">
        <v>467</v>
      </c>
      <c r="B471" s="138">
        <v>245806</v>
      </c>
      <c r="C471" s="138">
        <v>467</v>
      </c>
      <c r="D471" s="139">
        <v>46113</v>
      </c>
      <c r="E471" s="139">
        <f t="shared" si="60"/>
        <v>46112</v>
      </c>
      <c r="F471" s="139">
        <f t="shared" si="63"/>
        <v>46123</v>
      </c>
      <c r="G471" s="139">
        <v>46174</v>
      </c>
      <c r="H471" s="139">
        <v>46148</v>
      </c>
      <c r="I471" s="139" t="s">
        <v>123</v>
      </c>
      <c r="J471" s="140" t="s">
        <v>1157</v>
      </c>
      <c r="K471" s="141">
        <f t="shared" si="64"/>
        <v>51</v>
      </c>
      <c r="L471" s="141">
        <v>1197309</v>
      </c>
      <c r="M471" s="140" t="s">
        <v>15</v>
      </c>
      <c r="N471" s="140">
        <v>817997</v>
      </c>
      <c r="O471" s="140" t="s">
        <v>246</v>
      </c>
      <c r="P471" s="143">
        <v>46085</v>
      </c>
      <c r="Q471" s="143">
        <v>46261</v>
      </c>
      <c r="R471" s="185" t="s">
        <v>1233</v>
      </c>
      <c r="S471" s="144" t="s">
        <v>853</v>
      </c>
      <c r="T471" s="145">
        <v>1</v>
      </c>
      <c r="U471" s="186" t="s">
        <v>173</v>
      </c>
      <c r="V471" s="146">
        <v>214</v>
      </c>
      <c r="W471" s="146">
        <v>214</v>
      </c>
      <c r="X471" s="147">
        <v>0</v>
      </c>
      <c r="Y471" s="146">
        <v>0</v>
      </c>
      <c r="Z471" s="146">
        <v>0</v>
      </c>
      <c r="AA471" s="146">
        <v>0</v>
      </c>
      <c r="AB471" s="146">
        <v>198</v>
      </c>
      <c r="AC471" s="146">
        <v>198</v>
      </c>
      <c r="AD471" s="146">
        <v>0</v>
      </c>
      <c r="AE471" s="146">
        <v>0</v>
      </c>
      <c r="AF471" s="146">
        <v>0</v>
      </c>
      <c r="AG471" s="146">
        <v>0</v>
      </c>
      <c r="AH471" s="146">
        <v>1</v>
      </c>
      <c r="AI471" s="146">
        <v>1</v>
      </c>
      <c r="AJ471" s="146">
        <v>0</v>
      </c>
      <c r="AK471" s="146">
        <v>0</v>
      </c>
      <c r="AL471" s="146">
        <v>1</v>
      </c>
      <c r="AM471" s="146">
        <v>1</v>
      </c>
      <c r="AN471" s="146">
        <v>1</v>
      </c>
      <c r="AO471" s="146">
        <v>1</v>
      </c>
      <c r="AP471" s="146">
        <v>1</v>
      </c>
      <c r="AQ471" s="146">
        <v>1</v>
      </c>
      <c r="AR471" s="146">
        <v>0</v>
      </c>
      <c r="AS471" s="146">
        <v>0</v>
      </c>
      <c r="AT471" s="146">
        <v>0</v>
      </c>
      <c r="AU471" s="146">
        <v>0</v>
      </c>
      <c r="AV471" s="146">
        <v>1</v>
      </c>
      <c r="AW471" s="146">
        <v>1</v>
      </c>
      <c r="AX471" s="146">
        <f>('BOQ MASTER'!V471*60)+('BOQ MASTER'!X471*80)+('BOQ MASTER'!Z471*38)+('BOQ MASTER'!AB471*57)+('BOQ MASTER'!AD471*75)+('BOQ MASTER'!AF471*155)+('BOQ MASTER'!AH471*170)+('BOQ MASTER'!AJ471*375)+('BOQ MASTER'!AL471*590)+('BOQ MASTER'!AN471*60)+('BOQ MASTER'!AP471*630)+('BOQ MASTER'!AR471*400)+('BOQ MASTER'!AT471*350)+('BOQ MASTER'!AV471*950)</f>
        <v>26526</v>
      </c>
      <c r="AY471" s="146">
        <f>('BOQ MASTER'!W471*60)+('BOQ MASTER'!Y471*80)+('BOQ MASTER'!AA471*38)+('BOQ MASTER'!AC471*57)+('BOQ MASTER'!AE471*75)+('BOQ MASTER'!AG471*155)+('BOQ MASTER'!AI471*170)+('BOQ MASTER'!AK471*375)+('BOQ MASTER'!AM471*590)+('BOQ MASTER'!AO471*60)+('BOQ MASTER'!AQ471*630)+('BOQ MASTER'!AS471*400)+('BOQ MASTER'!AU471*350)+('BOQ MASTER'!AW471*950)</f>
        <v>26526</v>
      </c>
      <c r="AZ471" s="137" t="s">
        <v>562</v>
      </c>
      <c r="BA471" s="137" t="s">
        <v>562</v>
      </c>
      <c r="BB471" s="137">
        <v>11</v>
      </c>
      <c r="BC471" s="187">
        <v>467</v>
      </c>
      <c r="BD471" s="149"/>
      <c r="BE471" s="145"/>
      <c r="BF471" s="150"/>
      <c r="BG471" s="188">
        <v>46147</v>
      </c>
      <c r="BH471" s="153" t="s">
        <v>15</v>
      </c>
      <c r="BI471" s="153" t="s">
        <v>562</v>
      </c>
      <c r="BK471" s="238"/>
    </row>
    <row r="472" spans="1:63" s="16" customFormat="1" ht="42" hidden="1" customHeight="1" x14ac:dyDescent="0.3">
      <c r="A472" s="200">
        <v>468</v>
      </c>
      <c r="B472" s="138">
        <v>246052</v>
      </c>
      <c r="C472" s="138">
        <v>468</v>
      </c>
      <c r="D472" s="139">
        <v>46058</v>
      </c>
      <c r="E472" s="139">
        <f t="shared" si="60"/>
        <v>46057</v>
      </c>
      <c r="F472" s="139">
        <f t="shared" si="63"/>
        <v>46068</v>
      </c>
      <c r="G472" s="139">
        <v>46117</v>
      </c>
      <c r="H472" s="139">
        <v>46128</v>
      </c>
      <c r="I472" s="139" t="s">
        <v>123</v>
      </c>
      <c r="J472" s="140" t="s">
        <v>1033</v>
      </c>
      <c r="K472" s="141">
        <f t="shared" si="64"/>
        <v>49</v>
      </c>
      <c r="L472" s="141">
        <v>1198609</v>
      </c>
      <c r="M472" s="140" t="s">
        <v>15</v>
      </c>
      <c r="N472" s="140">
        <v>819013</v>
      </c>
      <c r="O472" s="140" t="s">
        <v>246</v>
      </c>
      <c r="P472" s="143">
        <v>46091</v>
      </c>
      <c r="Q472" s="143">
        <v>46268</v>
      </c>
      <c r="R472" s="185" t="s">
        <v>211</v>
      </c>
      <c r="S472" s="144" t="s">
        <v>1035</v>
      </c>
      <c r="T472" s="145">
        <v>2</v>
      </c>
      <c r="U472" s="186" t="s">
        <v>1037</v>
      </c>
      <c r="V472" s="146">
        <v>78</v>
      </c>
      <c r="W472" s="146">
        <v>78</v>
      </c>
      <c r="X472" s="147">
        <v>0</v>
      </c>
      <c r="Y472" s="146">
        <v>0</v>
      </c>
      <c r="Z472" s="146">
        <v>0</v>
      </c>
      <c r="AA472" s="146">
        <v>0</v>
      </c>
      <c r="AB472" s="146">
        <v>35</v>
      </c>
      <c r="AC472" s="146">
        <v>35</v>
      </c>
      <c r="AD472" s="146">
        <v>12</v>
      </c>
      <c r="AE472" s="146">
        <v>12</v>
      </c>
      <c r="AF472" s="146">
        <v>0</v>
      </c>
      <c r="AG472" s="146">
        <v>0</v>
      </c>
      <c r="AH472" s="146">
        <v>2</v>
      </c>
      <c r="AI472" s="146">
        <v>2</v>
      </c>
      <c r="AJ472" s="146">
        <v>0</v>
      </c>
      <c r="AK472" s="146">
        <v>0</v>
      </c>
      <c r="AL472" s="146">
        <v>1</v>
      </c>
      <c r="AM472" s="146">
        <v>1</v>
      </c>
      <c r="AN472" s="146">
        <v>2</v>
      </c>
      <c r="AO472" s="146">
        <v>2</v>
      </c>
      <c r="AP472" s="146">
        <v>3</v>
      </c>
      <c r="AQ472" s="146">
        <v>3</v>
      </c>
      <c r="AR472" s="146">
        <v>0</v>
      </c>
      <c r="AS472" s="146">
        <v>0</v>
      </c>
      <c r="AT472" s="146">
        <v>2</v>
      </c>
      <c r="AU472" s="146">
        <v>2</v>
      </c>
      <c r="AV472" s="146">
        <v>0</v>
      </c>
      <c r="AW472" s="146">
        <v>0</v>
      </c>
      <c r="AX472" s="146">
        <f t="shared" ref="AX472:AX505" si="65">(V472*60)+(X472*80)+(Z472*38)+(AB472*57)+(AD472*75)+(AF472*155)+(AH472*170)+(AJ472*375)+(AL472*590)+(AN472*60)+(AP472*630)+(AR472*400)+(AT472*350)+(AV472*950)</f>
        <v>11215</v>
      </c>
      <c r="AY472" s="146">
        <f t="shared" ref="AY472:AY505" si="66">(W472*60)+(Y472*80)+(AA472*38)+(AC472*57)+(AE472*75)+(AG472*155)+(AI472*170)+(AK472*375)+(AM472*590)+(AO472*60)+(AQ472*630)+(AS472*400)+(AU472*350)+(AW472*950)</f>
        <v>11215</v>
      </c>
      <c r="AZ472" s="140" t="s">
        <v>562</v>
      </c>
      <c r="BA472" s="140" t="s">
        <v>562</v>
      </c>
      <c r="BB472" s="137">
        <v>10</v>
      </c>
      <c r="BC472" s="187">
        <v>468</v>
      </c>
      <c r="BD472" s="149"/>
      <c r="BE472" s="145"/>
      <c r="BF472" s="150"/>
      <c r="BG472" s="188">
        <v>46124</v>
      </c>
      <c r="BH472" s="153" t="s">
        <v>15</v>
      </c>
      <c r="BI472" s="153" t="s">
        <v>562</v>
      </c>
    </row>
    <row r="473" spans="1:63" s="16" customFormat="1" ht="42" hidden="1" customHeight="1" x14ac:dyDescent="0.3">
      <c r="A473" s="26">
        <v>469</v>
      </c>
      <c r="B473" s="138">
        <v>246053</v>
      </c>
      <c r="C473" s="138">
        <v>469</v>
      </c>
      <c r="D473" s="139">
        <v>46058</v>
      </c>
      <c r="E473" s="139">
        <f t="shared" si="60"/>
        <v>46057</v>
      </c>
      <c r="F473" s="139">
        <f t="shared" si="63"/>
        <v>46068</v>
      </c>
      <c r="G473" s="139">
        <v>46117</v>
      </c>
      <c r="H473" s="139">
        <v>46106</v>
      </c>
      <c r="I473" s="139" t="s">
        <v>123</v>
      </c>
      <c r="J473" s="140" t="s">
        <v>1034</v>
      </c>
      <c r="K473" s="141">
        <f t="shared" si="64"/>
        <v>49</v>
      </c>
      <c r="L473" s="141">
        <v>1198610</v>
      </c>
      <c r="M473" s="140" t="s">
        <v>15</v>
      </c>
      <c r="N473" s="140">
        <v>817646</v>
      </c>
      <c r="O473" s="140" t="s">
        <v>246</v>
      </c>
      <c r="P473" s="143">
        <v>46090</v>
      </c>
      <c r="Q473" s="143">
        <v>46254</v>
      </c>
      <c r="R473" s="185" t="s">
        <v>1014</v>
      </c>
      <c r="S473" s="144" t="s">
        <v>1036</v>
      </c>
      <c r="T473" s="145">
        <v>1</v>
      </c>
      <c r="U473" s="186" t="s">
        <v>106</v>
      </c>
      <c r="V473" s="146">
        <v>224</v>
      </c>
      <c r="W473" s="146">
        <v>224</v>
      </c>
      <c r="X473" s="147">
        <v>0</v>
      </c>
      <c r="Y473" s="146">
        <v>0</v>
      </c>
      <c r="Z473" s="146">
        <v>0</v>
      </c>
      <c r="AA473" s="146">
        <v>0</v>
      </c>
      <c r="AB473" s="146">
        <v>210</v>
      </c>
      <c r="AC473" s="146">
        <v>210</v>
      </c>
      <c r="AD473" s="146">
        <v>0</v>
      </c>
      <c r="AE473" s="146">
        <v>0</v>
      </c>
      <c r="AF473" s="146">
        <v>0</v>
      </c>
      <c r="AG473" s="146">
        <v>0</v>
      </c>
      <c r="AH473" s="146">
        <v>1</v>
      </c>
      <c r="AI473" s="146">
        <v>1</v>
      </c>
      <c r="AJ473" s="146">
        <v>0</v>
      </c>
      <c r="AK473" s="146">
        <v>0</v>
      </c>
      <c r="AL473" s="146">
        <v>2</v>
      </c>
      <c r="AM473" s="146">
        <v>2</v>
      </c>
      <c r="AN473" s="146">
        <v>1</v>
      </c>
      <c r="AO473" s="146">
        <v>1</v>
      </c>
      <c r="AP473" s="146">
        <v>1</v>
      </c>
      <c r="AQ473" s="146">
        <v>1</v>
      </c>
      <c r="AR473" s="146">
        <v>0</v>
      </c>
      <c r="AS473" s="146">
        <v>0</v>
      </c>
      <c r="AT473" s="146">
        <v>1</v>
      </c>
      <c r="AU473" s="146">
        <v>1</v>
      </c>
      <c r="AV473" s="146">
        <v>0</v>
      </c>
      <c r="AW473" s="146">
        <v>0</v>
      </c>
      <c r="AX473" s="146">
        <f t="shared" si="65"/>
        <v>27800</v>
      </c>
      <c r="AY473" s="146">
        <f t="shared" si="66"/>
        <v>27800</v>
      </c>
      <c r="AZ473" s="140" t="s">
        <v>562</v>
      </c>
      <c r="BA473" s="140" t="s">
        <v>562</v>
      </c>
      <c r="BB473" s="137">
        <v>8</v>
      </c>
      <c r="BC473" s="187">
        <v>469</v>
      </c>
      <c r="BD473" s="149"/>
      <c r="BE473" s="145"/>
      <c r="BF473" s="150"/>
      <c r="BG473" s="188">
        <v>46097</v>
      </c>
      <c r="BH473" s="153" t="s">
        <v>15</v>
      </c>
      <c r="BI473" s="153" t="s">
        <v>562</v>
      </c>
    </row>
    <row r="474" spans="1:63" s="16" customFormat="1" ht="42" hidden="1" customHeight="1" x14ac:dyDescent="0.3">
      <c r="A474" s="26">
        <v>470</v>
      </c>
      <c r="B474" s="138">
        <v>246121</v>
      </c>
      <c r="C474" s="138">
        <v>470</v>
      </c>
      <c r="D474" s="139">
        <v>46061</v>
      </c>
      <c r="E474" s="139">
        <f t="shared" si="60"/>
        <v>46060</v>
      </c>
      <c r="F474" s="139">
        <f t="shared" si="63"/>
        <v>46071</v>
      </c>
      <c r="G474" s="139">
        <v>46120</v>
      </c>
      <c r="H474" s="139">
        <v>46128</v>
      </c>
      <c r="I474" s="139" t="s">
        <v>123</v>
      </c>
      <c r="J474" s="140" t="s">
        <v>1039</v>
      </c>
      <c r="K474" s="141">
        <f t="shared" si="64"/>
        <v>49</v>
      </c>
      <c r="L474" s="141">
        <v>1199226</v>
      </c>
      <c r="M474" s="140" t="s">
        <v>15</v>
      </c>
      <c r="N474" s="140">
        <v>817646</v>
      </c>
      <c r="O474" s="140" t="s">
        <v>246</v>
      </c>
      <c r="P474" s="143">
        <v>46090</v>
      </c>
      <c r="Q474" s="143">
        <v>46254</v>
      </c>
      <c r="R474" s="185" t="s">
        <v>211</v>
      </c>
      <c r="S474" s="144" t="s">
        <v>1040</v>
      </c>
      <c r="T474" s="145">
        <v>1</v>
      </c>
      <c r="U474" s="186" t="s">
        <v>106</v>
      </c>
      <c r="V474" s="146">
        <v>80</v>
      </c>
      <c r="W474" s="146">
        <v>80</v>
      </c>
      <c r="X474" s="147">
        <v>0</v>
      </c>
      <c r="Y474" s="146">
        <v>0</v>
      </c>
      <c r="Z474" s="146">
        <v>0</v>
      </c>
      <c r="AA474" s="146">
        <v>0</v>
      </c>
      <c r="AB474" s="146">
        <v>80</v>
      </c>
      <c r="AC474" s="146">
        <v>80</v>
      </c>
      <c r="AD474" s="146">
        <v>0</v>
      </c>
      <c r="AE474" s="146">
        <v>0</v>
      </c>
      <c r="AF474" s="146">
        <v>0</v>
      </c>
      <c r="AG474" s="146">
        <v>0</v>
      </c>
      <c r="AH474" s="146">
        <v>1</v>
      </c>
      <c r="AI474" s="146">
        <v>1</v>
      </c>
      <c r="AJ474" s="146">
        <v>0</v>
      </c>
      <c r="AK474" s="146">
        <v>0</v>
      </c>
      <c r="AL474" s="146">
        <v>0</v>
      </c>
      <c r="AM474" s="146">
        <v>0</v>
      </c>
      <c r="AN474" s="146">
        <v>1</v>
      </c>
      <c r="AO474" s="146">
        <v>1</v>
      </c>
      <c r="AP474" s="146">
        <v>2</v>
      </c>
      <c r="AQ474" s="146">
        <v>2</v>
      </c>
      <c r="AR474" s="146">
        <v>0</v>
      </c>
      <c r="AS474" s="146">
        <v>0</v>
      </c>
      <c r="AT474" s="146">
        <v>1</v>
      </c>
      <c r="AU474" s="146">
        <v>1</v>
      </c>
      <c r="AV474" s="146">
        <v>0</v>
      </c>
      <c r="AW474" s="146">
        <v>0</v>
      </c>
      <c r="AX474" s="146">
        <f t="shared" si="65"/>
        <v>11200</v>
      </c>
      <c r="AY474" s="146">
        <f t="shared" si="66"/>
        <v>11200</v>
      </c>
      <c r="AZ474" s="137" t="s">
        <v>562</v>
      </c>
      <c r="BA474" s="137" t="s">
        <v>562</v>
      </c>
      <c r="BB474" s="137">
        <v>11</v>
      </c>
      <c r="BC474" s="187">
        <v>470</v>
      </c>
      <c r="BD474" s="149"/>
      <c r="BE474" s="145"/>
      <c r="BF474" s="150"/>
      <c r="BG474" s="188">
        <v>46127</v>
      </c>
      <c r="BH474" s="153" t="s">
        <v>15</v>
      </c>
      <c r="BI474" s="153" t="s">
        <v>562</v>
      </c>
      <c r="BK474" s="238"/>
    </row>
    <row r="475" spans="1:63" s="16" customFormat="1" ht="42" hidden="1" customHeight="1" x14ac:dyDescent="0.3">
      <c r="A475" s="26">
        <v>471</v>
      </c>
      <c r="B475" s="138">
        <v>246291</v>
      </c>
      <c r="C475" s="138">
        <v>471</v>
      </c>
      <c r="D475" s="139">
        <v>46064</v>
      </c>
      <c r="E475" s="139">
        <f t="shared" si="60"/>
        <v>46063</v>
      </c>
      <c r="F475" s="139">
        <f t="shared" si="63"/>
        <v>46074</v>
      </c>
      <c r="G475" s="139">
        <v>46124</v>
      </c>
      <c r="H475" s="139">
        <v>46124</v>
      </c>
      <c r="I475" s="139" t="s">
        <v>123</v>
      </c>
      <c r="J475" s="140" t="s">
        <v>1042</v>
      </c>
      <c r="K475" s="141">
        <f t="shared" si="64"/>
        <v>50</v>
      </c>
      <c r="L475" s="141">
        <v>1200210</v>
      </c>
      <c r="M475" s="140" t="s">
        <v>15</v>
      </c>
      <c r="N475" s="140">
        <v>817807</v>
      </c>
      <c r="O475" s="140" t="s">
        <v>246</v>
      </c>
      <c r="P475" s="143">
        <v>46084</v>
      </c>
      <c r="Q475" s="143">
        <v>46254</v>
      </c>
      <c r="R475" s="185" t="s">
        <v>211</v>
      </c>
      <c r="S475" s="144" t="s">
        <v>1043</v>
      </c>
      <c r="T475" s="145">
        <v>1</v>
      </c>
      <c r="U475" s="186" t="s">
        <v>1037</v>
      </c>
      <c r="V475" s="146">
        <v>158</v>
      </c>
      <c r="W475" s="146">
        <v>158</v>
      </c>
      <c r="X475" s="147">
        <v>0</v>
      </c>
      <c r="Y475" s="146">
        <v>0</v>
      </c>
      <c r="Z475" s="146">
        <v>0</v>
      </c>
      <c r="AA475" s="146">
        <v>0</v>
      </c>
      <c r="AB475" s="146">
        <v>66</v>
      </c>
      <c r="AC475" s="146">
        <v>66</v>
      </c>
      <c r="AD475" s="146">
        <v>3</v>
      </c>
      <c r="AE475" s="146">
        <v>3</v>
      </c>
      <c r="AF475" s="146">
        <v>0</v>
      </c>
      <c r="AG475" s="146">
        <v>0</v>
      </c>
      <c r="AH475" s="146">
        <v>2</v>
      </c>
      <c r="AI475" s="146">
        <v>2</v>
      </c>
      <c r="AJ475" s="146">
        <v>0</v>
      </c>
      <c r="AK475" s="146">
        <v>0</v>
      </c>
      <c r="AL475" s="146">
        <v>2</v>
      </c>
      <c r="AM475" s="146">
        <v>2</v>
      </c>
      <c r="AN475" s="146">
        <v>3</v>
      </c>
      <c r="AO475" s="146">
        <v>3</v>
      </c>
      <c r="AP475" s="146">
        <v>3</v>
      </c>
      <c r="AQ475" s="146">
        <v>3</v>
      </c>
      <c r="AR475" s="146">
        <v>0</v>
      </c>
      <c r="AS475" s="146">
        <v>0</v>
      </c>
      <c r="AT475" s="146">
        <v>1</v>
      </c>
      <c r="AU475" s="146">
        <v>1</v>
      </c>
      <c r="AV475" s="146">
        <v>0</v>
      </c>
      <c r="AW475" s="146">
        <v>0</v>
      </c>
      <c r="AX475" s="146">
        <f t="shared" si="65"/>
        <v>17407</v>
      </c>
      <c r="AY475" s="146">
        <f t="shared" si="66"/>
        <v>17407</v>
      </c>
      <c r="AZ475" s="137" t="s">
        <v>562</v>
      </c>
      <c r="BA475" s="137" t="s">
        <v>562</v>
      </c>
      <c r="BB475" s="137">
        <v>11</v>
      </c>
      <c r="BC475" s="187">
        <v>471</v>
      </c>
      <c r="BD475" s="149"/>
      <c r="BE475" s="145"/>
      <c r="BF475" s="150"/>
      <c r="BG475" s="188">
        <v>46124</v>
      </c>
      <c r="BH475" s="153" t="s">
        <v>15</v>
      </c>
      <c r="BI475" s="153" t="s">
        <v>562</v>
      </c>
      <c r="BK475" s="238"/>
    </row>
    <row r="476" spans="1:63" s="16" customFormat="1" ht="42" customHeight="1" x14ac:dyDescent="0.3">
      <c r="A476" s="26">
        <v>472</v>
      </c>
      <c r="B476" s="163">
        <v>246294</v>
      </c>
      <c r="C476" s="163">
        <v>472</v>
      </c>
      <c r="D476" s="164">
        <v>46064</v>
      </c>
      <c r="E476" s="164">
        <f t="shared" si="60"/>
        <v>46063</v>
      </c>
      <c r="F476" s="164">
        <f t="shared" si="63"/>
        <v>46074</v>
      </c>
      <c r="G476" s="164">
        <v>46124</v>
      </c>
      <c r="H476" s="164">
        <v>46138</v>
      </c>
      <c r="I476" s="164" t="s">
        <v>123</v>
      </c>
      <c r="J476" s="165" t="s">
        <v>1044</v>
      </c>
      <c r="K476" s="166">
        <f t="shared" si="64"/>
        <v>50</v>
      </c>
      <c r="L476" s="166">
        <v>1200237</v>
      </c>
      <c r="M476" s="165" t="s">
        <v>15</v>
      </c>
      <c r="N476" s="165">
        <v>818120</v>
      </c>
      <c r="O476" s="165" t="s">
        <v>246</v>
      </c>
      <c r="P476" s="167">
        <v>46090</v>
      </c>
      <c r="Q476" s="167">
        <v>46261</v>
      </c>
      <c r="R476" s="179" t="s">
        <v>211</v>
      </c>
      <c r="S476" s="168" t="s">
        <v>1045</v>
      </c>
      <c r="T476" s="169">
        <v>1</v>
      </c>
      <c r="U476" s="180" t="s">
        <v>186</v>
      </c>
      <c r="V476" s="170">
        <v>40</v>
      </c>
      <c r="W476" s="170">
        <v>40</v>
      </c>
      <c r="X476" s="171">
        <v>0</v>
      </c>
      <c r="Y476" s="170">
        <v>0</v>
      </c>
      <c r="Z476" s="170">
        <v>0</v>
      </c>
      <c r="AA476" s="170">
        <v>0</v>
      </c>
      <c r="AB476" s="170">
        <v>5</v>
      </c>
      <c r="AC476" s="170">
        <v>5</v>
      </c>
      <c r="AD476" s="170">
        <v>0</v>
      </c>
      <c r="AE476" s="170">
        <v>0</v>
      </c>
      <c r="AF476" s="170">
        <v>175</v>
      </c>
      <c r="AG476" s="170">
        <v>175</v>
      </c>
      <c r="AH476" s="170">
        <v>1</v>
      </c>
      <c r="AI476" s="170">
        <v>1</v>
      </c>
      <c r="AJ476" s="170">
        <v>0</v>
      </c>
      <c r="AK476" s="170">
        <v>0</v>
      </c>
      <c r="AL476" s="170">
        <v>1</v>
      </c>
      <c r="AM476" s="170">
        <v>1</v>
      </c>
      <c r="AN476" s="170">
        <v>1</v>
      </c>
      <c r="AO476" s="170">
        <v>1</v>
      </c>
      <c r="AP476" s="170">
        <v>1</v>
      </c>
      <c r="AQ476" s="170">
        <v>1</v>
      </c>
      <c r="AR476" s="170">
        <v>0</v>
      </c>
      <c r="AS476" s="170">
        <v>0</v>
      </c>
      <c r="AT476" s="170">
        <v>0</v>
      </c>
      <c r="AU476" s="170">
        <v>0</v>
      </c>
      <c r="AV476" s="170">
        <v>0</v>
      </c>
      <c r="AW476" s="170">
        <v>0</v>
      </c>
      <c r="AX476" s="170">
        <f t="shared" si="65"/>
        <v>31260</v>
      </c>
      <c r="AY476" s="170">
        <f t="shared" si="66"/>
        <v>31260</v>
      </c>
      <c r="AZ476" s="165" t="s">
        <v>15</v>
      </c>
      <c r="BA476" s="165" t="s">
        <v>77</v>
      </c>
      <c r="BB476" s="162" t="s">
        <v>77</v>
      </c>
      <c r="BC476" s="181">
        <v>472</v>
      </c>
      <c r="BD476" s="173"/>
      <c r="BE476" s="169"/>
      <c r="BF476" s="174"/>
      <c r="BG476" s="178">
        <v>46133</v>
      </c>
      <c r="BH476" s="175" t="s">
        <v>77</v>
      </c>
      <c r="BI476" s="175" t="s">
        <v>77</v>
      </c>
      <c r="BK476" s="238"/>
    </row>
    <row r="477" spans="1:63" s="16" customFormat="1" ht="42" customHeight="1" x14ac:dyDescent="0.3">
      <c r="A477" s="26">
        <v>473</v>
      </c>
      <c r="B477" s="163">
        <v>246295</v>
      </c>
      <c r="C477" s="163">
        <v>473</v>
      </c>
      <c r="D477" s="164">
        <v>46064</v>
      </c>
      <c r="E477" s="164">
        <f t="shared" si="60"/>
        <v>46063</v>
      </c>
      <c r="F477" s="164">
        <f t="shared" si="63"/>
        <v>46074</v>
      </c>
      <c r="G477" s="164">
        <v>46124</v>
      </c>
      <c r="H477" s="164">
        <v>46146</v>
      </c>
      <c r="I477" s="164" t="s">
        <v>123</v>
      </c>
      <c r="J477" s="165" t="s">
        <v>1046</v>
      </c>
      <c r="K477" s="166">
        <f t="shared" si="64"/>
        <v>50</v>
      </c>
      <c r="L477" s="166">
        <v>1200238</v>
      </c>
      <c r="M477" s="165" t="s">
        <v>15</v>
      </c>
      <c r="N477" s="165">
        <v>817825</v>
      </c>
      <c r="O477" s="165" t="s">
        <v>246</v>
      </c>
      <c r="P477" s="167">
        <v>46107</v>
      </c>
      <c r="Q477" s="167">
        <v>46268</v>
      </c>
      <c r="R477" s="179" t="s">
        <v>211</v>
      </c>
      <c r="S477" s="168" t="s">
        <v>1047</v>
      </c>
      <c r="T477" s="169">
        <v>1</v>
      </c>
      <c r="U477" s="180" t="s">
        <v>82</v>
      </c>
      <c r="V477" s="170">
        <v>183</v>
      </c>
      <c r="W477" s="170">
        <v>183</v>
      </c>
      <c r="X477" s="171">
        <v>0</v>
      </c>
      <c r="Y477" s="170"/>
      <c r="Z477" s="170">
        <v>0</v>
      </c>
      <c r="AA477" s="170">
        <v>0</v>
      </c>
      <c r="AB477" s="170">
        <v>20</v>
      </c>
      <c r="AC477" s="170">
        <v>20</v>
      </c>
      <c r="AD477" s="170">
        <v>0</v>
      </c>
      <c r="AE477" s="170">
        <v>0</v>
      </c>
      <c r="AF477" s="170">
        <v>0</v>
      </c>
      <c r="AG477" s="170">
        <v>0</v>
      </c>
      <c r="AH477" s="170">
        <v>1</v>
      </c>
      <c r="AI477" s="170">
        <v>1</v>
      </c>
      <c r="AJ477" s="170">
        <v>0</v>
      </c>
      <c r="AK477" s="170"/>
      <c r="AL477" s="170">
        <v>0</v>
      </c>
      <c r="AM477" s="170">
        <v>0</v>
      </c>
      <c r="AN477" s="170">
        <v>1</v>
      </c>
      <c r="AO477" s="170">
        <v>1</v>
      </c>
      <c r="AP477" s="170">
        <v>2</v>
      </c>
      <c r="AQ477" s="170">
        <v>2</v>
      </c>
      <c r="AR477" s="170">
        <v>0</v>
      </c>
      <c r="AS477" s="170">
        <v>0</v>
      </c>
      <c r="AT477" s="170">
        <v>1</v>
      </c>
      <c r="AU477" s="170">
        <v>1</v>
      </c>
      <c r="AV477" s="170">
        <v>0</v>
      </c>
      <c r="AW477" s="170">
        <v>0</v>
      </c>
      <c r="AX477" s="170">
        <f t="shared" si="65"/>
        <v>13960</v>
      </c>
      <c r="AY477" s="170">
        <f t="shared" si="66"/>
        <v>13960</v>
      </c>
      <c r="AZ477" s="165" t="s">
        <v>15</v>
      </c>
      <c r="BA477" s="165" t="s">
        <v>77</v>
      </c>
      <c r="BB477" s="162" t="s">
        <v>77</v>
      </c>
      <c r="BC477" s="181">
        <v>473</v>
      </c>
      <c r="BD477" s="173"/>
      <c r="BE477" s="169"/>
      <c r="BF477" s="174"/>
      <c r="BG477" s="178">
        <v>46133</v>
      </c>
      <c r="BH477" s="175" t="s">
        <v>77</v>
      </c>
      <c r="BI477" s="175" t="s">
        <v>77</v>
      </c>
      <c r="BK477" s="238"/>
    </row>
    <row r="478" spans="1:63" s="16" customFormat="1" ht="42" customHeight="1" x14ac:dyDescent="0.3">
      <c r="A478" s="26">
        <v>474</v>
      </c>
      <c r="B478" s="62">
        <v>246302</v>
      </c>
      <c r="C478" s="62">
        <v>474</v>
      </c>
      <c r="D478" s="63">
        <v>46065</v>
      </c>
      <c r="E478" s="63">
        <f t="shared" si="60"/>
        <v>46064</v>
      </c>
      <c r="F478" s="63">
        <f t="shared" si="63"/>
        <v>46075</v>
      </c>
      <c r="G478" s="63">
        <v>46155</v>
      </c>
      <c r="H478" s="63">
        <f ca="1">TODAY()</f>
        <v>46277</v>
      </c>
      <c r="I478" s="63" t="s">
        <v>321</v>
      </c>
      <c r="J478" s="64" t="s">
        <v>1048</v>
      </c>
      <c r="K478" s="65">
        <f t="shared" si="64"/>
        <v>80</v>
      </c>
      <c r="L478" s="65">
        <v>1200415</v>
      </c>
      <c r="M478" s="64" t="s">
        <v>77</v>
      </c>
      <c r="N478" s="64">
        <v>818549</v>
      </c>
      <c r="O478" s="253" t="s">
        <v>1462</v>
      </c>
      <c r="P478" s="103">
        <v>46110</v>
      </c>
      <c r="Q478" s="103">
        <v>46261</v>
      </c>
      <c r="R478" s="73" t="s">
        <v>1235</v>
      </c>
      <c r="S478" s="66" t="s">
        <v>1049</v>
      </c>
      <c r="T478" s="67">
        <v>1</v>
      </c>
      <c r="U478" s="75" t="s">
        <v>82</v>
      </c>
      <c r="V478" s="68">
        <v>140</v>
      </c>
      <c r="W478" s="68"/>
      <c r="X478" s="69">
        <v>1</v>
      </c>
      <c r="Y478" s="68"/>
      <c r="Z478" s="68">
        <v>0</v>
      </c>
      <c r="AA478" s="68">
        <v>0</v>
      </c>
      <c r="AB478" s="68">
        <v>0</v>
      </c>
      <c r="AC478" s="68"/>
      <c r="AD478" s="68">
        <v>0</v>
      </c>
      <c r="AE478" s="68">
        <v>0</v>
      </c>
      <c r="AF478" s="68">
        <v>0</v>
      </c>
      <c r="AG478" s="68">
        <v>0</v>
      </c>
      <c r="AH478" s="68">
        <v>0</v>
      </c>
      <c r="AI478" s="68">
        <v>0</v>
      </c>
      <c r="AJ478" s="68">
        <v>1</v>
      </c>
      <c r="AK478" s="68"/>
      <c r="AL478" s="68">
        <v>1</v>
      </c>
      <c r="AM478" s="68"/>
      <c r="AN478" s="68">
        <v>1</v>
      </c>
      <c r="AO478" s="68"/>
      <c r="AP478" s="68">
        <v>1</v>
      </c>
      <c r="AQ478" s="68"/>
      <c r="AR478" s="68">
        <v>0</v>
      </c>
      <c r="AS478" s="68">
        <v>0</v>
      </c>
      <c r="AT478" s="68">
        <v>0</v>
      </c>
      <c r="AU478" s="68">
        <v>0</v>
      </c>
      <c r="AV478" s="68">
        <v>0</v>
      </c>
      <c r="AW478" s="68">
        <v>0</v>
      </c>
      <c r="AX478" s="146">
        <f t="shared" si="65"/>
        <v>10135</v>
      </c>
      <c r="AY478" s="146">
        <f t="shared" si="66"/>
        <v>0</v>
      </c>
      <c r="AZ478" s="64" t="s">
        <v>77</v>
      </c>
      <c r="BA478" s="64" t="s">
        <v>77</v>
      </c>
      <c r="BB478" s="15" t="s">
        <v>77</v>
      </c>
      <c r="BC478" s="74">
        <v>474</v>
      </c>
      <c r="BD478" s="70"/>
      <c r="BE478" s="67"/>
      <c r="BF478" s="71"/>
      <c r="BG478" s="15"/>
      <c r="BH478" s="72" t="s">
        <v>77</v>
      </c>
      <c r="BI478" s="72" t="s">
        <v>77</v>
      </c>
    </row>
    <row r="479" spans="1:63" s="16" customFormat="1" ht="42" hidden="1" customHeight="1" x14ac:dyDescent="0.3">
      <c r="A479" s="26">
        <v>475</v>
      </c>
      <c r="B479" s="138">
        <v>246305</v>
      </c>
      <c r="C479" s="138">
        <v>475</v>
      </c>
      <c r="D479" s="139">
        <v>46065</v>
      </c>
      <c r="E479" s="139">
        <f t="shared" si="60"/>
        <v>46064</v>
      </c>
      <c r="F479" s="139">
        <f t="shared" si="63"/>
        <v>46075</v>
      </c>
      <c r="G479" s="139">
        <v>46155</v>
      </c>
      <c r="H479" s="139">
        <v>46144</v>
      </c>
      <c r="I479" s="139" t="s">
        <v>321</v>
      </c>
      <c r="J479" s="140" t="s">
        <v>1050</v>
      </c>
      <c r="K479" s="141">
        <f t="shared" si="64"/>
        <v>80</v>
      </c>
      <c r="L479" s="141">
        <v>1200430</v>
      </c>
      <c r="M479" s="140" t="s">
        <v>15</v>
      </c>
      <c r="N479" s="140">
        <v>819492</v>
      </c>
      <c r="O479" s="140" t="s">
        <v>246</v>
      </c>
      <c r="P479" s="143">
        <v>46097</v>
      </c>
      <c r="Q479" s="143">
        <v>46282</v>
      </c>
      <c r="R479" s="185" t="s">
        <v>1233</v>
      </c>
      <c r="S479" s="144" t="s">
        <v>1051</v>
      </c>
      <c r="T479" s="145">
        <v>1</v>
      </c>
      <c r="U479" s="186" t="s">
        <v>81</v>
      </c>
      <c r="V479" s="146">
        <v>400</v>
      </c>
      <c r="W479" s="146">
        <v>400</v>
      </c>
      <c r="X479" s="147">
        <v>60</v>
      </c>
      <c r="Y479" s="146">
        <v>60</v>
      </c>
      <c r="Z479" s="146">
        <v>0</v>
      </c>
      <c r="AA479" s="146">
        <v>0</v>
      </c>
      <c r="AB479" s="146">
        <v>300</v>
      </c>
      <c r="AC479" s="146">
        <v>300</v>
      </c>
      <c r="AD479" s="146">
        <v>0</v>
      </c>
      <c r="AE479" s="146">
        <v>0</v>
      </c>
      <c r="AF479" s="146">
        <v>270</v>
      </c>
      <c r="AG479" s="146">
        <v>270</v>
      </c>
      <c r="AH479" s="146">
        <v>0</v>
      </c>
      <c r="AI479" s="146">
        <v>0</v>
      </c>
      <c r="AJ479" s="146">
        <v>0</v>
      </c>
      <c r="AK479" s="146">
        <v>0</v>
      </c>
      <c r="AL479" s="146">
        <v>3</v>
      </c>
      <c r="AM479" s="146">
        <v>3</v>
      </c>
      <c r="AN479" s="146">
        <v>3</v>
      </c>
      <c r="AO479" s="146">
        <v>3</v>
      </c>
      <c r="AP479" s="146">
        <v>0</v>
      </c>
      <c r="AQ479" s="146">
        <v>0</v>
      </c>
      <c r="AR479" s="146">
        <v>0</v>
      </c>
      <c r="AS479" s="146">
        <v>0</v>
      </c>
      <c r="AT479" s="146">
        <v>0</v>
      </c>
      <c r="AU479" s="146">
        <v>0</v>
      </c>
      <c r="AV479" s="146">
        <v>0</v>
      </c>
      <c r="AW479" s="146">
        <v>0</v>
      </c>
      <c r="AX479" s="146">
        <f t="shared" si="65"/>
        <v>89700</v>
      </c>
      <c r="AY479" s="146">
        <f t="shared" si="66"/>
        <v>89700</v>
      </c>
      <c r="AZ479" s="137" t="s">
        <v>562</v>
      </c>
      <c r="BA479" s="137" t="s">
        <v>562</v>
      </c>
      <c r="BB479" s="137">
        <v>11</v>
      </c>
      <c r="BC479" s="187">
        <v>475</v>
      </c>
      <c r="BD479" s="149"/>
      <c r="BE479" s="145"/>
      <c r="BF479" s="150"/>
      <c r="BG479" s="188">
        <v>46133</v>
      </c>
      <c r="BH479" s="153" t="s">
        <v>15</v>
      </c>
      <c r="BI479" s="153" t="s">
        <v>562</v>
      </c>
      <c r="BK479" s="238"/>
    </row>
    <row r="480" spans="1:63" s="16" customFormat="1" ht="42" customHeight="1" x14ac:dyDescent="0.3">
      <c r="A480" s="26">
        <v>476</v>
      </c>
      <c r="B480" s="62">
        <v>246312</v>
      </c>
      <c r="C480" s="62">
        <v>476</v>
      </c>
      <c r="D480" s="63">
        <v>46065</v>
      </c>
      <c r="E480" s="63">
        <f t="shared" si="60"/>
        <v>46064</v>
      </c>
      <c r="F480" s="63">
        <f t="shared" si="63"/>
        <v>46075</v>
      </c>
      <c r="G480" s="63">
        <v>46155</v>
      </c>
      <c r="H480" s="63">
        <f ca="1">TODAY()</f>
        <v>46277</v>
      </c>
      <c r="I480" s="63" t="s">
        <v>321</v>
      </c>
      <c r="J480" s="64" t="s">
        <v>1052</v>
      </c>
      <c r="K480" s="65">
        <f t="shared" si="64"/>
        <v>80</v>
      </c>
      <c r="L480" s="65">
        <v>1200437</v>
      </c>
      <c r="M480" s="112" t="s">
        <v>365</v>
      </c>
      <c r="N480" s="64" t="s">
        <v>77</v>
      </c>
      <c r="O480" s="112" t="s">
        <v>1493</v>
      </c>
      <c r="P480" s="103" t="s">
        <v>77</v>
      </c>
      <c r="Q480" s="103" t="s">
        <v>77</v>
      </c>
      <c r="R480" s="73" t="s">
        <v>211</v>
      </c>
      <c r="S480" s="66" t="s">
        <v>183</v>
      </c>
      <c r="T480" s="67">
        <v>1</v>
      </c>
      <c r="U480" s="75" t="s">
        <v>840</v>
      </c>
      <c r="V480" s="68">
        <v>78</v>
      </c>
      <c r="W480" s="68"/>
      <c r="X480" s="69">
        <v>1</v>
      </c>
      <c r="Y480" s="68"/>
      <c r="Z480" s="68">
        <v>0</v>
      </c>
      <c r="AA480" s="68">
        <v>0</v>
      </c>
      <c r="AB480" s="68">
        <v>0</v>
      </c>
      <c r="AC480" s="68"/>
      <c r="AD480" s="68">
        <v>0</v>
      </c>
      <c r="AE480" s="68">
        <v>0</v>
      </c>
      <c r="AF480" s="68">
        <v>0</v>
      </c>
      <c r="AG480" s="68">
        <v>0</v>
      </c>
      <c r="AH480" s="68">
        <v>0</v>
      </c>
      <c r="AI480" s="68">
        <v>0</v>
      </c>
      <c r="AJ480" s="68">
        <v>1</v>
      </c>
      <c r="AK480" s="68"/>
      <c r="AL480" s="68">
        <v>1</v>
      </c>
      <c r="AM480" s="68"/>
      <c r="AN480" s="68">
        <v>1</v>
      </c>
      <c r="AO480" s="68"/>
      <c r="AP480" s="68">
        <v>1</v>
      </c>
      <c r="AQ480" s="68"/>
      <c r="AR480" s="68">
        <v>0</v>
      </c>
      <c r="AS480" s="68">
        <v>0</v>
      </c>
      <c r="AT480" s="68">
        <v>0</v>
      </c>
      <c r="AU480" s="68">
        <v>0</v>
      </c>
      <c r="AV480" s="68">
        <v>0</v>
      </c>
      <c r="AW480" s="68">
        <v>0</v>
      </c>
      <c r="AX480" s="146">
        <f t="shared" si="65"/>
        <v>6415</v>
      </c>
      <c r="AY480" s="146">
        <f t="shared" si="66"/>
        <v>0</v>
      </c>
      <c r="AZ480" s="109" t="s">
        <v>365</v>
      </c>
      <c r="BA480" s="64" t="s">
        <v>77</v>
      </c>
      <c r="BB480" s="15" t="s">
        <v>77</v>
      </c>
      <c r="BC480" s="74">
        <v>476</v>
      </c>
      <c r="BD480" s="70"/>
      <c r="BE480" s="67"/>
      <c r="BF480" s="71"/>
      <c r="BG480" s="15"/>
      <c r="BH480" s="72" t="s">
        <v>77</v>
      </c>
      <c r="BI480" s="72" t="s">
        <v>77</v>
      </c>
    </row>
    <row r="481" spans="1:63" s="16" customFormat="1" ht="42" hidden="1" customHeight="1" x14ac:dyDescent="0.3">
      <c r="A481" s="26">
        <v>477</v>
      </c>
      <c r="B481" s="138">
        <v>246430</v>
      </c>
      <c r="C481" s="138">
        <v>477</v>
      </c>
      <c r="D481" s="139">
        <v>46068</v>
      </c>
      <c r="E481" s="139">
        <f t="shared" si="60"/>
        <v>46067</v>
      </c>
      <c r="F481" s="139">
        <f t="shared" si="63"/>
        <v>46078</v>
      </c>
      <c r="G481" s="139">
        <v>46127</v>
      </c>
      <c r="H481" s="139">
        <v>46142</v>
      </c>
      <c r="I481" s="139" t="s">
        <v>123</v>
      </c>
      <c r="J481" s="140" t="s">
        <v>1056</v>
      </c>
      <c r="K481" s="141">
        <f t="shared" si="64"/>
        <v>49</v>
      </c>
      <c r="L481" s="141">
        <v>1201367</v>
      </c>
      <c r="M481" s="140" t="s">
        <v>15</v>
      </c>
      <c r="N481" s="140">
        <v>818752</v>
      </c>
      <c r="O481" s="140" t="s">
        <v>246</v>
      </c>
      <c r="P481" s="143">
        <v>46091</v>
      </c>
      <c r="Q481" s="143">
        <v>46275</v>
      </c>
      <c r="R481" s="185" t="s">
        <v>211</v>
      </c>
      <c r="S481" s="144" t="s">
        <v>1057</v>
      </c>
      <c r="T481" s="145">
        <v>1</v>
      </c>
      <c r="U481" s="186" t="s">
        <v>81</v>
      </c>
      <c r="V481" s="146">
        <v>71</v>
      </c>
      <c r="W481" s="146">
        <v>71</v>
      </c>
      <c r="X481" s="147">
        <v>0</v>
      </c>
      <c r="Y481" s="146">
        <v>0</v>
      </c>
      <c r="Z481" s="146">
        <v>0</v>
      </c>
      <c r="AA481" s="146">
        <v>0</v>
      </c>
      <c r="AB481" s="146">
        <v>71</v>
      </c>
      <c r="AC481" s="146">
        <v>71</v>
      </c>
      <c r="AD481" s="146">
        <v>0</v>
      </c>
      <c r="AE481" s="146">
        <v>0</v>
      </c>
      <c r="AF481" s="146">
        <v>0</v>
      </c>
      <c r="AG481" s="146">
        <v>0</v>
      </c>
      <c r="AH481" s="146">
        <v>1</v>
      </c>
      <c r="AI481" s="146">
        <v>1</v>
      </c>
      <c r="AJ481" s="146">
        <v>0</v>
      </c>
      <c r="AK481" s="146">
        <v>0</v>
      </c>
      <c r="AL481" s="146">
        <v>0</v>
      </c>
      <c r="AM481" s="146">
        <v>0</v>
      </c>
      <c r="AN481" s="146">
        <v>1</v>
      </c>
      <c r="AO481" s="146">
        <v>1</v>
      </c>
      <c r="AP481" s="146">
        <v>2</v>
      </c>
      <c r="AQ481" s="146">
        <v>2</v>
      </c>
      <c r="AR481" s="146">
        <v>0</v>
      </c>
      <c r="AS481" s="146">
        <v>0</v>
      </c>
      <c r="AT481" s="146">
        <v>1</v>
      </c>
      <c r="AU481" s="146">
        <v>1</v>
      </c>
      <c r="AV481" s="146">
        <v>0</v>
      </c>
      <c r="AW481" s="146">
        <v>0</v>
      </c>
      <c r="AX481" s="146">
        <f t="shared" si="65"/>
        <v>10147</v>
      </c>
      <c r="AY481" s="146">
        <f t="shared" si="66"/>
        <v>10147</v>
      </c>
      <c r="AZ481" s="137" t="s">
        <v>562</v>
      </c>
      <c r="BA481" s="137" t="s">
        <v>562</v>
      </c>
      <c r="BB481" s="137">
        <v>11</v>
      </c>
      <c r="BC481" s="187">
        <v>477</v>
      </c>
      <c r="BD481" s="149"/>
      <c r="BE481" s="145"/>
      <c r="BF481" s="150"/>
      <c r="BG481" s="188">
        <v>46140</v>
      </c>
      <c r="BH481" s="153" t="s">
        <v>15</v>
      </c>
      <c r="BI481" s="153" t="s">
        <v>562</v>
      </c>
      <c r="BK481" s="238"/>
    </row>
    <row r="482" spans="1:63" s="16" customFormat="1" ht="42" customHeight="1" x14ac:dyDescent="0.3">
      <c r="A482" s="26">
        <v>478</v>
      </c>
      <c r="B482" s="163">
        <v>246460</v>
      </c>
      <c r="C482" s="163">
        <v>478</v>
      </c>
      <c r="D482" s="164">
        <v>46069</v>
      </c>
      <c r="E482" s="164">
        <f t="shared" si="60"/>
        <v>46068</v>
      </c>
      <c r="F482" s="164">
        <f t="shared" si="63"/>
        <v>46079</v>
      </c>
      <c r="G482" s="164">
        <v>46159</v>
      </c>
      <c r="H482" s="164">
        <v>46254</v>
      </c>
      <c r="I482" s="164" t="s">
        <v>349</v>
      </c>
      <c r="J482" s="165" t="s">
        <v>1070</v>
      </c>
      <c r="K482" s="166">
        <f t="shared" si="64"/>
        <v>80</v>
      </c>
      <c r="L482" s="166">
        <v>1201589</v>
      </c>
      <c r="M482" s="165" t="s">
        <v>15</v>
      </c>
      <c r="N482" s="165">
        <v>819493</v>
      </c>
      <c r="O482" s="165" t="s">
        <v>246</v>
      </c>
      <c r="P482" s="167">
        <v>46117</v>
      </c>
      <c r="Q482" s="167">
        <v>46282</v>
      </c>
      <c r="R482" s="179" t="s">
        <v>211</v>
      </c>
      <c r="S482" s="168" t="s">
        <v>1071</v>
      </c>
      <c r="T482" s="169">
        <v>1</v>
      </c>
      <c r="U482" s="180" t="s">
        <v>81</v>
      </c>
      <c r="V482" s="170">
        <v>177</v>
      </c>
      <c r="W482" s="170">
        <v>177</v>
      </c>
      <c r="X482" s="171">
        <v>0</v>
      </c>
      <c r="Y482" s="170">
        <v>0</v>
      </c>
      <c r="Z482" s="170">
        <v>0</v>
      </c>
      <c r="AA482" s="170">
        <v>0</v>
      </c>
      <c r="AB482" s="170">
        <v>177</v>
      </c>
      <c r="AC482" s="170">
        <v>177</v>
      </c>
      <c r="AD482" s="170">
        <v>0</v>
      </c>
      <c r="AE482" s="170">
        <v>0</v>
      </c>
      <c r="AF482" s="170">
        <v>0</v>
      </c>
      <c r="AG482" s="170">
        <v>0</v>
      </c>
      <c r="AH482" s="170">
        <v>1</v>
      </c>
      <c r="AI482" s="170">
        <v>1</v>
      </c>
      <c r="AJ482" s="170">
        <v>0</v>
      </c>
      <c r="AK482" s="170">
        <v>0</v>
      </c>
      <c r="AL482" s="170">
        <v>0</v>
      </c>
      <c r="AM482" s="170">
        <v>0</v>
      </c>
      <c r="AN482" s="170">
        <v>3</v>
      </c>
      <c r="AO482" s="170">
        <v>3</v>
      </c>
      <c r="AP482" s="170">
        <v>3</v>
      </c>
      <c r="AQ482" s="170">
        <v>3</v>
      </c>
      <c r="AR482" s="170">
        <v>0</v>
      </c>
      <c r="AS482" s="170">
        <v>0</v>
      </c>
      <c r="AT482" s="170">
        <v>0</v>
      </c>
      <c r="AU482" s="170">
        <v>0</v>
      </c>
      <c r="AV482" s="170">
        <v>0</v>
      </c>
      <c r="AW482" s="170">
        <v>0</v>
      </c>
      <c r="AX482" s="170">
        <f t="shared" si="65"/>
        <v>22949</v>
      </c>
      <c r="AY482" s="170">
        <f t="shared" si="66"/>
        <v>22949</v>
      </c>
      <c r="AZ482" s="165" t="s">
        <v>15</v>
      </c>
      <c r="BA482" s="165" t="s">
        <v>77</v>
      </c>
      <c r="BB482" s="162" t="s">
        <v>77</v>
      </c>
      <c r="BC482" s="181">
        <v>478</v>
      </c>
      <c r="BD482" s="173"/>
      <c r="BE482" s="169"/>
      <c r="BF482" s="174"/>
      <c r="BG482" s="178">
        <v>46254</v>
      </c>
      <c r="BH482" s="175" t="s">
        <v>77</v>
      </c>
      <c r="BI482" s="175" t="s">
        <v>77</v>
      </c>
    </row>
    <row r="483" spans="1:63" s="16" customFormat="1" ht="42" customHeight="1" x14ac:dyDescent="0.3">
      <c r="A483" s="26">
        <v>479</v>
      </c>
      <c r="B483" s="62">
        <v>246532</v>
      </c>
      <c r="C483" s="62">
        <v>479</v>
      </c>
      <c r="D483" s="63">
        <v>46070</v>
      </c>
      <c r="E483" s="63">
        <f t="shared" si="60"/>
        <v>46069</v>
      </c>
      <c r="F483" s="63">
        <f t="shared" si="63"/>
        <v>46080</v>
      </c>
      <c r="G483" s="63">
        <v>46160</v>
      </c>
      <c r="H483" s="63">
        <f ca="1">TODAY()</f>
        <v>46277</v>
      </c>
      <c r="I483" s="63" t="s">
        <v>349</v>
      </c>
      <c r="J483" s="64" t="s">
        <v>1072</v>
      </c>
      <c r="K483" s="65">
        <f t="shared" si="64"/>
        <v>80</v>
      </c>
      <c r="L483" s="65">
        <v>1201841</v>
      </c>
      <c r="M483" s="64" t="s">
        <v>77</v>
      </c>
      <c r="N483" s="64">
        <v>818744</v>
      </c>
      <c r="O483" s="79" t="s">
        <v>246</v>
      </c>
      <c r="P483" s="103">
        <v>46093</v>
      </c>
      <c r="Q483" s="103">
        <v>46275</v>
      </c>
      <c r="R483" s="73" t="s">
        <v>211</v>
      </c>
      <c r="S483" s="66" t="s">
        <v>1073</v>
      </c>
      <c r="T483" s="67">
        <v>1</v>
      </c>
      <c r="U483" s="75" t="s">
        <v>684</v>
      </c>
      <c r="V483" s="68">
        <v>75</v>
      </c>
      <c r="W483" s="68"/>
      <c r="X483" s="69">
        <v>1</v>
      </c>
      <c r="Y483" s="68"/>
      <c r="Z483" s="68">
        <v>0</v>
      </c>
      <c r="AA483" s="68">
        <v>0</v>
      </c>
      <c r="AB483" s="68">
        <v>0</v>
      </c>
      <c r="AC483" s="68"/>
      <c r="AD483" s="68">
        <v>0</v>
      </c>
      <c r="AE483" s="68">
        <v>0</v>
      </c>
      <c r="AF483" s="68">
        <v>0</v>
      </c>
      <c r="AG483" s="68">
        <v>0</v>
      </c>
      <c r="AH483" s="68">
        <v>0</v>
      </c>
      <c r="AI483" s="68">
        <v>0</v>
      </c>
      <c r="AJ483" s="68">
        <v>1</v>
      </c>
      <c r="AK483" s="68"/>
      <c r="AL483" s="68">
        <v>1</v>
      </c>
      <c r="AM483" s="68"/>
      <c r="AN483" s="68">
        <v>3</v>
      </c>
      <c r="AO483" s="68"/>
      <c r="AP483" s="68">
        <v>2</v>
      </c>
      <c r="AQ483" s="68"/>
      <c r="AR483" s="68">
        <v>0</v>
      </c>
      <c r="AS483" s="68">
        <v>0</v>
      </c>
      <c r="AT483" s="68">
        <v>0</v>
      </c>
      <c r="AU483" s="68">
        <v>0</v>
      </c>
      <c r="AV483" s="68">
        <v>0</v>
      </c>
      <c r="AW483" s="68">
        <v>0</v>
      </c>
      <c r="AX483" s="146">
        <f t="shared" si="65"/>
        <v>6985</v>
      </c>
      <c r="AY483" s="146">
        <f t="shared" si="66"/>
        <v>0</v>
      </c>
      <c r="AZ483" s="64" t="s">
        <v>77</v>
      </c>
      <c r="BA483" s="64" t="s">
        <v>77</v>
      </c>
      <c r="BB483" s="15" t="s">
        <v>77</v>
      </c>
      <c r="BC483" s="74">
        <v>479</v>
      </c>
      <c r="BD483" s="70"/>
      <c r="BE483" s="67"/>
      <c r="BF483" s="71"/>
      <c r="BG483" s="15"/>
      <c r="BH483" s="72" t="s">
        <v>77</v>
      </c>
      <c r="BI483" s="72" t="s">
        <v>77</v>
      </c>
    </row>
    <row r="484" spans="1:63" s="16" customFormat="1" ht="42" customHeight="1" x14ac:dyDescent="0.3">
      <c r="A484" s="26">
        <v>480</v>
      </c>
      <c r="B484" s="62">
        <v>246546</v>
      </c>
      <c r="C484" s="62">
        <v>480</v>
      </c>
      <c r="D484" s="63">
        <v>46070</v>
      </c>
      <c r="E484" s="63">
        <f t="shared" si="60"/>
        <v>46069</v>
      </c>
      <c r="F484" s="63">
        <f t="shared" si="63"/>
        <v>46080</v>
      </c>
      <c r="G484" s="63">
        <v>46160</v>
      </c>
      <c r="H484" s="63">
        <f ca="1">TODAY()</f>
        <v>46277</v>
      </c>
      <c r="I484" s="63" t="s">
        <v>349</v>
      </c>
      <c r="J484" s="64" t="s">
        <v>1074</v>
      </c>
      <c r="K484" s="65">
        <f t="shared" si="64"/>
        <v>80</v>
      </c>
      <c r="L484" s="65">
        <v>1201912</v>
      </c>
      <c r="M484" s="64" t="s">
        <v>77</v>
      </c>
      <c r="N484" s="64">
        <v>819493</v>
      </c>
      <c r="O484" s="79" t="s">
        <v>246</v>
      </c>
      <c r="P484" s="103">
        <v>46117</v>
      </c>
      <c r="Q484" s="103">
        <v>46282</v>
      </c>
      <c r="R484" s="73" t="s">
        <v>211</v>
      </c>
      <c r="S484" s="66" t="s">
        <v>355</v>
      </c>
      <c r="T484" s="67">
        <v>1</v>
      </c>
      <c r="U484" s="75" t="s">
        <v>81</v>
      </c>
      <c r="V484" s="68">
        <v>36</v>
      </c>
      <c r="W484" s="68"/>
      <c r="X484" s="69">
        <v>1</v>
      </c>
      <c r="Y484" s="68"/>
      <c r="Z484" s="68">
        <v>0</v>
      </c>
      <c r="AA484" s="68">
        <v>0</v>
      </c>
      <c r="AB484" s="68">
        <v>0</v>
      </c>
      <c r="AC484" s="68"/>
      <c r="AD484" s="68">
        <v>0</v>
      </c>
      <c r="AE484" s="68">
        <v>0</v>
      </c>
      <c r="AF484" s="68">
        <v>0</v>
      </c>
      <c r="AG484" s="68">
        <v>0</v>
      </c>
      <c r="AH484" s="68">
        <v>1</v>
      </c>
      <c r="AI484" s="68"/>
      <c r="AJ484" s="68">
        <v>0</v>
      </c>
      <c r="AK484" s="68">
        <v>0</v>
      </c>
      <c r="AL484" s="68">
        <v>1</v>
      </c>
      <c r="AM484" s="68"/>
      <c r="AN484" s="68">
        <v>6</v>
      </c>
      <c r="AO484" s="68"/>
      <c r="AP484" s="68">
        <v>6</v>
      </c>
      <c r="AQ484" s="68"/>
      <c r="AR484" s="68">
        <v>0</v>
      </c>
      <c r="AS484" s="68">
        <v>0</v>
      </c>
      <c r="AT484" s="68">
        <v>0</v>
      </c>
      <c r="AU484" s="68">
        <v>0</v>
      </c>
      <c r="AV484" s="68">
        <v>0</v>
      </c>
      <c r="AW484" s="68">
        <v>0</v>
      </c>
      <c r="AX484" s="146">
        <f t="shared" si="65"/>
        <v>7140</v>
      </c>
      <c r="AY484" s="146">
        <f t="shared" si="66"/>
        <v>0</v>
      </c>
      <c r="AZ484" s="64" t="s">
        <v>77</v>
      </c>
      <c r="BA484" s="64" t="s">
        <v>77</v>
      </c>
      <c r="BB484" s="15" t="s">
        <v>77</v>
      </c>
      <c r="BC484" s="74">
        <v>480</v>
      </c>
      <c r="BD484" s="70"/>
      <c r="BE484" s="67"/>
      <c r="BF484" s="71"/>
      <c r="BG484" s="15"/>
      <c r="BH484" s="72" t="s">
        <v>77</v>
      </c>
      <c r="BI484" s="72" t="s">
        <v>77</v>
      </c>
    </row>
    <row r="485" spans="1:63" s="16" customFormat="1" ht="42" customHeight="1" x14ac:dyDescent="0.3">
      <c r="A485" s="26">
        <v>481</v>
      </c>
      <c r="B485" s="62">
        <v>246545</v>
      </c>
      <c r="C485" s="62">
        <v>481</v>
      </c>
      <c r="D485" s="63">
        <v>46070</v>
      </c>
      <c r="E485" s="63">
        <f t="shared" si="60"/>
        <v>46069</v>
      </c>
      <c r="F485" s="63">
        <f t="shared" si="63"/>
        <v>46080</v>
      </c>
      <c r="G485" s="63">
        <v>46160</v>
      </c>
      <c r="H485" s="63">
        <f ca="1">TODAY()</f>
        <v>46277</v>
      </c>
      <c r="I485" s="63" t="s">
        <v>349</v>
      </c>
      <c r="J485" s="64" t="s">
        <v>1075</v>
      </c>
      <c r="K485" s="65">
        <f t="shared" si="64"/>
        <v>80</v>
      </c>
      <c r="L485" s="65">
        <v>1201914</v>
      </c>
      <c r="M485" s="64" t="s">
        <v>77</v>
      </c>
      <c r="N485" s="64">
        <v>819493</v>
      </c>
      <c r="O485" s="79" t="s">
        <v>246</v>
      </c>
      <c r="P485" s="103">
        <v>46117</v>
      </c>
      <c r="Q485" s="103">
        <v>46282</v>
      </c>
      <c r="R485" s="73" t="s">
        <v>211</v>
      </c>
      <c r="S485" s="66" t="s">
        <v>1076</v>
      </c>
      <c r="T485" s="67">
        <v>1</v>
      </c>
      <c r="U485" s="75" t="s">
        <v>81</v>
      </c>
      <c r="V485" s="68">
        <v>121</v>
      </c>
      <c r="W485" s="68"/>
      <c r="X485" s="69">
        <v>1</v>
      </c>
      <c r="Y485" s="68"/>
      <c r="Z485" s="68">
        <v>0</v>
      </c>
      <c r="AA485" s="68">
        <v>0</v>
      </c>
      <c r="AB485" s="68">
        <v>0</v>
      </c>
      <c r="AC485" s="68"/>
      <c r="AD485" s="68">
        <v>0</v>
      </c>
      <c r="AE485" s="68">
        <v>0</v>
      </c>
      <c r="AF485" s="68">
        <v>0</v>
      </c>
      <c r="AG485" s="68">
        <v>0</v>
      </c>
      <c r="AH485" s="68">
        <v>1</v>
      </c>
      <c r="AI485" s="68"/>
      <c r="AJ485" s="68">
        <v>0</v>
      </c>
      <c r="AK485" s="68">
        <v>0</v>
      </c>
      <c r="AL485" s="68">
        <v>1</v>
      </c>
      <c r="AM485" s="68"/>
      <c r="AN485" s="68">
        <v>2</v>
      </c>
      <c r="AO485" s="68"/>
      <c r="AP485" s="68">
        <v>2</v>
      </c>
      <c r="AQ485" s="68"/>
      <c r="AR485" s="68">
        <v>0</v>
      </c>
      <c r="AS485" s="68">
        <v>0</v>
      </c>
      <c r="AT485" s="68">
        <v>0</v>
      </c>
      <c r="AU485" s="68">
        <v>0</v>
      </c>
      <c r="AV485" s="68">
        <v>0</v>
      </c>
      <c r="AW485" s="68">
        <v>0</v>
      </c>
      <c r="AX485" s="146">
        <f t="shared" si="65"/>
        <v>9480</v>
      </c>
      <c r="AY485" s="146">
        <f t="shared" si="66"/>
        <v>0</v>
      </c>
      <c r="AZ485" s="64" t="s">
        <v>77</v>
      </c>
      <c r="BA485" s="64" t="s">
        <v>77</v>
      </c>
      <c r="BB485" s="15" t="s">
        <v>77</v>
      </c>
      <c r="BC485" s="74">
        <v>481</v>
      </c>
      <c r="BD485" s="70"/>
      <c r="BE485" s="67"/>
      <c r="BF485" s="71"/>
      <c r="BG485" s="15"/>
      <c r="BH485" s="72" t="s">
        <v>77</v>
      </c>
      <c r="BI485" s="72" t="s">
        <v>77</v>
      </c>
    </row>
    <row r="486" spans="1:63" s="16" customFormat="1" ht="42" customHeight="1" x14ac:dyDescent="0.3">
      <c r="A486" s="26">
        <v>482</v>
      </c>
      <c r="B486" s="163">
        <v>246561</v>
      </c>
      <c r="C486" s="163">
        <v>482</v>
      </c>
      <c r="D486" s="164">
        <v>46075</v>
      </c>
      <c r="E486" s="164">
        <f t="shared" si="60"/>
        <v>46074</v>
      </c>
      <c r="F486" s="164">
        <f t="shared" si="63"/>
        <v>46085</v>
      </c>
      <c r="G486" s="164">
        <v>46134</v>
      </c>
      <c r="H486" s="164">
        <v>46139</v>
      </c>
      <c r="I486" s="164" t="s">
        <v>123</v>
      </c>
      <c r="J486" s="165" t="s">
        <v>1105</v>
      </c>
      <c r="K486" s="166">
        <f t="shared" si="64"/>
        <v>49</v>
      </c>
      <c r="L486" s="166">
        <v>1202007</v>
      </c>
      <c r="M486" s="165" t="s">
        <v>15</v>
      </c>
      <c r="N486" s="165">
        <v>818745</v>
      </c>
      <c r="O486" s="165" t="s">
        <v>246</v>
      </c>
      <c r="P486" s="167">
        <v>46095</v>
      </c>
      <c r="Q486" s="167">
        <v>46275</v>
      </c>
      <c r="R486" s="179" t="s">
        <v>211</v>
      </c>
      <c r="S486" s="168" t="s">
        <v>1077</v>
      </c>
      <c r="T486" s="169">
        <v>1</v>
      </c>
      <c r="U486" s="180" t="s">
        <v>106</v>
      </c>
      <c r="V486" s="170">
        <v>101</v>
      </c>
      <c r="W486" s="170">
        <v>101</v>
      </c>
      <c r="X486" s="171"/>
      <c r="Y486" s="170"/>
      <c r="Z486" s="170"/>
      <c r="AA486" s="170"/>
      <c r="AB486" s="170">
        <v>3</v>
      </c>
      <c r="AC486" s="170">
        <v>3</v>
      </c>
      <c r="AD486" s="170">
        <v>0</v>
      </c>
      <c r="AE486" s="170">
        <v>0</v>
      </c>
      <c r="AF486" s="170">
        <v>0</v>
      </c>
      <c r="AG486" s="170">
        <v>0</v>
      </c>
      <c r="AH486" s="170">
        <v>1</v>
      </c>
      <c r="AI486" s="170">
        <v>1</v>
      </c>
      <c r="AJ486" s="170">
        <v>0</v>
      </c>
      <c r="AK486" s="170">
        <v>0</v>
      </c>
      <c r="AL486" s="170">
        <v>0</v>
      </c>
      <c r="AM486" s="170">
        <v>0</v>
      </c>
      <c r="AN486" s="170">
        <v>1</v>
      </c>
      <c r="AO486" s="170">
        <v>1</v>
      </c>
      <c r="AP486" s="170">
        <v>3</v>
      </c>
      <c r="AQ486" s="170">
        <v>3</v>
      </c>
      <c r="AR486" s="170">
        <v>0</v>
      </c>
      <c r="AS486" s="170">
        <v>0</v>
      </c>
      <c r="AT486" s="170">
        <v>0</v>
      </c>
      <c r="AU486" s="170">
        <v>0</v>
      </c>
      <c r="AV486" s="170">
        <v>0</v>
      </c>
      <c r="AW486" s="170">
        <v>0</v>
      </c>
      <c r="AX486" s="170">
        <f t="shared" si="65"/>
        <v>8351</v>
      </c>
      <c r="AY486" s="170">
        <f t="shared" si="66"/>
        <v>8351</v>
      </c>
      <c r="AZ486" s="165" t="s">
        <v>15</v>
      </c>
      <c r="BA486" s="165" t="s">
        <v>77</v>
      </c>
      <c r="BB486" s="162" t="s">
        <v>77</v>
      </c>
      <c r="BC486" s="181">
        <v>482</v>
      </c>
      <c r="BD486" s="173"/>
      <c r="BE486" s="169"/>
      <c r="BF486" s="174"/>
      <c r="BG486" s="178">
        <v>46135</v>
      </c>
      <c r="BH486" s="175" t="s">
        <v>77</v>
      </c>
      <c r="BI486" s="175" t="s">
        <v>77</v>
      </c>
      <c r="BK486" s="238"/>
    </row>
    <row r="487" spans="1:63" s="16" customFormat="1" ht="42" customHeight="1" x14ac:dyDescent="0.3">
      <c r="A487" s="26">
        <v>483</v>
      </c>
      <c r="B487" s="62">
        <v>246578</v>
      </c>
      <c r="C487" s="62">
        <v>483</v>
      </c>
      <c r="D487" s="63">
        <v>46070</v>
      </c>
      <c r="E487" s="63">
        <f t="shared" si="60"/>
        <v>46069</v>
      </c>
      <c r="F487" s="63">
        <f t="shared" si="63"/>
        <v>46080</v>
      </c>
      <c r="G487" s="63">
        <v>46160</v>
      </c>
      <c r="H487" s="63">
        <f ca="1">TODAY()</f>
        <v>46277</v>
      </c>
      <c r="I487" s="63" t="s">
        <v>349</v>
      </c>
      <c r="J487" s="64" t="s">
        <v>1078</v>
      </c>
      <c r="K487" s="65">
        <f t="shared" si="64"/>
        <v>80</v>
      </c>
      <c r="L487" s="65">
        <v>1202067</v>
      </c>
      <c r="M487" s="64" t="s">
        <v>77</v>
      </c>
      <c r="N487" s="64">
        <v>819493</v>
      </c>
      <c r="O487" s="79" t="s">
        <v>246</v>
      </c>
      <c r="P487" s="103">
        <v>46117</v>
      </c>
      <c r="Q487" s="103">
        <v>46282</v>
      </c>
      <c r="R487" s="73" t="s">
        <v>211</v>
      </c>
      <c r="S487" s="66" t="s">
        <v>1079</v>
      </c>
      <c r="T487" s="67">
        <v>1</v>
      </c>
      <c r="U487" s="75" t="s">
        <v>81</v>
      </c>
      <c r="V487" s="68">
        <v>44</v>
      </c>
      <c r="W487" s="68"/>
      <c r="X487" s="69">
        <v>1</v>
      </c>
      <c r="Y487" s="68"/>
      <c r="Z487" s="68">
        <v>0</v>
      </c>
      <c r="AA487" s="68">
        <v>0</v>
      </c>
      <c r="AB487" s="68">
        <v>0</v>
      </c>
      <c r="AC487" s="68"/>
      <c r="AD487" s="68">
        <v>0</v>
      </c>
      <c r="AE487" s="68">
        <v>0</v>
      </c>
      <c r="AF487" s="68">
        <v>0</v>
      </c>
      <c r="AG487" s="68">
        <v>0</v>
      </c>
      <c r="AH487" s="68">
        <v>1</v>
      </c>
      <c r="AI487" s="68"/>
      <c r="AJ487" s="68">
        <v>0</v>
      </c>
      <c r="AK487" s="68">
        <v>0</v>
      </c>
      <c r="AL487" s="68">
        <v>2</v>
      </c>
      <c r="AM487" s="68"/>
      <c r="AN487" s="68">
        <v>2</v>
      </c>
      <c r="AO487" s="68"/>
      <c r="AP487" s="68">
        <v>1</v>
      </c>
      <c r="AQ487" s="68"/>
      <c r="AR487" s="68">
        <v>0</v>
      </c>
      <c r="AS487" s="68">
        <v>0</v>
      </c>
      <c r="AT487" s="68">
        <v>0</v>
      </c>
      <c r="AU487" s="68">
        <v>0</v>
      </c>
      <c r="AV487" s="68">
        <v>0</v>
      </c>
      <c r="AW487" s="68">
        <v>0</v>
      </c>
      <c r="AX487" s="146">
        <f t="shared" si="65"/>
        <v>4820</v>
      </c>
      <c r="AY487" s="146">
        <f t="shared" si="66"/>
        <v>0</v>
      </c>
      <c r="AZ487" s="64" t="s">
        <v>77</v>
      </c>
      <c r="BA487" s="64" t="s">
        <v>77</v>
      </c>
      <c r="BB487" s="15" t="s">
        <v>77</v>
      </c>
      <c r="BC487" s="74">
        <v>483</v>
      </c>
      <c r="BD487" s="70"/>
      <c r="BE487" s="67"/>
      <c r="BF487" s="71"/>
      <c r="BG487" s="15"/>
      <c r="BH487" s="72" t="s">
        <v>77</v>
      </c>
      <c r="BI487" s="72" t="s">
        <v>77</v>
      </c>
    </row>
    <row r="488" spans="1:63" s="16" customFormat="1" ht="44.1" customHeight="1" x14ac:dyDescent="0.3">
      <c r="A488" s="200">
        <v>484</v>
      </c>
      <c r="B488" s="110">
        <v>246570</v>
      </c>
      <c r="C488" s="110">
        <v>484</v>
      </c>
      <c r="D488" s="111">
        <v>46070</v>
      </c>
      <c r="E488" s="111">
        <f t="shared" si="60"/>
        <v>46069</v>
      </c>
      <c r="F488" s="111">
        <f t="shared" si="63"/>
        <v>46080</v>
      </c>
      <c r="G488" s="111">
        <v>46160</v>
      </c>
      <c r="H488" s="111">
        <f ca="1">TODAY()</f>
        <v>46277</v>
      </c>
      <c r="I488" s="111" t="s">
        <v>349</v>
      </c>
      <c r="J488" s="112" t="s">
        <v>1080</v>
      </c>
      <c r="K488" s="113">
        <f t="shared" si="64"/>
        <v>80</v>
      </c>
      <c r="L488" s="113">
        <v>1202025</v>
      </c>
      <c r="M488" s="114" t="s">
        <v>751</v>
      </c>
      <c r="N488" s="112" t="s">
        <v>251</v>
      </c>
      <c r="O488" s="109" t="s">
        <v>751</v>
      </c>
      <c r="P488" s="115" t="s">
        <v>77</v>
      </c>
      <c r="Q488" s="115" t="s">
        <v>77</v>
      </c>
      <c r="R488" s="131" t="s">
        <v>211</v>
      </c>
      <c r="S488" s="117" t="s">
        <v>1081</v>
      </c>
      <c r="T488" s="118">
        <v>1</v>
      </c>
      <c r="U488" s="132" t="s">
        <v>1029</v>
      </c>
      <c r="V488" s="119">
        <v>80</v>
      </c>
      <c r="W488" s="119"/>
      <c r="X488" s="120">
        <v>1</v>
      </c>
      <c r="Y488" s="119"/>
      <c r="Z488" s="119">
        <v>0</v>
      </c>
      <c r="AA488" s="119">
        <v>0</v>
      </c>
      <c r="AB488" s="119">
        <v>0</v>
      </c>
      <c r="AC488" s="119"/>
      <c r="AD488" s="119">
        <v>0</v>
      </c>
      <c r="AE488" s="119">
        <v>0</v>
      </c>
      <c r="AF488" s="119">
        <v>0</v>
      </c>
      <c r="AG488" s="119">
        <v>0</v>
      </c>
      <c r="AH488" s="119">
        <v>1</v>
      </c>
      <c r="AI488" s="119"/>
      <c r="AJ488" s="119">
        <v>0</v>
      </c>
      <c r="AK488" s="119">
        <v>0</v>
      </c>
      <c r="AL488" s="119">
        <v>1</v>
      </c>
      <c r="AM488" s="119"/>
      <c r="AN488" s="119">
        <v>2</v>
      </c>
      <c r="AO488" s="119"/>
      <c r="AP488" s="119">
        <v>2</v>
      </c>
      <c r="AQ488" s="119"/>
      <c r="AR488" s="119">
        <v>0</v>
      </c>
      <c r="AS488" s="119">
        <v>0</v>
      </c>
      <c r="AT488" s="119">
        <v>0</v>
      </c>
      <c r="AU488" s="119">
        <v>0</v>
      </c>
      <c r="AV488" s="119">
        <v>0</v>
      </c>
      <c r="AW488" s="119">
        <v>0</v>
      </c>
      <c r="AX488" s="146">
        <f t="shared" si="65"/>
        <v>7020</v>
      </c>
      <c r="AY488" s="146">
        <f t="shared" si="66"/>
        <v>0</v>
      </c>
      <c r="AZ488" s="112" t="s">
        <v>77</v>
      </c>
      <c r="BA488" s="112" t="s">
        <v>77</v>
      </c>
      <c r="BB488" s="109" t="s">
        <v>77</v>
      </c>
      <c r="BC488" s="133">
        <v>484</v>
      </c>
      <c r="BD488" s="122"/>
      <c r="BE488" s="118"/>
      <c r="BF488" s="123"/>
      <c r="BG488" s="109"/>
      <c r="BH488" s="125" t="s">
        <v>77</v>
      </c>
      <c r="BI488" s="125" t="s">
        <v>77</v>
      </c>
    </row>
    <row r="489" spans="1:63" s="16" customFormat="1" ht="42" hidden="1" customHeight="1" x14ac:dyDescent="0.3">
      <c r="A489" s="26">
        <v>485</v>
      </c>
      <c r="B489" s="138">
        <v>246615</v>
      </c>
      <c r="C489" s="138">
        <v>485</v>
      </c>
      <c r="D489" s="139">
        <v>46070</v>
      </c>
      <c r="E489" s="139">
        <f t="shared" si="60"/>
        <v>46069</v>
      </c>
      <c r="F489" s="139">
        <f t="shared" si="63"/>
        <v>46080</v>
      </c>
      <c r="G489" s="139">
        <v>46129</v>
      </c>
      <c r="H489" s="139">
        <v>46130</v>
      </c>
      <c r="I489" s="139" t="s">
        <v>123</v>
      </c>
      <c r="J489" s="140" t="s">
        <v>1082</v>
      </c>
      <c r="K489" s="141">
        <f t="shared" si="64"/>
        <v>49</v>
      </c>
      <c r="L489" s="141">
        <v>1202172</v>
      </c>
      <c r="M489" s="140" t="s">
        <v>15</v>
      </c>
      <c r="N489" s="140">
        <v>818861</v>
      </c>
      <c r="O489" s="140" t="s">
        <v>246</v>
      </c>
      <c r="P489" s="143">
        <v>46090</v>
      </c>
      <c r="Q489" s="143">
        <v>46276</v>
      </c>
      <c r="R489" s="185" t="s">
        <v>211</v>
      </c>
      <c r="S489" s="144" t="s">
        <v>1083</v>
      </c>
      <c r="T489" s="145">
        <v>1</v>
      </c>
      <c r="U489" s="186" t="s">
        <v>82</v>
      </c>
      <c r="V489" s="146">
        <v>68</v>
      </c>
      <c r="W489" s="146">
        <v>68</v>
      </c>
      <c r="X489" s="147">
        <v>0</v>
      </c>
      <c r="Y489" s="146">
        <v>0</v>
      </c>
      <c r="Z489" s="146">
        <v>0</v>
      </c>
      <c r="AA489" s="146">
        <v>0</v>
      </c>
      <c r="AB489" s="146">
        <v>6</v>
      </c>
      <c r="AC489" s="146">
        <v>6</v>
      </c>
      <c r="AD489" s="146">
        <v>0</v>
      </c>
      <c r="AE489" s="146">
        <v>0</v>
      </c>
      <c r="AF489" s="146">
        <v>0</v>
      </c>
      <c r="AG489" s="146">
        <v>0</v>
      </c>
      <c r="AH489" s="146">
        <v>1</v>
      </c>
      <c r="AI489" s="146">
        <v>1</v>
      </c>
      <c r="AJ489" s="146">
        <v>0</v>
      </c>
      <c r="AK489" s="146">
        <v>0</v>
      </c>
      <c r="AL489" s="146">
        <v>1</v>
      </c>
      <c r="AM489" s="146">
        <v>1</v>
      </c>
      <c r="AN489" s="146">
        <v>1</v>
      </c>
      <c r="AO489" s="146">
        <v>1</v>
      </c>
      <c r="AP489" s="146">
        <v>1</v>
      </c>
      <c r="AQ489" s="146">
        <v>1</v>
      </c>
      <c r="AR489" s="146">
        <v>0</v>
      </c>
      <c r="AS489" s="146">
        <v>0</v>
      </c>
      <c r="AT489" s="146">
        <v>1</v>
      </c>
      <c r="AU489" s="146">
        <v>1</v>
      </c>
      <c r="AV489" s="146">
        <v>0</v>
      </c>
      <c r="AW489" s="146">
        <v>0</v>
      </c>
      <c r="AX489" s="146">
        <f t="shared" si="65"/>
        <v>6222</v>
      </c>
      <c r="AY489" s="146">
        <f t="shared" si="66"/>
        <v>6222</v>
      </c>
      <c r="AZ489" s="137" t="s">
        <v>562</v>
      </c>
      <c r="BA489" s="137" t="s">
        <v>562</v>
      </c>
      <c r="BB489" s="137">
        <v>11</v>
      </c>
      <c r="BC489" s="187">
        <v>485</v>
      </c>
      <c r="BD489" s="149"/>
      <c r="BE489" s="145"/>
      <c r="BF489" s="150"/>
      <c r="BG489" s="188">
        <v>46131</v>
      </c>
      <c r="BH489" s="153" t="s">
        <v>15</v>
      </c>
      <c r="BI489" s="153" t="s">
        <v>562</v>
      </c>
      <c r="BK489" s="238"/>
    </row>
    <row r="490" spans="1:63" s="16" customFormat="1" ht="42" customHeight="1" x14ac:dyDescent="0.3">
      <c r="A490" s="26">
        <v>486</v>
      </c>
      <c r="B490" s="163">
        <v>246618</v>
      </c>
      <c r="C490" s="163">
        <v>486</v>
      </c>
      <c r="D490" s="164">
        <v>46188</v>
      </c>
      <c r="E490" s="164">
        <f t="shared" si="60"/>
        <v>46187</v>
      </c>
      <c r="F490" s="164">
        <f t="shared" si="63"/>
        <v>46198</v>
      </c>
      <c r="G490" s="164">
        <v>46249</v>
      </c>
      <c r="H490" s="164">
        <v>46271</v>
      </c>
      <c r="I490" s="164" t="s">
        <v>123</v>
      </c>
      <c r="J490" s="165" t="s">
        <v>1302</v>
      </c>
      <c r="K490" s="166">
        <f t="shared" si="64"/>
        <v>51</v>
      </c>
      <c r="L490" s="166">
        <v>1202176</v>
      </c>
      <c r="M490" s="165" t="s">
        <v>15</v>
      </c>
      <c r="N490" s="165">
        <v>819494</v>
      </c>
      <c r="O490" s="165" t="s">
        <v>246</v>
      </c>
      <c r="P490" s="167">
        <v>46093</v>
      </c>
      <c r="Q490" s="167">
        <v>46282</v>
      </c>
      <c r="R490" s="179" t="s">
        <v>211</v>
      </c>
      <c r="S490" s="168" t="s">
        <v>1084</v>
      </c>
      <c r="T490" s="169">
        <v>1</v>
      </c>
      <c r="U490" s="180" t="s">
        <v>98</v>
      </c>
      <c r="V490" s="170">
        <v>63</v>
      </c>
      <c r="W490" s="170">
        <v>63</v>
      </c>
      <c r="X490" s="171">
        <v>0</v>
      </c>
      <c r="Y490" s="170">
        <v>0</v>
      </c>
      <c r="Z490" s="170">
        <v>0</v>
      </c>
      <c r="AA490" s="170">
        <v>0</v>
      </c>
      <c r="AB490" s="170">
        <v>63</v>
      </c>
      <c r="AC490" s="170">
        <v>63</v>
      </c>
      <c r="AD490" s="170">
        <v>0</v>
      </c>
      <c r="AE490" s="170">
        <v>0</v>
      </c>
      <c r="AF490" s="170">
        <v>0</v>
      </c>
      <c r="AG490" s="170">
        <v>0</v>
      </c>
      <c r="AH490" s="170">
        <v>1</v>
      </c>
      <c r="AI490" s="170">
        <v>1</v>
      </c>
      <c r="AJ490" s="170">
        <v>0</v>
      </c>
      <c r="AK490" s="170">
        <v>0</v>
      </c>
      <c r="AL490" s="170">
        <v>0</v>
      </c>
      <c r="AM490" s="170">
        <v>0</v>
      </c>
      <c r="AN490" s="170">
        <v>1</v>
      </c>
      <c r="AO490" s="170">
        <v>1</v>
      </c>
      <c r="AP490" s="170">
        <v>1</v>
      </c>
      <c r="AQ490" s="170">
        <v>1</v>
      </c>
      <c r="AR490" s="170">
        <v>0</v>
      </c>
      <c r="AS490" s="170">
        <v>0</v>
      </c>
      <c r="AT490" s="170">
        <v>0</v>
      </c>
      <c r="AU490" s="170">
        <v>0</v>
      </c>
      <c r="AV490" s="170">
        <v>1</v>
      </c>
      <c r="AW490" s="170">
        <v>1</v>
      </c>
      <c r="AX490" s="170">
        <f t="shared" si="65"/>
        <v>9181</v>
      </c>
      <c r="AY490" s="170">
        <f t="shared" si="66"/>
        <v>9181</v>
      </c>
      <c r="AZ490" s="165" t="s">
        <v>15</v>
      </c>
      <c r="BA490" s="165" t="s">
        <v>77</v>
      </c>
      <c r="BB490" s="162" t="s">
        <v>77</v>
      </c>
      <c r="BC490" s="181">
        <v>486</v>
      </c>
      <c r="BD490" s="173"/>
      <c r="BE490" s="169"/>
      <c r="BF490" s="174"/>
      <c r="BG490" s="178">
        <v>46197</v>
      </c>
      <c r="BH490" s="175" t="s">
        <v>77</v>
      </c>
      <c r="BI490" s="175" t="s">
        <v>77</v>
      </c>
    </row>
    <row r="491" spans="1:63" s="16" customFormat="1" ht="42" customHeight="1" x14ac:dyDescent="0.3">
      <c r="A491" s="26">
        <v>487</v>
      </c>
      <c r="B491" s="163">
        <v>246619</v>
      </c>
      <c r="C491" s="163">
        <v>487</v>
      </c>
      <c r="D491" s="164">
        <v>46070</v>
      </c>
      <c r="E491" s="164">
        <f t="shared" si="60"/>
        <v>46069</v>
      </c>
      <c r="F491" s="164">
        <f t="shared" si="63"/>
        <v>46080</v>
      </c>
      <c r="G491" s="164">
        <v>46159</v>
      </c>
      <c r="H491" s="164">
        <v>46252</v>
      </c>
      <c r="I491" s="164" t="s">
        <v>321</v>
      </c>
      <c r="J491" s="165" t="s">
        <v>1085</v>
      </c>
      <c r="K491" s="166">
        <f t="shared" si="64"/>
        <v>79</v>
      </c>
      <c r="L491" s="166">
        <v>1202177</v>
      </c>
      <c r="M491" s="165" t="s">
        <v>15</v>
      </c>
      <c r="N491" s="165">
        <v>819495</v>
      </c>
      <c r="O491" s="165" t="s">
        <v>246</v>
      </c>
      <c r="P491" s="167">
        <v>46105</v>
      </c>
      <c r="Q491" s="167">
        <v>46282</v>
      </c>
      <c r="R491" s="179" t="s">
        <v>211</v>
      </c>
      <c r="S491" s="168" t="s">
        <v>1086</v>
      </c>
      <c r="T491" s="169">
        <v>1</v>
      </c>
      <c r="U491" s="180" t="s">
        <v>181</v>
      </c>
      <c r="V491" s="170">
        <v>44</v>
      </c>
      <c r="W491" s="170">
        <v>44</v>
      </c>
      <c r="X491" s="171">
        <v>0</v>
      </c>
      <c r="Y491" s="170">
        <v>0</v>
      </c>
      <c r="Z491" s="170">
        <v>0</v>
      </c>
      <c r="AA491" s="170">
        <v>0</v>
      </c>
      <c r="AB491" s="170">
        <v>28</v>
      </c>
      <c r="AC491" s="170">
        <v>28</v>
      </c>
      <c r="AD491" s="170">
        <v>0</v>
      </c>
      <c r="AE491" s="170">
        <v>0</v>
      </c>
      <c r="AF491" s="170">
        <v>0</v>
      </c>
      <c r="AG491" s="170">
        <v>0</v>
      </c>
      <c r="AH491" s="170">
        <v>0</v>
      </c>
      <c r="AI491" s="170"/>
      <c r="AJ491" s="170">
        <v>0</v>
      </c>
      <c r="AK491" s="170">
        <v>0</v>
      </c>
      <c r="AL491" s="170">
        <v>0</v>
      </c>
      <c r="AM491" s="170">
        <v>0</v>
      </c>
      <c r="AN491" s="170">
        <v>1</v>
      </c>
      <c r="AO491" s="170">
        <v>1</v>
      </c>
      <c r="AP491" s="170">
        <v>2</v>
      </c>
      <c r="AQ491" s="170">
        <v>2</v>
      </c>
      <c r="AR491" s="170">
        <v>0</v>
      </c>
      <c r="AS491" s="170">
        <v>0</v>
      </c>
      <c r="AT491" s="170">
        <v>0</v>
      </c>
      <c r="AU491" s="170"/>
      <c r="AV491" s="170">
        <v>0</v>
      </c>
      <c r="AW491" s="170">
        <v>0</v>
      </c>
      <c r="AX491" s="170">
        <f t="shared" si="65"/>
        <v>5556</v>
      </c>
      <c r="AY491" s="170">
        <f t="shared" si="66"/>
        <v>5556</v>
      </c>
      <c r="AZ491" s="165" t="s">
        <v>15</v>
      </c>
      <c r="BA491" s="165" t="s">
        <v>77</v>
      </c>
      <c r="BB491" s="162" t="s">
        <v>77</v>
      </c>
      <c r="BC491" s="181">
        <v>487</v>
      </c>
      <c r="BD491" s="173"/>
      <c r="BE491" s="169"/>
      <c r="BF491" s="174"/>
      <c r="BG491" s="178">
        <v>46245</v>
      </c>
      <c r="BH491" s="175" t="s">
        <v>15</v>
      </c>
      <c r="BI491" s="175" t="s">
        <v>77</v>
      </c>
    </row>
    <row r="492" spans="1:63" s="16" customFormat="1" ht="42" customHeight="1" x14ac:dyDescent="0.3">
      <c r="A492" s="26">
        <v>488</v>
      </c>
      <c r="B492" s="163">
        <v>246650</v>
      </c>
      <c r="C492" s="163">
        <v>488</v>
      </c>
      <c r="D492" s="164">
        <v>46071</v>
      </c>
      <c r="E492" s="164">
        <f t="shared" si="60"/>
        <v>46070</v>
      </c>
      <c r="F492" s="164">
        <f t="shared" si="63"/>
        <v>46081</v>
      </c>
      <c r="G492" s="164">
        <v>46161</v>
      </c>
      <c r="H492" s="164">
        <v>46257</v>
      </c>
      <c r="I492" s="164" t="s">
        <v>349</v>
      </c>
      <c r="J492" s="165" t="s">
        <v>1090</v>
      </c>
      <c r="K492" s="166">
        <f t="shared" si="64"/>
        <v>80</v>
      </c>
      <c r="L492" s="166">
        <v>1202424</v>
      </c>
      <c r="M492" s="165" t="s">
        <v>15</v>
      </c>
      <c r="N492" s="165">
        <v>819496</v>
      </c>
      <c r="O492" s="165" t="s">
        <v>246</v>
      </c>
      <c r="P492" s="167">
        <v>46105</v>
      </c>
      <c r="Q492" s="167">
        <v>46282</v>
      </c>
      <c r="R492" s="179" t="s">
        <v>211</v>
      </c>
      <c r="S492" s="168" t="s">
        <v>1091</v>
      </c>
      <c r="T492" s="169">
        <v>1</v>
      </c>
      <c r="U492" s="180" t="s">
        <v>840</v>
      </c>
      <c r="V492" s="170">
        <v>11</v>
      </c>
      <c r="W492" s="170">
        <v>11</v>
      </c>
      <c r="X492" s="171">
        <v>0</v>
      </c>
      <c r="Y492" s="170">
        <v>0</v>
      </c>
      <c r="Z492" s="170">
        <v>0</v>
      </c>
      <c r="AA492" s="170">
        <v>0</v>
      </c>
      <c r="AB492" s="170">
        <v>8</v>
      </c>
      <c r="AC492" s="170">
        <v>8</v>
      </c>
      <c r="AD492" s="170">
        <v>0</v>
      </c>
      <c r="AE492" s="170">
        <v>0</v>
      </c>
      <c r="AF492" s="170">
        <v>0</v>
      </c>
      <c r="AG492" s="170">
        <v>0</v>
      </c>
      <c r="AH492" s="170">
        <v>1</v>
      </c>
      <c r="AI492" s="170">
        <v>1</v>
      </c>
      <c r="AJ492" s="170">
        <v>0</v>
      </c>
      <c r="AK492" s="170">
        <v>0</v>
      </c>
      <c r="AL492" s="170">
        <v>1</v>
      </c>
      <c r="AM492" s="170">
        <v>1</v>
      </c>
      <c r="AN492" s="170">
        <v>3</v>
      </c>
      <c r="AO492" s="170">
        <v>3</v>
      </c>
      <c r="AP492" s="170">
        <v>3</v>
      </c>
      <c r="AQ492" s="170">
        <v>3</v>
      </c>
      <c r="AR492" s="170">
        <v>0</v>
      </c>
      <c r="AS492" s="170">
        <v>0</v>
      </c>
      <c r="AT492" s="170">
        <v>1</v>
      </c>
      <c r="AU492" s="170">
        <v>1</v>
      </c>
      <c r="AV492" s="170">
        <v>0</v>
      </c>
      <c r="AW492" s="170">
        <v>0</v>
      </c>
      <c r="AX492" s="170">
        <f t="shared" si="65"/>
        <v>4296</v>
      </c>
      <c r="AY492" s="170">
        <f t="shared" si="66"/>
        <v>4296</v>
      </c>
      <c r="AZ492" s="165" t="s">
        <v>15</v>
      </c>
      <c r="BA492" s="165" t="s">
        <v>77</v>
      </c>
      <c r="BB492" s="162" t="s">
        <v>77</v>
      </c>
      <c r="BC492" s="181">
        <v>488</v>
      </c>
      <c r="BD492" s="173"/>
      <c r="BE492" s="169"/>
      <c r="BF492" s="174"/>
      <c r="BG492" s="178">
        <v>46258</v>
      </c>
      <c r="BH492" s="175" t="s">
        <v>77</v>
      </c>
      <c r="BI492" s="175" t="s">
        <v>77</v>
      </c>
    </row>
    <row r="493" spans="1:63" s="16" customFormat="1" ht="42" customHeight="1" x14ac:dyDescent="0.3">
      <c r="A493" s="26">
        <v>489</v>
      </c>
      <c r="B493" s="62">
        <v>246669</v>
      </c>
      <c r="C493" s="62">
        <v>489</v>
      </c>
      <c r="D493" s="63">
        <v>46071</v>
      </c>
      <c r="E493" s="63">
        <f t="shared" si="60"/>
        <v>46070</v>
      </c>
      <c r="F493" s="63">
        <f t="shared" si="63"/>
        <v>46081</v>
      </c>
      <c r="G493" s="63">
        <v>46161</v>
      </c>
      <c r="H493" s="63">
        <f ca="1">TODAY()</f>
        <v>46277</v>
      </c>
      <c r="I493" s="63" t="s">
        <v>349</v>
      </c>
      <c r="J493" s="64" t="s">
        <v>1092</v>
      </c>
      <c r="K493" s="65">
        <f t="shared" si="64"/>
        <v>80</v>
      </c>
      <c r="L493" s="65">
        <v>1202435</v>
      </c>
      <c r="M493" s="64" t="s">
        <v>77</v>
      </c>
      <c r="N493" s="64">
        <v>819496</v>
      </c>
      <c r="O493" s="79" t="s">
        <v>246</v>
      </c>
      <c r="P493" s="103">
        <v>46105</v>
      </c>
      <c r="Q493" s="103">
        <v>46282</v>
      </c>
      <c r="R493" s="73" t="s">
        <v>211</v>
      </c>
      <c r="S493" s="66" t="s">
        <v>1093</v>
      </c>
      <c r="T493" s="67">
        <v>1</v>
      </c>
      <c r="U493" s="75" t="s">
        <v>840</v>
      </c>
      <c r="V493" s="68">
        <v>60</v>
      </c>
      <c r="W493" s="68"/>
      <c r="X493" s="69">
        <v>1</v>
      </c>
      <c r="Y493" s="68"/>
      <c r="Z493" s="68">
        <v>0</v>
      </c>
      <c r="AA493" s="68">
        <v>0</v>
      </c>
      <c r="AB493" s="68">
        <v>0</v>
      </c>
      <c r="AC493" s="68"/>
      <c r="AD493" s="68">
        <v>0</v>
      </c>
      <c r="AE493" s="68">
        <v>0</v>
      </c>
      <c r="AF493" s="68">
        <v>0</v>
      </c>
      <c r="AG493" s="68">
        <v>0</v>
      </c>
      <c r="AH493" s="68">
        <v>1</v>
      </c>
      <c r="AI493" s="68"/>
      <c r="AJ493" s="68">
        <v>0</v>
      </c>
      <c r="AK493" s="68">
        <v>0</v>
      </c>
      <c r="AL493" s="68">
        <v>3</v>
      </c>
      <c r="AM493" s="68"/>
      <c r="AN493" s="68">
        <v>4</v>
      </c>
      <c r="AO493" s="68"/>
      <c r="AP493" s="68">
        <v>2</v>
      </c>
      <c r="AQ493" s="68"/>
      <c r="AR493" s="68">
        <v>0</v>
      </c>
      <c r="AS493" s="68">
        <v>0</v>
      </c>
      <c r="AT493" s="68">
        <v>0</v>
      </c>
      <c r="AU493" s="68">
        <v>0</v>
      </c>
      <c r="AV493" s="68">
        <v>0</v>
      </c>
      <c r="AW493" s="68">
        <v>0</v>
      </c>
      <c r="AX493" s="146">
        <f t="shared" si="65"/>
        <v>7120</v>
      </c>
      <c r="AY493" s="146">
        <f t="shared" si="66"/>
        <v>0</v>
      </c>
      <c r="AZ493" s="64" t="s">
        <v>77</v>
      </c>
      <c r="BA493" s="64" t="s">
        <v>77</v>
      </c>
      <c r="BB493" s="15" t="s">
        <v>77</v>
      </c>
      <c r="BC493" s="74">
        <v>489</v>
      </c>
      <c r="BD493" s="70"/>
      <c r="BE493" s="67"/>
      <c r="BF493" s="71"/>
      <c r="BG493" s="15"/>
      <c r="BH493" s="72" t="s">
        <v>77</v>
      </c>
      <c r="BI493" s="72" t="s">
        <v>77</v>
      </c>
    </row>
    <row r="494" spans="1:63" s="16" customFormat="1" ht="42" hidden="1" customHeight="1" x14ac:dyDescent="0.3">
      <c r="A494" s="26">
        <v>490</v>
      </c>
      <c r="B494" s="138">
        <v>246685</v>
      </c>
      <c r="C494" s="138">
        <v>490</v>
      </c>
      <c r="D494" s="139">
        <v>46071</v>
      </c>
      <c r="E494" s="139">
        <f t="shared" ref="E494:E559" si="67">D494-1</f>
        <v>46070</v>
      </c>
      <c r="F494" s="139">
        <f t="shared" si="63"/>
        <v>46081</v>
      </c>
      <c r="G494" s="139">
        <v>46130</v>
      </c>
      <c r="H494" s="139">
        <v>46127</v>
      </c>
      <c r="I494" s="139" t="s">
        <v>123</v>
      </c>
      <c r="J494" s="140" t="s">
        <v>1094</v>
      </c>
      <c r="K494" s="141">
        <f t="shared" si="64"/>
        <v>49</v>
      </c>
      <c r="L494" s="141">
        <v>1202490</v>
      </c>
      <c r="M494" s="140" t="s">
        <v>15</v>
      </c>
      <c r="N494" s="140">
        <v>818862</v>
      </c>
      <c r="O494" s="140" t="s">
        <v>246</v>
      </c>
      <c r="P494" s="143">
        <v>46105</v>
      </c>
      <c r="Q494" s="143">
        <v>46276</v>
      </c>
      <c r="R494" s="185" t="s">
        <v>1237</v>
      </c>
      <c r="S494" s="144" t="s">
        <v>1095</v>
      </c>
      <c r="T494" s="145">
        <v>1</v>
      </c>
      <c r="U494" s="186" t="s">
        <v>840</v>
      </c>
      <c r="V494" s="146">
        <v>412</v>
      </c>
      <c r="W494" s="146">
        <v>412</v>
      </c>
      <c r="X494" s="147">
        <v>0</v>
      </c>
      <c r="Y494" s="146">
        <v>0</v>
      </c>
      <c r="Z494" s="146">
        <v>0</v>
      </c>
      <c r="AA494" s="146">
        <v>0</v>
      </c>
      <c r="AB494" s="146">
        <v>395</v>
      </c>
      <c r="AC494" s="146">
        <v>395</v>
      </c>
      <c r="AD494" s="146">
        <v>0</v>
      </c>
      <c r="AE494" s="146">
        <v>0</v>
      </c>
      <c r="AF494" s="146">
        <v>0</v>
      </c>
      <c r="AG494" s="146">
        <v>0</v>
      </c>
      <c r="AH494" s="146">
        <v>1</v>
      </c>
      <c r="AI494" s="146">
        <v>1</v>
      </c>
      <c r="AJ494" s="146">
        <v>1</v>
      </c>
      <c r="AK494" s="146">
        <v>1</v>
      </c>
      <c r="AL494" s="146">
        <v>3</v>
      </c>
      <c r="AM494" s="146">
        <v>3</v>
      </c>
      <c r="AN494" s="146">
        <v>3</v>
      </c>
      <c r="AO494" s="146">
        <v>3</v>
      </c>
      <c r="AP494" s="146">
        <v>1</v>
      </c>
      <c r="AQ494" s="146">
        <v>1</v>
      </c>
      <c r="AR494" s="146">
        <v>0</v>
      </c>
      <c r="AS494" s="146">
        <v>0</v>
      </c>
      <c r="AT494" s="146">
        <v>0</v>
      </c>
      <c r="AU494" s="146">
        <v>0</v>
      </c>
      <c r="AV494" s="146">
        <v>1</v>
      </c>
      <c r="AW494" s="146">
        <v>1</v>
      </c>
      <c r="AX494" s="146">
        <f t="shared" si="65"/>
        <v>51310</v>
      </c>
      <c r="AY494" s="146">
        <f t="shared" si="66"/>
        <v>51310</v>
      </c>
      <c r="AZ494" s="140" t="s">
        <v>562</v>
      </c>
      <c r="BA494" s="140" t="s">
        <v>562</v>
      </c>
      <c r="BB494" s="137">
        <v>10</v>
      </c>
      <c r="BC494" s="187">
        <v>490</v>
      </c>
      <c r="BD494" s="149"/>
      <c r="BE494" s="145"/>
      <c r="BF494" s="150"/>
      <c r="BG494" s="188">
        <v>46121</v>
      </c>
      <c r="BH494" s="153" t="s">
        <v>15</v>
      </c>
      <c r="BI494" s="153" t="s">
        <v>562</v>
      </c>
    </row>
    <row r="495" spans="1:63" s="16" customFormat="1" ht="42" customHeight="1" x14ac:dyDescent="0.3">
      <c r="A495" s="26">
        <v>491</v>
      </c>
      <c r="B495" s="163">
        <v>246686</v>
      </c>
      <c r="C495" s="163">
        <v>491</v>
      </c>
      <c r="D495" s="164">
        <v>46071</v>
      </c>
      <c r="E495" s="164">
        <f t="shared" si="67"/>
        <v>46070</v>
      </c>
      <c r="F495" s="164">
        <f t="shared" si="63"/>
        <v>46081</v>
      </c>
      <c r="G495" s="164">
        <v>46160</v>
      </c>
      <c r="H495" s="164">
        <v>46238</v>
      </c>
      <c r="I495" s="164" t="s">
        <v>321</v>
      </c>
      <c r="J495" s="165" t="s">
        <v>1096</v>
      </c>
      <c r="K495" s="166">
        <f t="shared" si="64"/>
        <v>79</v>
      </c>
      <c r="L495" s="166">
        <v>1202491</v>
      </c>
      <c r="M495" s="165" t="s">
        <v>15</v>
      </c>
      <c r="N495" s="165">
        <v>818747</v>
      </c>
      <c r="O495" s="165" t="s">
        <v>246</v>
      </c>
      <c r="P495" s="167">
        <v>46096</v>
      </c>
      <c r="Q495" s="167">
        <v>46275</v>
      </c>
      <c r="R495" s="179" t="s">
        <v>211</v>
      </c>
      <c r="S495" s="168" t="s">
        <v>1097</v>
      </c>
      <c r="T495" s="169">
        <v>1</v>
      </c>
      <c r="U495" s="180" t="s">
        <v>1029</v>
      </c>
      <c r="V495" s="170">
        <v>107</v>
      </c>
      <c r="W495" s="170">
        <v>107</v>
      </c>
      <c r="X495" s="171">
        <v>0</v>
      </c>
      <c r="Y495" s="170">
        <v>0</v>
      </c>
      <c r="Z495" s="170">
        <v>0</v>
      </c>
      <c r="AA495" s="170">
        <v>0</v>
      </c>
      <c r="AB495" s="170">
        <v>107</v>
      </c>
      <c r="AC495" s="170">
        <v>107</v>
      </c>
      <c r="AD495" s="170">
        <v>0</v>
      </c>
      <c r="AE495" s="170">
        <v>0</v>
      </c>
      <c r="AF495" s="170">
        <v>0</v>
      </c>
      <c r="AG495" s="170">
        <v>0</v>
      </c>
      <c r="AH495" s="170">
        <v>0</v>
      </c>
      <c r="AI495" s="170"/>
      <c r="AJ495" s="170">
        <v>0</v>
      </c>
      <c r="AK495" s="170">
        <v>0</v>
      </c>
      <c r="AL495" s="170">
        <v>0</v>
      </c>
      <c r="AM495" s="170">
        <v>0</v>
      </c>
      <c r="AN495" s="170">
        <v>1</v>
      </c>
      <c r="AO495" s="170">
        <v>1</v>
      </c>
      <c r="AP495" s="170">
        <v>1</v>
      </c>
      <c r="AQ495" s="170">
        <v>1</v>
      </c>
      <c r="AR495" s="170">
        <v>0</v>
      </c>
      <c r="AS495" s="170">
        <v>0</v>
      </c>
      <c r="AT495" s="170">
        <v>0</v>
      </c>
      <c r="AU495" s="170"/>
      <c r="AV495" s="170">
        <v>0</v>
      </c>
      <c r="AW495" s="170">
        <v>0</v>
      </c>
      <c r="AX495" s="170">
        <f t="shared" si="65"/>
        <v>13209</v>
      </c>
      <c r="AY495" s="170">
        <f t="shared" si="66"/>
        <v>13209</v>
      </c>
      <c r="AZ495" s="165" t="s">
        <v>15</v>
      </c>
      <c r="BA495" s="165" t="s">
        <v>77</v>
      </c>
      <c r="BB495" s="162" t="s">
        <v>77</v>
      </c>
      <c r="BC495" s="181">
        <v>491</v>
      </c>
      <c r="BD495" s="173"/>
      <c r="BE495" s="169"/>
      <c r="BF495" s="174"/>
      <c r="BG495" s="178">
        <v>46233</v>
      </c>
      <c r="BH495" s="175" t="s">
        <v>15</v>
      </c>
      <c r="BI495" s="175" t="s">
        <v>77</v>
      </c>
    </row>
    <row r="496" spans="1:63" s="16" customFormat="1" ht="42" customHeight="1" x14ac:dyDescent="0.3">
      <c r="A496" s="26">
        <v>492</v>
      </c>
      <c r="B496" s="163">
        <v>246687</v>
      </c>
      <c r="C496" s="163">
        <v>492</v>
      </c>
      <c r="D496" s="164">
        <v>46071</v>
      </c>
      <c r="E496" s="164">
        <f t="shared" si="67"/>
        <v>46070</v>
      </c>
      <c r="F496" s="164">
        <f t="shared" si="63"/>
        <v>46081</v>
      </c>
      <c r="G496" s="164">
        <v>46160</v>
      </c>
      <c r="H496" s="164">
        <v>46230</v>
      </c>
      <c r="I496" s="164" t="s">
        <v>321</v>
      </c>
      <c r="J496" s="165" t="s">
        <v>1098</v>
      </c>
      <c r="K496" s="166">
        <f t="shared" si="64"/>
        <v>79</v>
      </c>
      <c r="L496" s="166">
        <v>1202492</v>
      </c>
      <c r="M496" s="165" t="s">
        <v>15</v>
      </c>
      <c r="N496" s="165">
        <v>819497</v>
      </c>
      <c r="O496" s="165" t="s">
        <v>246</v>
      </c>
      <c r="P496" s="167">
        <v>46105</v>
      </c>
      <c r="Q496" s="167">
        <v>46282</v>
      </c>
      <c r="R496" s="179" t="s">
        <v>211</v>
      </c>
      <c r="S496" s="168" t="s">
        <v>1099</v>
      </c>
      <c r="T496" s="169">
        <v>1</v>
      </c>
      <c r="U496" s="180" t="s">
        <v>173</v>
      </c>
      <c r="V496" s="170">
        <v>23</v>
      </c>
      <c r="W496" s="170">
        <v>23</v>
      </c>
      <c r="X496" s="171">
        <v>0</v>
      </c>
      <c r="Y496" s="170">
        <v>0</v>
      </c>
      <c r="Z496" s="170">
        <v>0</v>
      </c>
      <c r="AA496" s="170">
        <v>0</v>
      </c>
      <c r="AB496" s="170">
        <v>5</v>
      </c>
      <c r="AC496" s="170">
        <v>5</v>
      </c>
      <c r="AD496" s="170">
        <v>0</v>
      </c>
      <c r="AE496" s="170">
        <v>0</v>
      </c>
      <c r="AF496" s="170">
        <v>0</v>
      </c>
      <c r="AG496" s="170">
        <v>0</v>
      </c>
      <c r="AH496" s="170">
        <v>0</v>
      </c>
      <c r="AI496" s="170"/>
      <c r="AJ496" s="170">
        <v>0</v>
      </c>
      <c r="AK496" s="170">
        <v>0</v>
      </c>
      <c r="AL496" s="170">
        <v>2</v>
      </c>
      <c r="AM496" s="170">
        <v>2</v>
      </c>
      <c r="AN496" s="170">
        <v>2</v>
      </c>
      <c r="AO496" s="170">
        <v>2</v>
      </c>
      <c r="AP496" s="170">
        <v>0</v>
      </c>
      <c r="AQ496" s="170">
        <v>0</v>
      </c>
      <c r="AR496" s="170">
        <v>0</v>
      </c>
      <c r="AS496" s="170">
        <v>0</v>
      </c>
      <c r="AT496" s="170">
        <v>0</v>
      </c>
      <c r="AU496" s="170"/>
      <c r="AV496" s="170">
        <v>0</v>
      </c>
      <c r="AW496" s="170">
        <v>0</v>
      </c>
      <c r="AX496" s="170">
        <f t="shared" si="65"/>
        <v>2965</v>
      </c>
      <c r="AY496" s="170">
        <f t="shared" si="66"/>
        <v>2965</v>
      </c>
      <c r="AZ496" s="165" t="s">
        <v>15</v>
      </c>
      <c r="BA496" s="165" t="s">
        <v>77</v>
      </c>
      <c r="BB496" s="162" t="s">
        <v>77</v>
      </c>
      <c r="BC496" s="181">
        <v>492</v>
      </c>
      <c r="BD496" s="173"/>
      <c r="BE496" s="169"/>
      <c r="BF496" s="174"/>
      <c r="BG496" s="178">
        <v>46223</v>
      </c>
      <c r="BH496" s="175" t="s">
        <v>15</v>
      </c>
      <c r="BI496" s="175" t="s">
        <v>77</v>
      </c>
    </row>
    <row r="497" spans="1:63" s="16" customFormat="1" ht="42" hidden="1" customHeight="1" x14ac:dyDescent="0.3">
      <c r="A497" s="26">
        <v>493</v>
      </c>
      <c r="B497" s="138">
        <v>246737</v>
      </c>
      <c r="C497" s="138">
        <v>493</v>
      </c>
      <c r="D497" s="139">
        <v>46072</v>
      </c>
      <c r="E497" s="139">
        <f t="shared" si="67"/>
        <v>46071</v>
      </c>
      <c r="F497" s="139">
        <f t="shared" si="63"/>
        <v>46082</v>
      </c>
      <c r="G497" s="139">
        <v>46161</v>
      </c>
      <c r="H497" s="139">
        <v>46112</v>
      </c>
      <c r="I497" s="139" t="s">
        <v>321</v>
      </c>
      <c r="J497" s="140" t="s">
        <v>1100</v>
      </c>
      <c r="K497" s="141">
        <f t="shared" si="64"/>
        <v>79</v>
      </c>
      <c r="L497" s="141">
        <v>1202881</v>
      </c>
      <c r="M497" s="140" t="s">
        <v>15</v>
      </c>
      <c r="N497" s="140">
        <v>818548</v>
      </c>
      <c r="O497" s="140" t="s">
        <v>246</v>
      </c>
      <c r="P497" s="143">
        <v>46097</v>
      </c>
      <c r="Q497" s="143">
        <v>46261</v>
      </c>
      <c r="R497" s="185" t="s">
        <v>1013</v>
      </c>
      <c r="S497" s="144" t="s">
        <v>730</v>
      </c>
      <c r="T497" s="145">
        <v>1</v>
      </c>
      <c r="U497" s="186" t="s">
        <v>122</v>
      </c>
      <c r="V497" s="146">
        <v>191</v>
      </c>
      <c r="W497" s="146">
        <v>191</v>
      </c>
      <c r="X497" s="147">
        <v>0</v>
      </c>
      <c r="Y497" s="146">
        <v>0</v>
      </c>
      <c r="Z497" s="146">
        <v>0</v>
      </c>
      <c r="AA497" s="146">
        <v>0</v>
      </c>
      <c r="AB497" s="146">
        <v>0</v>
      </c>
      <c r="AC497" s="146">
        <v>0</v>
      </c>
      <c r="AD497" s="146">
        <v>0</v>
      </c>
      <c r="AE497" s="146">
        <v>0</v>
      </c>
      <c r="AF497" s="146">
        <v>0</v>
      </c>
      <c r="AG497" s="146">
        <v>0</v>
      </c>
      <c r="AH497" s="146">
        <v>0</v>
      </c>
      <c r="AI497" s="146">
        <v>0</v>
      </c>
      <c r="AJ497" s="146">
        <v>0</v>
      </c>
      <c r="AK497" s="146">
        <v>0</v>
      </c>
      <c r="AL497" s="146">
        <v>1</v>
      </c>
      <c r="AM497" s="146">
        <v>1</v>
      </c>
      <c r="AN497" s="146">
        <v>1</v>
      </c>
      <c r="AO497" s="146">
        <v>1</v>
      </c>
      <c r="AP497" s="146">
        <v>1</v>
      </c>
      <c r="AQ497" s="146">
        <v>1</v>
      </c>
      <c r="AR497" s="146">
        <v>0</v>
      </c>
      <c r="AS497" s="146">
        <v>0</v>
      </c>
      <c r="AT497" s="146">
        <v>0</v>
      </c>
      <c r="AU497" s="146">
        <v>0</v>
      </c>
      <c r="AV497" s="146">
        <v>0</v>
      </c>
      <c r="AW497" s="146">
        <v>0</v>
      </c>
      <c r="AX497" s="146">
        <f t="shared" si="65"/>
        <v>12740</v>
      </c>
      <c r="AY497" s="146">
        <f t="shared" si="66"/>
        <v>12740</v>
      </c>
      <c r="AZ497" s="140" t="s">
        <v>562</v>
      </c>
      <c r="BA497" s="140" t="s">
        <v>562</v>
      </c>
      <c r="BB497" s="137">
        <v>9</v>
      </c>
      <c r="BC497" s="187">
        <v>493</v>
      </c>
      <c r="BD497" s="149"/>
      <c r="BE497" s="145"/>
      <c r="BF497" s="150"/>
      <c r="BG497" s="188">
        <v>46097</v>
      </c>
      <c r="BH497" s="153" t="s">
        <v>15</v>
      </c>
      <c r="BI497" s="153" t="s">
        <v>562</v>
      </c>
    </row>
    <row r="498" spans="1:63" s="16" customFormat="1" ht="42" customHeight="1" x14ac:dyDescent="0.3">
      <c r="A498" s="26">
        <v>494</v>
      </c>
      <c r="B498" s="62">
        <v>246841</v>
      </c>
      <c r="C498" s="62">
        <v>494</v>
      </c>
      <c r="D498" s="63">
        <v>46076</v>
      </c>
      <c r="E498" s="63">
        <f t="shared" si="67"/>
        <v>46075</v>
      </c>
      <c r="F498" s="63">
        <f t="shared" si="63"/>
        <v>46086</v>
      </c>
      <c r="G498" s="63">
        <v>46166</v>
      </c>
      <c r="H498" s="63">
        <f ca="1">TODAY()</f>
        <v>46277</v>
      </c>
      <c r="I498" s="63" t="s">
        <v>321</v>
      </c>
      <c r="J498" s="64" t="s">
        <v>1106</v>
      </c>
      <c r="K498" s="65">
        <f t="shared" si="64"/>
        <v>80</v>
      </c>
      <c r="L498" s="65">
        <v>1204080</v>
      </c>
      <c r="M498" s="64" t="s">
        <v>77</v>
      </c>
      <c r="N498" s="64">
        <v>819497</v>
      </c>
      <c r="O498" s="79" t="s">
        <v>246</v>
      </c>
      <c r="P498" s="103">
        <v>46105</v>
      </c>
      <c r="Q498" s="103">
        <v>46282</v>
      </c>
      <c r="R498" s="73" t="s">
        <v>1235</v>
      </c>
      <c r="S498" s="66" t="s">
        <v>1107</v>
      </c>
      <c r="T498" s="67">
        <v>1</v>
      </c>
      <c r="U498" s="75" t="s">
        <v>173</v>
      </c>
      <c r="V498" s="68">
        <v>220</v>
      </c>
      <c r="W498" s="68"/>
      <c r="X498" s="69">
        <v>1</v>
      </c>
      <c r="Y498" s="68"/>
      <c r="Z498" s="68">
        <v>0</v>
      </c>
      <c r="AA498" s="68">
        <v>0</v>
      </c>
      <c r="AB498" s="68">
        <v>0</v>
      </c>
      <c r="AC498" s="68"/>
      <c r="AD498" s="68">
        <v>0</v>
      </c>
      <c r="AE498" s="68">
        <v>0</v>
      </c>
      <c r="AF498" s="68">
        <v>0</v>
      </c>
      <c r="AG498" s="68">
        <v>0</v>
      </c>
      <c r="AH498" s="68">
        <v>0</v>
      </c>
      <c r="AI498" s="68">
        <v>0</v>
      </c>
      <c r="AJ498" s="68">
        <v>1</v>
      </c>
      <c r="AK498" s="68"/>
      <c r="AL498" s="68">
        <v>1</v>
      </c>
      <c r="AM498" s="68"/>
      <c r="AN498" s="68">
        <v>1</v>
      </c>
      <c r="AO498" s="68"/>
      <c r="AP498" s="68">
        <v>1</v>
      </c>
      <c r="AQ498" s="68"/>
      <c r="AR498" s="68">
        <v>0</v>
      </c>
      <c r="AS498" s="68">
        <v>0</v>
      </c>
      <c r="AT498" s="68">
        <v>0</v>
      </c>
      <c r="AU498" s="68">
        <v>0</v>
      </c>
      <c r="AV498" s="68">
        <v>0</v>
      </c>
      <c r="AW498" s="68">
        <v>0</v>
      </c>
      <c r="AX498" s="146">
        <f t="shared" si="65"/>
        <v>14935</v>
      </c>
      <c r="AY498" s="146">
        <f t="shared" si="66"/>
        <v>0</v>
      </c>
      <c r="AZ498" s="64" t="s">
        <v>77</v>
      </c>
      <c r="BA498" s="64" t="s">
        <v>77</v>
      </c>
      <c r="BB498" s="15" t="s">
        <v>77</v>
      </c>
      <c r="BC498" s="74">
        <v>494</v>
      </c>
      <c r="BD498" s="70"/>
      <c r="BE498" s="67"/>
      <c r="BF498" s="71"/>
      <c r="BG498" s="15"/>
      <c r="BH498" s="72" t="s">
        <v>77</v>
      </c>
      <c r="BI498" s="72" t="s">
        <v>77</v>
      </c>
    </row>
    <row r="499" spans="1:63" s="16" customFormat="1" ht="42" customHeight="1" x14ac:dyDescent="0.3">
      <c r="A499" s="26">
        <v>495</v>
      </c>
      <c r="B499" s="62">
        <v>246845</v>
      </c>
      <c r="C499" s="62">
        <v>495</v>
      </c>
      <c r="D499" s="63">
        <v>46076</v>
      </c>
      <c r="E499" s="63">
        <f t="shared" si="67"/>
        <v>46075</v>
      </c>
      <c r="F499" s="63">
        <f t="shared" si="63"/>
        <v>46086</v>
      </c>
      <c r="G499" s="63">
        <v>46166</v>
      </c>
      <c r="H499" s="63">
        <f ca="1">TODAY()</f>
        <v>46277</v>
      </c>
      <c r="I499" s="63" t="s">
        <v>321</v>
      </c>
      <c r="J499" s="64" t="s">
        <v>1108</v>
      </c>
      <c r="K499" s="65">
        <f t="shared" si="64"/>
        <v>80</v>
      </c>
      <c r="L499" s="65">
        <v>1204113</v>
      </c>
      <c r="M499" s="112" t="s">
        <v>365</v>
      </c>
      <c r="N499" s="64" t="s">
        <v>77</v>
      </c>
      <c r="O499" s="112" t="s">
        <v>1493</v>
      </c>
      <c r="P499" s="103" t="s">
        <v>77</v>
      </c>
      <c r="Q499" s="103" t="s">
        <v>77</v>
      </c>
      <c r="R499" s="73" t="s">
        <v>211</v>
      </c>
      <c r="S499" s="66" t="s">
        <v>1109</v>
      </c>
      <c r="T499" s="67">
        <v>1</v>
      </c>
      <c r="U499" s="75" t="s">
        <v>81</v>
      </c>
      <c r="V499" s="68">
        <v>400</v>
      </c>
      <c r="W499" s="68"/>
      <c r="X499" s="69">
        <v>1</v>
      </c>
      <c r="Y499" s="68"/>
      <c r="Z499" s="68">
        <v>0</v>
      </c>
      <c r="AA499" s="68">
        <v>0</v>
      </c>
      <c r="AB499" s="68">
        <v>0</v>
      </c>
      <c r="AC499" s="68"/>
      <c r="AD499" s="68">
        <v>0</v>
      </c>
      <c r="AE499" s="68">
        <v>0</v>
      </c>
      <c r="AF499" s="68">
        <v>0</v>
      </c>
      <c r="AG499" s="68">
        <v>0</v>
      </c>
      <c r="AH499" s="68">
        <v>0</v>
      </c>
      <c r="AI499" s="68">
        <v>0</v>
      </c>
      <c r="AJ499" s="68">
        <v>1</v>
      </c>
      <c r="AK499" s="68"/>
      <c r="AL499" s="68">
        <v>1</v>
      </c>
      <c r="AM499" s="68"/>
      <c r="AN499" s="68">
        <v>2</v>
      </c>
      <c r="AO499" s="68"/>
      <c r="AP499" s="68">
        <v>1</v>
      </c>
      <c r="AQ499" s="68"/>
      <c r="AR499" s="68">
        <v>0</v>
      </c>
      <c r="AS499" s="68">
        <v>0</v>
      </c>
      <c r="AT499" s="68">
        <v>0</v>
      </c>
      <c r="AU499" s="68">
        <v>0</v>
      </c>
      <c r="AV499" s="68">
        <v>0</v>
      </c>
      <c r="AW499" s="68">
        <v>0</v>
      </c>
      <c r="AX499" s="146">
        <f t="shared" si="65"/>
        <v>25795</v>
      </c>
      <c r="AY499" s="146">
        <f t="shared" si="66"/>
        <v>0</v>
      </c>
      <c r="AZ499" s="64" t="s">
        <v>77</v>
      </c>
      <c r="BA499" s="64" t="s">
        <v>77</v>
      </c>
      <c r="BB499" s="15" t="s">
        <v>77</v>
      </c>
      <c r="BC499" s="74">
        <v>495</v>
      </c>
      <c r="BD499" s="70"/>
      <c r="BE499" s="67"/>
      <c r="BF499" s="71"/>
      <c r="BG499" s="15"/>
      <c r="BH499" s="72" t="s">
        <v>77</v>
      </c>
      <c r="BI499" s="72" t="s">
        <v>77</v>
      </c>
    </row>
    <row r="500" spans="1:63" s="16" customFormat="1" ht="42" customHeight="1" x14ac:dyDescent="0.3">
      <c r="A500" s="26">
        <v>496</v>
      </c>
      <c r="B500" s="62">
        <v>246849</v>
      </c>
      <c r="C500" s="62">
        <v>496</v>
      </c>
      <c r="D500" s="63">
        <v>46077</v>
      </c>
      <c r="E500" s="63">
        <f t="shared" si="67"/>
        <v>46076</v>
      </c>
      <c r="F500" s="63">
        <f t="shared" si="63"/>
        <v>46087</v>
      </c>
      <c r="G500" s="63">
        <v>46167</v>
      </c>
      <c r="H500" s="63">
        <f ca="1">TODAY()</f>
        <v>46277</v>
      </c>
      <c r="I500" s="63" t="s">
        <v>321</v>
      </c>
      <c r="J500" s="64" t="s">
        <v>1110</v>
      </c>
      <c r="K500" s="65">
        <f t="shared" si="64"/>
        <v>80</v>
      </c>
      <c r="L500" s="65">
        <v>1204403</v>
      </c>
      <c r="M500" s="64" t="s">
        <v>77</v>
      </c>
      <c r="N500" s="64">
        <v>819502</v>
      </c>
      <c r="O500" s="79" t="s">
        <v>246</v>
      </c>
      <c r="P500" s="103">
        <v>46105</v>
      </c>
      <c r="Q500" s="103">
        <v>46282</v>
      </c>
      <c r="R500" s="73" t="s">
        <v>1233</v>
      </c>
      <c r="S500" s="66" t="s">
        <v>1111</v>
      </c>
      <c r="T500" s="67">
        <v>1</v>
      </c>
      <c r="U500" s="75" t="s">
        <v>1037</v>
      </c>
      <c r="V500" s="68">
        <v>180</v>
      </c>
      <c r="W500" s="68"/>
      <c r="X500" s="69">
        <v>1</v>
      </c>
      <c r="Y500" s="68"/>
      <c r="Z500" s="68">
        <v>0</v>
      </c>
      <c r="AA500" s="68">
        <v>0</v>
      </c>
      <c r="AB500" s="68">
        <v>0</v>
      </c>
      <c r="AC500" s="68"/>
      <c r="AD500" s="68">
        <v>0</v>
      </c>
      <c r="AE500" s="68">
        <v>0</v>
      </c>
      <c r="AF500" s="68">
        <v>0</v>
      </c>
      <c r="AG500" s="68">
        <v>0</v>
      </c>
      <c r="AH500" s="68">
        <v>0</v>
      </c>
      <c r="AI500" s="68">
        <v>0</v>
      </c>
      <c r="AJ500" s="68">
        <v>1</v>
      </c>
      <c r="AK500" s="68"/>
      <c r="AL500" s="68">
        <v>1</v>
      </c>
      <c r="AM500" s="68"/>
      <c r="AN500" s="68">
        <v>1</v>
      </c>
      <c r="AO500" s="68"/>
      <c r="AP500" s="68">
        <v>1</v>
      </c>
      <c r="AQ500" s="68"/>
      <c r="AR500" s="68">
        <v>0</v>
      </c>
      <c r="AS500" s="68">
        <v>0</v>
      </c>
      <c r="AT500" s="68">
        <v>0</v>
      </c>
      <c r="AU500" s="68">
        <v>0</v>
      </c>
      <c r="AV500" s="68">
        <v>0</v>
      </c>
      <c r="AW500" s="68">
        <v>0</v>
      </c>
      <c r="AX500" s="146">
        <f t="shared" si="65"/>
        <v>12535</v>
      </c>
      <c r="AY500" s="146">
        <f t="shared" si="66"/>
        <v>0</v>
      </c>
      <c r="AZ500" s="64" t="s">
        <v>77</v>
      </c>
      <c r="BA500" s="64" t="s">
        <v>77</v>
      </c>
      <c r="BB500" s="15" t="s">
        <v>77</v>
      </c>
      <c r="BC500" s="74">
        <v>496</v>
      </c>
      <c r="BD500" s="70"/>
      <c r="BE500" s="67"/>
      <c r="BF500" s="71"/>
      <c r="BG500" s="15"/>
      <c r="BH500" s="72" t="s">
        <v>77</v>
      </c>
      <c r="BI500" s="72" t="s">
        <v>77</v>
      </c>
    </row>
    <row r="501" spans="1:63" s="16" customFormat="1" ht="42" customHeight="1" x14ac:dyDescent="0.3">
      <c r="A501" s="26">
        <v>497</v>
      </c>
      <c r="B501" s="62">
        <v>246850</v>
      </c>
      <c r="C501" s="62">
        <v>497</v>
      </c>
      <c r="D501" s="63">
        <v>46077</v>
      </c>
      <c r="E501" s="63">
        <f t="shared" si="67"/>
        <v>46076</v>
      </c>
      <c r="F501" s="63">
        <f t="shared" si="63"/>
        <v>46087</v>
      </c>
      <c r="G501" s="63">
        <v>46167</v>
      </c>
      <c r="H501" s="63">
        <f ca="1">TODAY()</f>
        <v>46277</v>
      </c>
      <c r="I501" s="63" t="s">
        <v>321</v>
      </c>
      <c r="J501" s="64" t="s">
        <v>1112</v>
      </c>
      <c r="K501" s="65">
        <f t="shared" si="64"/>
        <v>80</v>
      </c>
      <c r="L501" s="65">
        <v>1204416</v>
      </c>
      <c r="M501" s="64" t="s">
        <v>77</v>
      </c>
      <c r="N501" s="64">
        <v>819502</v>
      </c>
      <c r="O501" s="79" t="s">
        <v>246</v>
      </c>
      <c r="P501" s="103">
        <v>46105</v>
      </c>
      <c r="Q501" s="103">
        <v>46282</v>
      </c>
      <c r="R501" s="73" t="s">
        <v>211</v>
      </c>
      <c r="S501" s="66" t="s">
        <v>1111</v>
      </c>
      <c r="T501" s="67">
        <v>1</v>
      </c>
      <c r="U501" s="75" t="s">
        <v>1037</v>
      </c>
      <c r="V501" s="68">
        <v>273</v>
      </c>
      <c r="W501" s="68"/>
      <c r="X501" s="69">
        <v>1</v>
      </c>
      <c r="Y501" s="68"/>
      <c r="Z501" s="68">
        <v>0</v>
      </c>
      <c r="AA501" s="68">
        <v>0</v>
      </c>
      <c r="AB501" s="68">
        <v>0</v>
      </c>
      <c r="AC501" s="68"/>
      <c r="AD501" s="68">
        <v>0</v>
      </c>
      <c r="AE501" s="68">
        <v>0</v>
      </c>
      <c r="AF501" s="68">
        <v>0</v>
      </c>
      <c r="AG501" s="68">
        <v>0</v>
      </c>
      <c r="AH501" s="68">
        <v>0</v>
      </c>
      <c r="AI501" s="68">
        <v>0</v>
      </c>
      <c r="AJ501" s="68">
        <v>1</v>
      </c>
      <c r="AK501" s="68"/>
      <c r="AL501" s="68">
        <v>1</v>
      </c>
      <c r="AM501" s="68"/>
      <c r="AN501" s="68">
        <v>2</v>
      </c>
      <c r="AO501" s="68"/>
      <c r="AP501" s="68">
        <v>1</v>
      </c>
      <c r="AQ501" s="68"/>
      <c r="AR501" s="68">
        <v>0</v>
      </c>
      <c r="AS501" s="68">
        <v>0</v>
      </c>
      <c r="AT501" s="68">
        <v>0</v>
      </c>
      <c r="AU501" s="68">
        <v>0</v>
      </c>
      <c r="AV501" s="68">
        <v>0</v>
      </c>
      <c r="AW501" s="68">
        <v>0</v>
      </c>
      <c r="AX501" s="146">
        <f t="shared" si="65"/>
        <v>18175</v>
      </c>
      <c r="AY501" s="146">
        <f t="shared" si="66"/>
        <v>0</v>
      </c>
      <c r="AZ501" s="64" t="s">
        <v>77</v>
      </c>
      <c r="BA501" s="64" t="s">
        <v>77</v>
      </c>
      <c r="BB501" s="15" t="s">
        <v>77</v>
      </c>
      <c r="BC501" s="74">
        <v>497</v>
      </c>
      <c r="BD501" s="70"/>
      <c r="BE501" s="67"/>
      <c r="BF501" s="71"/>
      <c r="BG501" s="15"/>
      <c r="BH501" s="72" t="s">
        <v>77</v>
      </c>
      <c r="BI501" s="72" t="s">
        <v>77</v>
      </c>
    </row>
    <row r="502" spans="1:63" s="16" customFormat="1" ht="42" customHeight="1" x14ac:dyDescent="0.3">
      <c r="A502" s="26">
        <v>498</v>
      </c>
      <c r="B502" s="62">
        <v>246851</v>
      </c>
      <c r="C502" s="62">
        <v>498</v>
      </c>
      <c r="D502" s="63">
        <v>46077</v>
      </c>
      <c r="E502" s="63">
        <f t="shared" si="67"/>
        <v>46076</v>
      </c>
      <c r="F502" s="63">
        <f t="shared" si="63"/>
        <v>46087</v>
      </c>
      <c r="G502" s="63">
        <v>46167</v>
      </c>
      <c r="H502" s="63">
        <f ca="1">TODAY()</f>
        <v>46277</v>
      </c>
      <c r="I502" s="63" t="s">
        <v>321</v>
      </c>
      <c r="J502" s="64" t="s">
        <v>1115</v>
      </c>
      <c r="K502" s="65">
        <f t="shared" si="64"/>
        <v>80</v>
      </c>
      <c r="L502" s="65">
        <v>1204423</v>
      </c>
      <c r="M502" s="64" t="s">
        <v>77</v>
      </c>
      <c r="N502" s="64">
        <v>820336</v>
      </c>
      <c r="O502" s="80" t="s">
        <v>246</v>
      </c>
      <c r="P502" s="103">
        <v>46112</v>
      </c>
      <c r="Q502" s="103">
        <v>46289</v>
      </c>
      <c r="R502" s="73" t="s">
        <v>211</v>
      </c>
      <c r="S502" s="66" t="s">
        <v>1113</v>
      </c>
      <c r="T502" s="67">
        <v>1</v>
      </c>
      <c r="U502" s="75" t="s">
        <v>1114</v>
      </c>
      <c r="V502" s="68">
        <v>74</v>
      </c>
      <c r="W502" s="68"/>
      <c r="X502" s="69">
        <v>1</v>
      </c>
      <c r="Y502" s="68"/>
      <c r="Z502" s="68">
        <v>0</v>
      </c>
      <c r="AA502" s="68">
        <v>0</v>
      </c>
      <c r="AB502" s="68">
        <v>0</v>
      </c>
      <c r="AC502" s="68"/>
      <c r="AD502" s="68">
        <v>0</v>
      </c>
      <c r="AE502" s="68">
        <v>0</v>
      </c>
      <c r="AF502" s="68">
        <v>0</v>
      </c>
      <c r="AG502" s="68">
        <v>0</v>
      </c>
      <c r="AH502" s="68">
        <v>0</v>
      </c>
      <c r="AI502" s="68">
        <v>0</v>
      </c>
      <c r="AJ502" s="68">
        <v>1</v>
      </c>
      <c r="AK502" s="68"/>
      <c r="AL502" s="68">
        <v>1</v>
      </c>
      <c r="AM502" s="68"/>
      <c r="AN502" s="68">
        <v>1</v>
      </c>
      <c r="AO502" s="68"/>
      <c r="AP502" s="68">
        <v>1</v>
      </c>
      <c r="AQ502" s="68"/>
      <c r="AR502" s="68">
        <v>0</v>
      </c>
      <c r="AS502" s="68">
        <v>0</v>
      </c>
      <c r="AT502" s="68">
        <v>0</v>
      </c>
      <c r="AU502" s="68">
        <v>0</v>
      </c>
      <c r="AV502" s="68">
        <v>0</v>
      </c>
      <c r="AW502" s="68">
        <v>0</v>
      </c>
      <c r="AX502" s="146">
        <f t="shared" si="65"/>
        <v>6175</v>
      </c>
      <c r="AY502" s="146">
        <f t="shared" si="66"/>
        <v>0</v>
      </c>
      <c r="AZ502" s="64" t="s">
        <v>77</v>
      </c>
      <c r="BA502" s="64" t="s">
        <v>77</v>
      </c>
      <c r="BB502" s="15" t="s">
        <v>77</v>
      </c>
      <c r="BC502" s="74">
        <v>498</v>
      </c>
      <c r="BD502" s="70"/>
      <c r="BE502" s="67"/>
      <c r="BF502" s="71"/>
      <c r="BG502" s="15"/>
      <c r="BH502" s="72" t="s">
        <v>77</v>
      </c>
      <c r="BI502" s="72" t="s">
        <v>77</v>
      </c>
    </row>
    <row r="503" spans="1:63" s="16" customFormat="1" ht="42" hidden="1" customHeight="1" x14ac:dyDescent="0.3">
      <c r="A503" s="26">
        <v>499</v>
      </c>
      <c r="B503" s="138">
        <v>246942</v>
      </c>
      <c r="C503" s="138">
        <v>499</v>
      </c>
      <c r="D503" s="139">
        <v>46078</v>
      </c>
      <c r="E503" s="139">
        <f t="shared" si="67"/>
        <v>46077</v>
      </c>
      <c r="F503" s="139">
        <f t="shared" si="63"/>
        <v>46088</v>
      </c>
      <c r="G503" s="139">
        <v>46137</v>
      </c>
      <c r="H503" s="139">
        <v>46134</v>
      </c>
      <c r="I503" s="139" t="s">
        <v>123</v>
      </c>
      <c r="J503" s="140" t="s">
        <v>1118</v>
      </c>
      <c r="K503" s="141">
        <f t="shared" si="64"/>
        <v>49</v>
      </c>
      <c r="L503" s="141">
        <v>1205078</v>
      </c>
      <c r="M503" s="140" t="s">
        <v>15</v>
      </c>
      <c r="N503" s="140">
        <v>819503</v>
      </c>
      <c r="O503" s="140" t="s">
        <v>246</v>
      </c>
      <c r="P503" s="143">
        <v>46120</v>
      </c>
      <c r="Q503" s="143">
        <v>46282</v>
      </c>
      <c r="R503" s="185" t="s">
        <v>211</v>
      </c>
      <c r="S503" s="144" t="s">
        <v>1119</v>
      </c>
      <c r="T503" s="145">
        <v>1</v>
      </c>
      <c r="U503" s="186" t="s">
        <v>885</v>
      </c>
      <c r="V503" s="146">
        <v>47</v>
      </c>
      <c r="W503" s="146">
        <v>47</v>
      </c>
      <c r="X503" s="147">
        <v>0</v>
      </c>
      <c r="Y503" s="146">
        <v>0</v>
      </c>
      <c r="Z503" s="146">
        <v>0</v>
      </c>
      <c r="AA503" s="146">
        <v>0</v>
      </c>
      <c r="AB503" s="146">
        <v>44</v>
      </c>
      <c r="AC503" s="146">
        <v>44</v>
      </c>
      <c r="AD503" s="146">
        <v>0</v>
      </c>
      <c r="AE503" s="146">
        <v>0</v>
      </c>
      <c r="AF503" s="146">
        <v>0</v>
      </c>
      <c r="AG503" s="146">
        <v>0</v>
      </c>
      <c r="AH503" s="146">
        <v>1</v>
      </c>
      <c r="AI503" s="146">
        <v>1</v>
      </c>
      <c r="AJ503" s="146">
        <v>0</v>
      </c>
      <c r="AK503" s="146">
        <v>0</v>
      </c>
      <c r="AL503" s="146">
        <v>1</v>
      </c>
      <c r="AM503" s="146">
        <v>1</v>
      </c>
      <c r="AN503" s="146">
        <v>2</v>
      </c>
      <c r="AO503" s="146">
        <v>2</v>
      </c>
      <c r="AP503" s="146">
        <v>1</v>
      </c>
      <c r="AQ503" s="146">
        <v>1</v>
      </c>
      <c r="AR503" s="146">
        <v>0</v>
      </c>
      <c r="AS503" s="146">
        <v>0</v>
      </c>
      <c r="AT503" s="146">
        <v>0</v>
      </c>
      <c r="AU503" s="146">
        <v>0</v>
      </c>
      <c r="AV503" s="146">
        <v>1</v>
      </c>
      <c r="AW503" s="146">
        <v>1</v>
      </c>
      <c r="AX503" s="146">
        <f t="shared" si="65"/>
        <v>7788</v>
      </c>
      <c r="AY503" s="146">
        <f t="shared" si="66"/>
        <v>7788</v>
      </c>
      <c r="AZ503" s="140" t="s">
        <v>562</v>
      </c>
      <c r="BA503" s="140" t="s">
        <v>562</v>
      </c>
      <c r="BB503" s="137">
        <v>10</v>
      </c>
      <c r="BC503" s="187">
        <v>499</v>
      </c>
      <c r="BD503" s="149"/>
      <c r="BE503" s="145"/>
      <c r="BF503" s="150"/>
      <c r="BG503" s="188">
        <v>46133</v>
      </c>
      <c r="BH503" s="153" t="s">
        <v>15</v>
      </c>
      <c r="BI503" s="153" t="s">
        <v>562</v>
      </c>
    </row>
    <row r="504" spans="1:63" s="16" customFormat="1" ht="42" customHeight="1" x14ac:dyDescent="0.3">
      <c r="A504" s="26">
        <v>500</v>
      </c>
      <c r="B504" s="163">
        <v>247116</v>
      </c>
      <c r="C504" s="163">
        <v>500</v>
      </c>
      <c r="D504" s="164">
        <v>46090</v>
      </c>
      <c r="E504" s="164">
        <f t="shared" si="67"/>
        <v>46089</v>
      </c>
      <c r="F504" s="164">
        <f t="shared" si="63"/>
        <v>46100</v>
      </c>
      <c r="G504" s="164">
        <v>46151</v>
      </c>
      <c r="H504" s="164">
        <v>46174</v>
      </c>
      <c r="I504" s="164" t="s">
        <v>123</v>
      </c>
      <c r="J504" s="165" t="s">
        <v>1120</v>
      </c>
      <c r="K504" s="166">
        <f t="shared" si="64"/>
        <v>51</v>
      </c>
      <c r="L504" s="166">
        <v>1206767</v>
      </c>
      <c r="M504" s="165" t="s">
        <v>15</v>
      </c>
      <c r="N504" s="165" t="s">
        <v>1244</v>
      </c>
      <c r="O504" s="162" t="s">
        <v>246</v>
      </c>
      <c r="P504" s="167">
        <v>46117</v>
      </c>
      <c r="Q504" s="167">
        <v>46289</v>
      </c>
      <c r="R504" s="179" t="s">
        <v>1233</v>
      </c>
      <c r="S504" s="168" t="s">
        <v>1121</v>
      </c>
      <c r="T504" s="169">
        <v>1</v>
      </c>
      <c r="U504" s="180" t="s">
        <v>1114</v>
      </c>
      <c r="V504" s="170">
        <v>182</v>
      </c>
      <c r="W504" s="170">
        <v>182</v>
      </c>
      <c r="X504" s="171">
        <v>40</v>
      </c>
      <c r="Y504" s="170">
        <v>40</v>
      </c>
      <c r="Z504" s="170">
        <v>0</v>
      </c>
      <c r="AA504" s="170">
        <v>0</v>
      </c>
      <c r="AB504" s="170">
        <v>60</v>
      </c>
      <c r="AC504" s="170">
        <v>60</v>
      </c>
      <c r="AD504" s="170">
        <v>0</v>
      </c>
      <c r="AE504" s="170">
        <v>0</v>
      </c>
      <c r="AF504" s="170">
        <v>40</v>
      </c>
      <c r="AG504" s="170">
        <v>40</v>
      </c>
      <c r="AH504" s="170">
        <v>1</v>
      </c>
      <c r="AI504" s="170">
        <v>1</v>
      </c>
      <c r="AJ504" s="170">
        <v>0</v>
      </c>
      <c r="AK504" s="170">
        <v>0</v>
      </c>
      <c r="AL504" s="170">
        <v>0</v>
      </c>
      <c r="AM504" s="170">
        <v>0</v>
      </c>
      <c r="AN504" s="170">
        <v>2</v>
      </c>
      <c r="AO504" s="170">
        <v>2</v>
      </c>
      <c r="AP504" s="170">
        <v>2</v>
      </c>
      <c r="AQ504" s="170">
        <v>2</v>
      </c>
      <c r="AR504" s="170">
        <v>0</v>
      </c>
      <c r="AS504" s="170">
        <v>0</v>
      </c>
      <c r="AT504" s="170">
        <v>1</v>
      </c>
      <c r="AU504" s="170">
        <v>1</v>
      </c>
      <c r="AV504" s="170">
        <v>0</v>
      </c>
      <c r="AW504" s="170">
        <v>0</v>
      </c>
      <c r="AX504" s="170">
        <f t="shared" si="65"/>
        <v>25640</v>
      </c>
      <c r="AY504" s="170">
        <f t="shared" si="66"/>
        <v>25640</v>
      </c>
      <c r="AZ504" s="165" t="s">
        <v>15</v>
      </c>
      <c r="BA504" s="165" t="s">
        <v>77</v>
      </c>
      <c r="BB504" s="162" t="s">
        <v>77</v>
      </c>
      <c r="BC504" s="181">
        <v>500</v>
      </c>
      <c r="BD504" s="173"/>
      <c r="BE504" s="169"/>
      <c r="BF504" s="174"/>
      <c r="BG504" s="178">
        <v>46163</v>
      </c>
      <c r="BH504" s="175" t="s">
        <v>77</v>
      </c>
      <c r="BI504" s="175" t="s">
        <v>77</v>
      </c>
      <c r="BJ504" s="135"/>
      <c r="BK504" s="238"/>
    </row>
    <row r="505" spans="1:63" s="16" customFormat="1" ht="42" customHeight="1" x14ac:dyDescent="0.3">
      <c r="A505" s="26">
        <v>501</v>
      </c>
      <c r="B505" s="62">
        <v>247340</v>
      </c>
      <c r="C505" s="62">
        <v>501</v>
      </c>
      <c r="D505" s="63">
        <v>46096</v>
      </c>
      <c r="E505" s="63">
        <f t="shared" si="67"/>
        <v>46095</v>
      </c>
      <c r="F505" s="63">
        <f t="shared" si="63"/>
        <v>46106</v>
      </c>
      <c r="G505" s="63">
        <v>46188</v>
      </c>
      <c r="H505" s="63">
        <f ca="1">TODAY()</f>
        <v>46277</v>
      </c>
      <c r="I505" s="63" t="s">
        <v>321</v>
      </c>
      <c r="J505" s="64" t="s">
        <v>1123</v>
      </c>
      <c r="K505" s="65">
        <f t="shared" si="64"/>
        <v>82</v>
      </c>
      <c r="L505" s="65">
        <v>1207538</v>
      </c>
      <c r="M505" s="64" t="s">
        <v>77</v>
      </c>
      <c r="N505" s="64">
        <v>821794</v>
      </c>
      <c r="O505" s="80" t="s">
        <v>246</v>
      </c>
      <c r="P505" s="103">
        <v>46132</v>
      </c>
      <c r="Q505" s="103">
        <v>46310</v>
      </c>
      <c r="R505" s="73" t="s">
        <v>211</v>
      </c>
      <c r="S505" s="66" t="s">
        <v>839</v>
      </c>
      <c r="T505" s="67">
        <v>1</v>
      </c>
      <c r="U505" s="75" t="s">
        <v>840</v>
      </c>
      <c r="V505" s="68">
        <v>420</v>
      </c>
      <c r="W505" s="68"/>
      <c r="X505" s="69">
        <v>1</v>
      </c>
      <c r="Y505" s="68"/>
      <c r="Z505" s="68">
        <v>0</v>
      </c>
      <c r="AA505" s="68">
        <v>0</v>
      </c>
      <c r="AB505" s="68">
        <v>0</v>
      </c>
      <c r="AC505" s="68"/>
      <c r="AD505" s="68">
        <v>0</v>
      </c>
      <c r="AE505" s="68">
        <v>0</v>
      </c>
      <c r="AF505" s="68">
        <v>0</v>
      </c>
      <c r="AG505" s="68">
        <v>0</v>
      </c>
      <c r="AH505" s="68">
        <v>0</v>
      </c>
      <c r="AI505" s="68">
        <v>0</v>
      </c>
      <c r="AJ505" s="68">
        <v>1</v>
      </c>
      <c r="AK505" s="68"/>
      <c r="AL505" s="68">
        <v>3</v>
      </c>
      <c r="AM505" s="68"/>
      <c r="AN505" s="68">
        <v>2</v>
      </c>
      <c r="AO505" s="68"/>
      <c r="AP505" s="68">
        <v>1</v>
      </c>
      <c r="AQ505" s="68"/>
      <c r="AR505" s="68">
        <v>0</v>
      </c>
      <c r="AS505" s="68">
        <v>0</v>
      </c>
      <c r="AT505" s="68">
        <v>0</v>
      </c>
      <c r="AU505" s="68">
        <v>0</v>
      </c>
      <c r="AV505" s="68">
        <v>0</v>
      </c>
      <c r="AW505" s="68">
        <v>0</v>
      </c>
      <c r="AX505" s="170">
        <f t="shared" si="65"/>
        <v>28175</v>
      </c>
      <c r="AY505" s="146">
        <f t="shared" si="66"/>
        <v>0</v>
      </c>
      <c r="AZ505" s="64" t="s">
        <v>77</v>
      </c>
      <c r="BA505" s="64" t="s">
        <v>77</v>
      </c>
      <c r="BB505" s="15" t="s">
        <v>77</v>
      </c>
      <c r="BC505" s="74">
        <v>501</v>
      </c>
      <c r="BD505" s="70"/>
      <c r="BE505" s="67"/>
      <c r="BF505" s="71"/>
      <c r="BG505" s="15"/>
      <c r="BH505" s="72" t="s">
        <v>77</v>
      </c>
      <c r="BI505" s="72" t="s">
        <v>77</v>
      </c>
    </row>
    <row r="506" spans="1:63" s="16" customFormat="1" ht="42" customHeight="1" x14ac:dyDescent="0.3">
      <c r="A506" s="26">
        <v>502</v>
      </c>
      <c r="B506" s="62">
        <v>247346</v>
      </c>
      <c r="C506" s="62">
        <v>502</v>
      </c>
      <c r="D506" s="63">
        <v>46096</v>
      </c>
      <c r="E506" s="63">
        <f t="shared" si="67"/>
        <v>46095</v>
      </c>
      <c r="F506" s="63">
        <f t="shared" si="63"/>
        <v>46106</v>
      </c>
      <c r="G506" s="63">
        <v>46188</v>
      </c>
      <c r="H506" s="63">
        <f ca="1">TODAY()</f>
        <v>46277</v>
      </c>
      <c r="I506" s="63" t="s">
        <v>321</v>
      </c>
      <c r="J506" s="64" t="s">
        <v>1124</v>
      </c>
      <c r="K506" s="65">
        <f t="shared" si="64"/>
        <v>82</v>
      </c>
      <c r="L506" s="65">
        <v>1207564</v>
      </c>
      <c r="M506" s="64" t="s">
        <v>77</v>
      </c>
      <c r="N506" s="64">
        <v>821795</v>
      </c>
      <c r="O506" s="79" t="s">
        <v>246</v>
      </c>
      <c r="P506" s="103">
        <v>46123</v>
      </c>
      <c r="Q506" s="103">
        <v>46303</v>
      </c>
      <c r="R506" s="73" t="s">
        <v>211</v>
      </c>
      <c r="S506" s="66" t="s">
        <v>1125</v>
      </c>
      <c r="T506" s="67">
        <v>1</v>
      </c>
      <c r="U506" s="75" t="s">
        <v>106</v>
      </c>
      <c r="V506" s="68">
        <v>22</v>
      </c>
      <c r="W506" s="68"/>
      <c r="X506" s="69">
        <v>0</v>
      </c>
      <c r="Y506" s="68">
        <v>0</v>
      </c>
      <c r="Z506" s="68">
        <v>0</v>
      </c>
      <c r="AA506" s="68">
        <v>0</v>
      </c>
      <c r="AB506" s="68">
        <v>0</v>
      </c>
      <c r="AC506" s="68"/>
      <c r="AD506" s="68">
        <v>0</v>
      </c>
      <c r="AE506" s="68">
        <v>0</v>
      </c>
      <c r="AF506" s="68">
        <v>0</v>
      </c>
      <c r="AG506" s="68">
        <v>0</v>
      </c>
      <c r="AH506" s="68">
        <v>0</v>
      </c>
      <c r="AI506" s="68"/>
      <c r="AJ506" s="68">
        <v>0</v>
      </c>
      <c r="AK506" s="68">
        <v>0</v>
      </c>
      <c r="AL506" s="68">
        <v>1</v>
      </c>
      <c r="AM506" s="68"/>
      <c r="AN506" s="68">
        <v>1</v>
      </c>
      <c r="AO506" s="68"/>
      <c r="AP506" s="68">
        <v>1</v>
      </c>
      <c r="AQ506" s="68"/>
      <c r="AR506" s="68">
        <v>0</v>
      </c>
      <c r="AS506" s="68">
        <v>0</v>
      </c>
      <c r="AT506" s="68">
        <v>0</v>
      </c>
      <c r="AU506" s="68"/>
      <c r="AV506" s="68">
        <v>0</v>
      </c>
      <c r="AW506" s="68">
        <v>0</v>
      </c>
      <c r="AX506" s="170">
        <f t="shared" ref="AX506:AY571" si="68">(V506*60)+(X506*80)+(Z506*38)+(AB506*57)+(AD506*75)+(AF506*155)+(AH506*170)+(AJ506*375)+(AL506*590)+(AN506*60)+(AP506*630)+(AR506*400)+(AT506*350)+(AV506*950)</f>
        <v>2600</v>
      </c>
      <c r="AY506" s="170"/>
      <c r="AZ506" s="64" t="s">
        <v>77</v>
      </c>
      <c r="BA506" s="64" t="s">
        <v>77</v>
      </c>
      <c r="BB506" s="15" t="s">
        <v>77</v>
      </c>
      <c r="BC506" s="74">
        <v>502</v>
      </c>
      <c r="BD506" s="70"/>
      <c r="BE506" s="67"/>
      <c r="BF506" s="71"/>
      <c r="BG506" s="15"/>
      <c r="BH506" s="72" t="s">
        <v>77</v>
      </c>
      <c r="BI506" s="72" t="s">
        <v>77</v>
      </c>
    </row>
    <row r="507" spans="1:63" s="16" customFormat="1" ht="42" customHeight="1" x14ac:dyDescent="0.3">
      <c r="A507" s="26">
        <v>503</v>
      </c>
      <c r="B507" s="163">
        <v>247347</v>
      </c>
      <c r="C507" s="163">
        <v>503</v>
      </c>
      <c r="D507" s="164">
        <v>46096</v>
      </c>
      <c r="E507" s="164">
        <f t="shared" si="67"/>
        <v>46095</v>
      </c>
      <c r="F507" s="164">
        <f t="shared" si="63"/>
        <v>46106</v>
      </c>
      <c r="G507" s="164">
        <v>46188</v>
      </c>
      <c r="H507" s="164">
        <v>46238</v>
      </c>
      <c r="I507" s="164" t="s">
        <v>321</v>
      </c>
      <c r="J507" s="165" t="s">
        <v>1126</v>
      </c>
      <c r="K507" s="166">
        <f t="shared" si="64"/>
        <v>82</v>
      </c>
      <c r="L507" s="166">
        <v>1207565</v>
      </c>
      <c r="M507" s="165" t="s">
        <v>15</v>
      </c>
      <c r="N507" s="165">
        <v>821795</v>
      </c>
      <c r="O507" s="165" t="s">
        <v>246</v>
      </c>
      <c r="P507" s="167">
        <v>46123</v>
      </c>
      <c r="Q507" s="167">
        <v>46303</v>
      </c>
      <c r="R507" s="179" t="s">
        <v>211</v>
      </c>
      <c r="S507" s="168" t="s">
        <v>796</v>
      </c>
      <c r="T507" s="169">
        <v>1</v>
      </c>
      <c r="U507" s="180" t="s">
        <v>106</v>
      </c>
      <c r="V507" s="170">
        <v>67</v>
      </c>
      <c r="W507" s="170">
        <v>67</v>
      </c>
      <c r="X507" s="171">
        <v>0</v>
      </c>
      <c r="Y507" s="170">
        <v>0</v>
      </c>
      <c r="Z507" s="170">
        <v>0</v>
      </c>
      <c r="AA507" s="170">
        <v>0</v>
      </c>
      <c r="AB507" s="170">
        <v>0</v>
      </c>
      <c r="AC507" s="170"/>
      <c r="AD507" s="170">
        <v>0</v>
      </c>
      <c r="AE507" s="170">
        <v>0</v>
      </c>
      <c r="AF507" s="170">
        <v>0</v>
      </c>
      <c r="AG507" s="170">
        <v>0</v>
      </c>
      <c r="AH507" s="170">
        <v>0</v>
      </c>
      <c r="AI507" s="170"/>
      <c r="AJ507" s="170">
        <v>0</v>
      </c>
      <c r="AK507" s="170">
        <v>0</v>
      </c>
      <c r="AL507" s="170">
        <v>0</v>
      </c>
      <c r="AM507" s="170">
        <v>0</v>
      </c>
      <c r="AN507" s="170">
        <v>1</v>
      </c>
      <c r="AO507" s="170">
        <v>1</v>
      </c>
      <c r="AP507" s="170">
        <v>1</v>
      </c>
      <c r="AQ507" s="170">
        <v>1</v>
      </c>
      <c r="AR507" s="170">
        <v>0</v>
      </c>
      <c r="AS507" s="170">
        <v>0</v>
      </c>
      <c r="AT507" s="170">
        <v>0</v>
      </c>
      <c r="AU507" s="170"/>
      <c r="AV507" s="170">
        <v>0</v>
      </c>
      <c r="AW507" s="170">
        <v>0</v>
      </c>
      <c r="AX507" s="170">
        <f t="shared" si="68"/>
        <v>4710</v>
      </c>
      <c r="AY507" s="170">
        <f t="shared" ref="AY507:AY515" si="69">(W507*60)+(Y507*80)+(AA507*38)+(AC507*57)+(AE507*75)+(AG507*155)+(AI507*170)+(AK507*375)+(AM507*590)+(AO507*60)+(AQ507*630)+(AS507*400)+(AU507*350)+(AW507*950)</f>
        <v>4710</v>
      </c>
      <c r="AZ507" s="165" t="s">
        <v>15</v>
      </c>
      <c r="BA507" s="165" t="s">
        <v>77</v>
      </c>
      <c r="BB507" s="162" t="s">
        <v>77</v>
      </c>
      <c r="BC507" s="181">
        <v>503</v>
      </c>
      <c r="BD507" s="173"/>
      <c r="BE507" s="169"/>
      <c r="BF507" s="174"/>
      <c r="BG507" s="178">
        <v>46232</v>
      </c>
      <c r="BH507" s="175" t="s">
        <v>77</v>
      </c>
      <c r="BI507" s="175" t="s">
        <v>77</v>
      </c>
    </row>
    <row r="508" spans="1:63" s="16" customFormat="1" ht="42" hidden="1" customHeight="1" x14ac:dyDescent="0.3">
      <c r="A508" s="26">
        <v>504</v>
      </c>
      <c r="B508" s="138">
        <v>247438</v>
      </c>
      <c r="C508" s="138">
        <v>504</v>
      </c>
      <c r="D508" s="139">
        <v>46097</v>
      </c>
      <c r="E508" s="139">
        <f t="shared" si="67"/>
        <v>46096</v>
      </c>
      <c r="F508" s="139">
        <f t="shared" si="63"/>
        <v>46107</v>
      </c>
      <c r="G508" s="139">
        <v>46158</v>
      </c>
      <c r="H508" s="139">
        <v>46114</v>
      </c>
      <c r="I508" s="139" t="s">
        <v>123</v>
      </c>
      <c r="J508" s="140" t="s">
        <v>1127</v>
      </c>
      <c r="K508" s="141">
        <f t="shared" si="64"/>
        <v>51</v>
      </c>
      <c r="L508" s="141">
        <v>1207765</v>
      </c>
      <c r="M508" s="140" t="s">
        <v>15</v>
      </c>
      <c r="N508" s="140">
        <v>821734</v>
      </c>
      <c r="O508" s="140" t="s">
        <v>246</v>
      </c>
      <c r="P508" s="143">
        <v>46111</v>
      </c>
      <c r="Q508" s="143">
        <v>46126</v>
      </c>
      <c r="R508" s="185" t="s">
        <v>211</v>
      </c>
      <c r="S508" s="144" t="s">
        <v>1128</v>
      </c>
      <c r="T508" s="145">
        <v>1</v>
      </c>
      <c r="U508" s="186" t="s">
        <v>81</v>
      </c>
      <c r="V508" s="146">
        <v>77</v>
      </c>
      <c r="W508" s="146">
        <v>77</v>
      </c>
      <c r="X508" s="147">
        <v>0</v>
      </c>
      <c r="Y508" s="146">
        <v>0</v>
      </c>
      <c r="Z508" s="146">
        <v>0</v>
      </c>
      <c r="AA508" s="146">
        <v>0</v>
      </c>
      <c r="AB508" s="146">
        <v>32</v>
      </c>
      <c r="AC508" s="146">
        <v>32</v>
      </c>
      <c r="AD508" s="146">
        <v>0</v>
      </c>
      <c r="AE508" s="146">
        <v>0</v>
      </c>
      <c r="AF508" s="146">
        <v>0</v>
      </c>
      <c r="AG508" s="146">
        <v>0</v>
      </c>
      <c r="AH508" s="146">
        <v>3</v>
      </c>
      <c r="AI508" s="146">
        <v>3</v>
      </c>
      <c r="AJ508" s="146">
        <v>0</v>
      </c>
      <c r="AK508" s="146">
        <v>0</v>
      </c>
      <c r="AL508" s="146">
        <v>2</v>
      </c>
      <c r="AM508" s="146">
        <v>2</v>
      </c>
      <c r="AN508" s="146">
        <v>6</v>
      </c>
      <c r="AO508" s="146">
        <v>6</v>
      </c>
      <c r="AP508" s="146">
        <v>6</v>
      </c>
      <c r="AQ508" s="146">
        <v>6</v>
      </c>
      <c r="AR508" s="146">
        <v>0</v>
      </c>
      <c r="AS508" s="146">
        <v>0</v>
      </c>
      <c r="AT508" s="146">
        <v>1</v>
      </c>
      <c r="AU508" s="146">
        <v>1</v>
      </c>
      <c r="AV508" s="146">
        <v>0</v>
      </c>
      <c r="AW508" s="146">
        <v>0</v>
      </c>
      <c r="AX508" s="146">
        <f t="shared" si="68"/>
        <v>12624</v>
      </c>
      <c r="AY508" s="146">
        <f t="shared" si="69"/>
        <v>12624</v>
      </c>
      <c r="AZ508" s="140" t="s">
        <v>562</v>
      </c>
      <c r="BA508" s="140" t="s">
        <v>562</v>
      </c>
      <c r="BB508" s="137">
        <v>10</v>
      </c>
      <c r="BC508" s="187">
        <v>504</v>
      </c>
      <c r="BD508" s="149"/>
      <c r="BE508" s="145"/>
      <c r="BF508" s="150"/>
      <c r="BG508" s="188">
        <v>46117</v>
      </c>
      <c r="BH508" s="153" t="s">
        <v>15</v>
      </c>
      <c r="BI508" s="153" t="s">
        <v>562</v>
      </c>
    </row>
    <row r="509" spans="1:63" s="16" customFormat="1" ht="42" hidden="1" customHeight="1" x14ac:dyDescent="0.3">
      <c r="A509" s="26">
        <v>505</v>
      </c>
      <c r="B509" s="138">
        <v>247475</v>
      </c>
      <c r="C509" s="138">
        <v>505</v>
      </c>
      <c r="D509" s="139">
        <v>46098</v>
      </c>
      <c r="E509" s="139">
        <f t="shared" si="67"/>
        <v>46097</v>
      </c>
      <c r="F509" s="139">
        <f t="shared" si="63"/>
        <v>46108</v>
      </c>
      <c r="G509" s="139">
        <v>46158</v>
      </c>
      <c r="H509" s="139">
        <v>46117</v>
      </c>
      <c r="I509" s="139" t="s">
        <v>123</v>
      </c>
      <c r="J509" s="140" t="s">
        <v>1129</v>
      </c>
      <c r="K509" s="141">
        <f t="shared" si="64"/>
        <v>50</v>
      </c>
      <c r="L509" s="141">
        <v>1208069</v>
      </c>
      <c r="M509" s="140" t="s">
        <v>15</v>
      </c>
      <c r="N509" s="140">
        <v>821735</v>
      </c>
      <c r="O509" s="140" t="s">
        <v>246</v>
      </c>
      <c r="P509" s="143">
        <v>46112</v>
      </c>
      <c r="Q509" s="143">
        <v>46127</v>
      </c>
      <c r="R509" s="185" t="s">
        <v>211</v>
      </c>
      <c r="S509" s="144" t="s">
        <v>451</v>
      </c>
      <c r="T509" s="145">
        <v>1</v>
      </c>
      <c r="U509" s="186" t="s">
        <v>106</v>
      </c>
      <c r="V509" s="146">
        <v>45</v>
      </c>
      <c r="W509" s="146">
        <v>45</v>
      </c>
      <c r="X509" s="147">
        <v>0</v>
      </c>
      <c r="Y509" s="146">
        <v>0</v>
      </c>
      <c r="Z509" s="146">
        <v>0</v>
      </c>
      <c r="AA509" s="146">
        <v>0</v>
      </c>
      <c r="AB509" s="146">
        <v>0</v>
      </c>
      <c r="AC509" s="146">
        <v>0</v>
      </c>
      <c r="AD509" s="146">
        <v>0</v>
      </c>
      <c r="AE509" s="146">
        <v>0</v>
      </c>
      <c r="AF509" s="146">
        <v>0</v>
      </c>
      <c r="AG509" s="146">
        <v>0</v>
      </c>
      <c r="AH509" s="146">
        <v>1</v>
      </c>
      <c r="AI509" s="146">
        <v>1</v>
      </c>
      <c r="AJ509" s="146">
        <v>0</v>
      </c>
      <c r="AK509" s="146">
        <v>0</v>
      </c>
      <c r="AL509" s="146">
        <v>0</v>
      </c>
      <c r="AM509" s="146">
        <v>0</v>
      </c>
      <c r="AN509" s="146">
        <v>1</v>
      </c>
      <c r="AO509" s="146">
        <v>1</v>
      </c>
      <c r="AP509" s="146">
        <v>2</v>
      </c>
      <c r="AQ509" s="146">
        <v>2</v>
      </c>
      <c r="AR509" s="146">
        <v>0</v>
      </c>
      <c r="AS509" s="146">
        <v>0</v>
      </c>
      <c r="AT509" s="146">
        <v>1</v>
      </c>
      <c r="AU509" s="146">
        <v>1</v>
      </c>
      <c r="AV509" s="146">
        <v>0</v>
      </c>
      <c r="AW509" s="146">
        <v>0</v>
      </c>
      <c r="AX509" s="146">
        <f t="shared" si="68"/>
        <v>4540</v>
      </c>
      <c r="AY509" s="146">
        <f t="shared" si="69"/>
        <v>4540</v>
      </c>
      <c r="AZ509" s="140" t="s">
        <v>562</v>
      </c>
      <c r="BA509" s="140" t="s">
        <v>562</v>
      </c>
      <c r="BB509" s="137">
        <v>10</v>
      </c>
      <c r="BC509" s="187">
        <v>505</v>
      </c>
      <c r="BD509" s="149"/>
      <c r="BE509" s="145"/>
      <c r="BF509" s="150"/>
      <c r="BG509" s="188">
        <v>46117</v>
      </c>
      <c r="BH509" s="153" t="s">
        <v>15</v>
      </c>
      <c r="BI509" s="153" t="s">
        <v>562</v>
      </c>
    </row>
    <row r="510" spans="1:63" s="16" customFormat="1" ht="42" hidden="1" customHeight="1" x14ac:dyDescent="0.3">
      <c r="A510" s="26">
        <v>506</v>
      </c>
      <c r="B510" s="138">
        <v>247476</v>
      </c>
      <c r="C510" s="138">
        <v>506</v>
      </c>
      <c r="D510" s="139">
        <v>46098</v>
      </c>
      <c r="E510" s="139">
        <f t="shared" si="67"/>
        <v>46097</v>
      </c>
      <c r="F510" s="139">
        <f t="shared" si="63"/>
        <v>46108</v>
      </c>
      <c r="G510" s="139">
        <v>46158</v>
      </c>
      <c r="H510" s="139">
        <v>46118</v>
      </c>
      <c r="I510" s="139" t="s">
        <v>123</v>
      </c>
      <c r="J510" s="140" t="s">
        <v>1130</v>
      </c>
      <c r="K510" s="141">
        <f t="shared" si="64"/>
        <v>50</v>
      </c>
      <c r="L510" s="141">
        <v>1208070</v>
      </c>
      <c r="M510" s="140" t="s">
        <v>15</v>
      </c>
      <c r="N510" s="140">
        <v>821735</v>
      </c>
      <c r="O510" s="140" t="s">
        <v>246</v>
      </c>
      <c r="P510" s="143">
        <v>46112</v>
      </c>
      <c r="Q510" s="143">
        <v>46127</v>
      </c>
      <c r="R510" s="185" t="s">
        <v>211</v>
      </c>
      <c r="S510" s="144" t="s">
        <v>1131</v>
      </c>
      <c r="T510" s="145">
        <v>1</v>
      </c>
      <c r="U510" s="186" t="s">
        <v>106</v>
      </c>
      <c r="V510" s="146">
        <v>29</v>
      </c>
      <c r="W510" s="146">
        <v>29</v>
      </c>
      <c r="X510" s="147">
        <v>0</v>
      </c>
      <c r="Y510" s="146">
        <v>0</v>
      </c>
      <c r="Z510" s="146">
        <v>0</v>
      </c>
      <c r="AA510" s="146">
        <v>0</v>
      </c>
      <c r="AB510" s="146">
        <v>25</v>
      </c>
      <c r="AC510" s="146">
        <v>25</v>
      </c>
      <c r="AD510" s="146">
        <v>0</v>
      </c>
      <c r="AE510" s="146">
        <v>0</v>
      </c>
      <c r="AF510" s="146">
        <v>0</v>
      </c>
      <c r="AG510" s="146">
        <v>0</v>
      </c>
      <c r="AH510" s="146">
        <v>1</v>
      </c>
      <c r="AI510" s="146">
        <v>1</v>
      </c>
      <c r="AJ510" s="146">
        <v>0</v>
      </c>
      <c r="AK510" s="146">
        <v>0</v>
      </c>
      <c r="AL510" s="146">
        <v>1</v>
      </c>
      <c r="AM510" s="146">
        <v>1</v>
      </c>
      <c r="AN510" s="146">
        <v>2</v>
      </c>
      <c r="AO510" s="146">
        <v>2</v>
      </c>
      <c r="AP510" s="146">
        <v>2</v>
      </c>
      <c r="AQ510" s="146">
        <v>2</v>
      </c>
      <c r="AR510" s="146">
        <v>0</v>
      </c>
      <c r="AS510" s="146">
        <v>0</v>
      </c>
      <c r="AT510" s="146">
        <v>1</v>
      </c>
      <c r="AU510" s="146">
        <v>1</v>
      </c>
      <c r="AV510" s="146">
        <v>0</v>
      </c>
      <c r="AW510" s="146">
        <v>0</v>
      </c>
      <c r="AX510" s="146">
        <f t="shared" si="68"/>
        <v>5655</v>
      </c>
      <c r="AY510" s="146">
        <f t="shared" si="69"/>
        <v>5655</v>
      </c>
      <c r="AZ510" s="140" t="s">
        <v>562</v>
      </c>
      <c r="BA510" s="140" t="s">
        <v>562</v>
      </c>
      <c r="BB510" s="137">
        <v>10</v>
      </c>
      <c r="BC510" s="187">
        <v>506</v>
      </c>
      <c r="BD510" s="149"/>
      <c r="BE510" s="145"/>
      <c r="BF510" s="150"/>
      <c r="BG510" s="188">
        <v>46117</v>
      </c>
      <c r="BH510" s="153" t="s">
        <v>15</v>
      </c>
      <c r="BI510" s="153" t="s">
        <v>562</v>
      </c>
    </row>
    <row r="511" spans="1:63" s="16" customFormat="1" ht="42" hidden="1" customHeight="1" x14ac:dyDescent="0.3">
      <c r="A511" s="26">
        <v>507</v>
      </c>
      <c r="B511" s="138">
        <v>247511</v>
      </c>
      <c r="C511" s="138">
        <v>507</v>
      </c>
      <c r="D511" s="139">
        <v>46161</v>
      </c>
      <c r="E511" s="139">
        <f t="shared" si="67"/>
        <v>46160</v>
      </c>
      <c r="F511" s="139">
        <f t="shared" si="63"/>
        <v>46171</v>
      </c>
      <c r="G511" s="139">
        <v>46209</v>
      </c>
      <c r="H511" s="139">
        <v>46211</v>
      </c>
      <c r="I511" s="139" t="s">
        <v>1250</v>
      </c>
      <c r="J511" s="140" t="s">
        <v>1263</v>
      </c>
      <c r="K511" s="141">
        <f t="shared" si="64"/>
        <v>38</v>
      </c>
      <c r="L511" s="141">
        <v>1208338</v>
      </c>
      <c r="M511" s="140" t="s">
        <v>15</v>
      </c>
      <c r="N511" s="140">
        <v>822460</v>
      </c>
      <c r="O511" s="137" t="s">
        <v>246</v>
      </c>
      <c r="P511" s="143">
        <v>46123</v>
      </c>
      <c r="Q511" s="143">
        <v>46303</v>
      </c>
      <c r="R511" s="185" t="s">
        <v>211</v>
      </c>
      <c r="S511" s="144" t="s">
        <v>1134</v>
      </c>
      <c r="T511" s="145">
        <v>1</v>
      </c>
      <c r="U511" s="186" t="s">
        <v>81</v>
      </c>
      <c r="V511" s="146">
        <v>112</v>
      </c>
      <c r="W511" s="146">
        <v>112</v>
      </c>
      <c r="X511" s="147">
        <v>0</v>
      </c>
      <c r="Y511" s="146">
        <v>0</v>
      </c>
      <c r="Z511" s="146">
        <v>0</v>
      </c>
      <c r="AA511" s="146">
        <v>0</v>
      </c>
      <c r="AB511" s="146">
        <v>0</v>
      </c>
      <c r="AC511" s="146">
        <v>0</v>
      </c>
      <c r="AD511" s="146">
        <v>0</v>
      </c>
      <c r="AE511" s="146">
        <v>0</v>
      </c>
      <c r="AF511" s="146">
        <v>0</v>
      </c>
      <c r="AG511" s="146">
        <v>0</v>
      </c>
      <c r="AH511" s="146">
        <v>2</v>
      </c>
      <c r="AI511" s="146">
        <v>2</v>
      </c>
      <c r="AJ511" s="146">
        <v>0</v>
      </c>
      <c r="AK511" s="146">
        <v>0</v>
      </c>
      <c r="AL511" s="146">
        <v>1</v>
      </c>
      <c r="AM511" s="146">
        <v>1</v>
      </c>
      <c r="AN511" s="146">
        <v>1</v>
      </c>
      <c r="AO511" s="146">
        <v>1</v>
      </c>
      <c r="AP511" s="146">
        <v>2</v>
      </c>
      <c r="AQ511" s="146">
        <v>2</v>
      </c>
      <c r="AR511" s="146">
        <v>0</v>
      </c>
      <c r="AS511" s="146">
        <v>0</v>
      </c>
      <c r="AT511" s="146">
        <v>2</v>
      </c>
      <c r="AU511" s="146">
        <v>2</v>
      </c>
      <c r="AV511" s="146">
        <v>0</v>
      </c>
      <c r="AW511" s="146">
        <v>0</v>
      </c>
      <c r="AX511" s="146">
        <f t="shared" si="68"/>
        <v>9670</v>
      </c>
      <c r="AY511" s="146">
        <f t="shared" si="69"/>
        <v>9670</v>
      </c>
      <c r="AZ511" s="140" t="s">
        <v>562</v>
      </c>
      <c r="BA511" s="140" t="s">
        <v>562</v>
      </c>
      <c r="BB511" s="137">
        <v>13</v>
      </c>
      <c r="BC511" s="187">
        <v>507</v>
      </c>
      <c r="BD511" s="149"/>
      <c r="BE511" s="145"/>
      <c r="BF511" s="150"/>
      <c r="BG511" s="188">
        <v>46182</v>
      </c>
      <c r="BH511" s="153" t="s">
        <v>15</v>
      </c>
      <c r="BI511" s="153" t="s">
        <v>562</v>
      </c>
    </row>
    <row r="512" spans="1:63" s="16" customFormat="1" ht="42" customHeight="1" x14ac:dyDescent="0.3">
      <c r="A512" s="26">
        <v>508</v>
      </c>
      <c r="B512" s="163">
        <v>247512</v>
      </c>
      <c r="C512" s="163">
        <v>508</v>
      </c>
      <c r="D512" s="164">
        <v>46180</v>
      </c>
      <c r="E512" s="164">
        <f t="shared" si="67"/>
        <v>46179</v>
      </c>
      <c r="F512" s="164">
        <f t="shared" si="63"/>
        <v>46190</v>
      </c>
      <c r="G512" s="164">
        <v>46189</v>
      </c>
      <c r="H512" s="164">
        <v>46261</v>
      </c>
      <c r="I512" s="164" t="s">
        <v>123</v>
      </c>
      <c r="J512" s="165" t="s">
        <v>1260</v>
      </c>
      <c r="K512" s="166">
        <f t="shared" si="64"/>
        <v>-1</v>
      </c>
      <c r="L512" s="166">
        <v>1208339</v>
      </c>
      <c r="M512" s="165" t="s">
        <v>15</v>
      </c>
      <c r="N512" s="165">
        <v>832427</v>
      </c>
      <c r="O512" s="162" t="s">
        <v>246</v>
      </c>
      <c r="P512" s="167">
        <v>46237</v>
      </c>
      <c r="Q512" s="167">
        <v>46277</v>
      </c>
      <c r="R512" s="179" t="s">
        <v>211</v>
      </c>
      <c r="S512" s="168" t="s">
        <v>1135</v>
      </c>
      <c r="T512" s="169">
        <v>1</v>
      </c>
      <c r="U512" s="180" t="s">
        <v>186</v>
      </c>
      <c r="V512" s="170">
        <v>116</v>
      </c>
      <c r="W512" s="170">
        <v>116</v>
      </c>
      <c r="X512" s="171">
        <v>35</v>
      </c>
      <c r="Y512" s="170">
        <v>35</v>
      </c>
      <c r="Z512" s="170">
        <v>0</v>
      </c>
      <c r="AA512" s="170">
        <v>0</v>
      </c>
      <c r="AB512" s="170">
        <v>113</v>
      </c>
      <c r="AC512" s="170">
        <v>113</v>
      </c>
      <c r="AD512" s="170">
        <v>0</v>
      </c>
      <c r="AE512" s="170">
        <v>0</v>
      </c>
      <c r="AF512" s="170">
        <v>0</v>
      </c>
      <c r="AG512" s="170">
        <v>0</v>
      </c>
      <c r="AH512" s="170">
        <v>1</v>
      </c>
      <c r="AI512" s="170">
        <v>1</v>
      </c>
      <c r="AJ512" s="170">
        <v>0</v>
      </c>
      <c r="AK512" s="170">
        <v>0</v>
      </c>
      <c r="AL512" s="170">
        <v>2</v>
      </c>
      <c r="AM512" s="170">
        <v>2</v>
      </c>
      <c r="AN512" s="170">
        <v>1</v>
      </c>
      <c r="AO512" s="170">
        <v>1</v>
      </c>
      <c r="AP512" s="170">
        <v>3</v>
      </c>
      <c r="AQ512" s="170">
        <v>3</v>
      </c>
      <c r="AR512" s="170">
        <v>0</v>
      </c>
      <c r="AS512" s="170">
        <v>0</v>
      </c>
      <c r="AT512" s="170">
        <v>0</v>
      </c>
      <c r="AU512" s="170">
        <v>0</v>
      </c>
      <c r="AV512" s="170">
        <v>2</v>
      </c>
      <c r="AW512" s="170">
        <v>2</v>
      </c>
      <c r="AX512" s="170">
        <f t="shared" si="68"/>
        <v>21401</v>
      </c>
      <c r="AY512" s="170">
        <f t="shared" si="69"/>
        <v>21401</v>
      </c>
      <c r="AZ512" s="165" t="s">
        <v>15</v>
      </c>
      <c r="BA512" s="165" t="s">
        <v>77</v>
      </c>
      <c r="BB512" s="162" t="s">
        <v>77</v>
      </c>
      <c r="BC512" s="181">
        <v>508</v>
      </c>
      <c r="BD512" s="173"/>
      <c r="BE512" s="169"/>
      <c r="BF512" s="174"/>
      <c r="BG512" s="178">
        <v>46260</v>
      </c>
      <c r="BH512" s="175" t="s">
        <v>77</v>
      </c>
      <c r="BI512" s="175" t="s">
        <v>77</v>
      </c>
    </row>
    <row r="513" spans="1:63" s="16" customFormat="1" ht="42" customHeight="1" x14ac:dyDescent="0.3">
      <c r="A513" s="26">
        <v>508</v>
      </c>
      <c r="B513" s="163">
        <v>247512</v>
      </c>
      <c r="C513" s="163" t="s">
        <v>1586</v>
      </c>
      <c r="D513" s="164">
        <v>46180</v>
      </c>
      <c r="E513" s="164">
        <f t="shared" si="67"/>
        <v>46179</v>
      </c>
      <c r="F513" s="164">
        <f t="shared" si="63"/>
        <v>46190</v>
      </c>
      <c r="G513" s="164">
        <v>46189</v>
      </c>
      <c r="H513" s="164">
        <v>46261</v>
      </c>
      <c r="I513" s="164" t="s">
        <v>123</v>
      </c>
      <c r="J513" s="165" t="s">
        <v>1260</v>
      </c>
      <c r="K513" s="166">
        <f t="shared" si="64"/>
        <v>-1</v>
      </c>
      <c r="L513" s="166">
        <v>1208339</v>
      </c>
      <c r="M513" s="165" t="s">
        <v>15</v>
      </c>
      <c r="N513" s="165">
        <v>832427</v>
      </c>
      <c r="O513" s="162" t="s">
        <v>246</v>
      </c>
      <c r="P513" s="167">
        <v>46237</v>
      </c>
      <c r="Q513" s="167">
        <v>46277</v>
      </c>
      <c r="R513" s="179" t="s">
        <v>211</v>
      </c>
      <c r="S513" s="168" t="s">
        <v>1135</v>
      </c>
      <c r="T513" s="169">
        <v>1</v>
      </c>
      <c r="U513" s="180" t="s">
        <v>186</v>
      </c>
      <c r="V513" s="170">
        <v>99</v>
      </c>
      <c r="W513" s="170">
        <v>99</v>
      </c>
      <c r="X513" s="171">
        <v>0</v>
      </c>
      <c r="Y513" s="170">
        <v>0</v>
      </c>
      <c r="Z513" s="170">
        <v>0</v>
      </c>
      <c r="AA513" s="170">
        <v>0</v>
      </c>
      <c r="AB513" s="170">
        <v>99</v>
      </c>
      <c r="AC513" s="170">
        <v>99</v>
      </c>
      <c r="AD513" s="170">
        <v>0</v>
      </c>
      <c r="AE513" s="170">
        <v>0</v>
      </c>
      <c r="AF513" s="170">
        <v>0</v>
      </c>
      <c r="AG513" s="170">
        <v>0</v>
      </c>
      <c r="AH513" s="170">
        <v>0</v>
      </c>
      <c r="AI513" s="170">
        <v>0</v>
      </c>
      <c r="AJ513" s="170">
        <v>0</v>
      </c>
      <c r="AK513" s="170">
        <v>0</v>
      </c>
      <c r="AL513" s="170">
        <v>3</v>
      </c>
      <c r="AM513" s="170">
        <v>3</v>
      </c>
      <c r="AN513" s="170">
        <v>5</v>
      </c>
      <c r="AO513" s="170">
        <v>5</v>
      </c>
      <c r="AP513" s="170">
        <v>2</v>
      </c>
      <c r="AQ513" s="170">
        <v>2</v>
      </c>
      <c r="AR513" s="170">
        <v>0</v>
      </c>
      <c r="AS513" s="170">
        <v>0</v>
      </c>
      <c r="AT513" s="170">
        <v>0</v>
      </c>
      <c r="AU513" s="170">
        <v>0</v>
      </c>
      <c r="AV513" s="170">
        <v>0</v>
      </c>
      <c r="AW513" s="170">
        <v>0</v>
      </c>
      <c r="AX513" s="170">
        <f t="shared" si="68"/>
        <v>14913</v>
      </c>
      <c r="AY513" s="170">
        <f t="shared" si="69"/>
        <v>14913</v>
      </c>
      <c r="AZ513" s="165" t="s">
        <v>15</v>
      </c>
      <c r="BA513" s="165" t="s">
        <v>77</v>
      </c>
      <c r="BB513" s="162" t="s">
        <v>77</v>
      </c>
      <c r="BC513" s="181">
        <v>508</v>
      </c>
      <c r="BD513" s="173"/>
      <c r="BE513" s="169"/>
      <c r="BF513" s="174"/>
      <c r="BG513" s="178">
        <v>46264</v>
      </c>
      <c r="BH513" s="175" t="s">
        <v>77</v>
      </c>
      <c r="BI513" s="175" t="s">
        <v>77</v>
      </c>
    </row>
    <row r="514" spans="1:63" s="16" customFormat="1" ht="42" customHeight="1" x14ac:dyDescent="0.3">
      <c r="A514" s="26">
        <v>509</v>
      </c>
      <c r="B514" s="163">
        <v>247513</v>
      </c>
      <c r="C514" s="163">
        <v>509</v>
      </c>
      <c r="D514" s="164">
        <v>46233</v>
      </c>
      <c r="E514" s="164">
        <f t="shared" si="67"/>
        <v>46232</v>
      </c>
      <c r="F514" s="164">
        <f t="shared" si="63"/>
        <v>46243</v>
      </c>
      <c r="G514" s="164">
        <v>46293</v>
      </c>
      <c r="H514" s="164">
        <v>46268</v>
      </c>
      <c r="I514" s="164" t="s">
        <v>123</v>
      </c>
      <c r="J514" s="165" t="s">
        <v>1510</v>
      </c>
      <c r="K514" s="166">
        <f t="shared" si="64"/>
        <v>50</v>
      </c>
      <c r="L514" s="166">
        <v>1208340</v>
      </c>
      <c r="M514" s="165" t="s">
        <v>15</v>
      </c>
      <c r="N514" s="165" t="s">
        <v>1547</v>
      </c>
      <c r="O514" s="165" t="s">
        <v>246</v>
      </c>
      <c r="P514" s="167">
        <v>46243</v>
      </c>
      <c r="Q514" s="167">
        <v>46340</v>
      </c>
      <c r="R514" s="179" t="s">
        <v>211</v>
      </c>
      <c r="S514" s="168" t="s">
        <v>1136</v>
      </c>
      <c r="T514" s="169">
        <v>1</v>
      </c>
      <c r="U514" s="180" t="s">
        <v>840</v>
      </c>
      <c r="V514" s="170">
        <v>112</v>
      </c>
      <c r="W514" s="170">
        <v>112</v>
      </c>
      <c r="X514" s="171">
        <v>0</v>
      </c>
      <c r="Y514" s="170">
        <v>0</v>
      </c>
      <c r="Z514" s="170">
        <v>0</v>
      </c>
      <c r="AA514" s="170">
        <v>0</v>
      </c>
      <c r="AB514" s="170">
        <v>111</v>
      </c>
      <c r="AC514" s="170">
        <v>111</v>
      </c>
      <c r="AD514" s="170">
        <v>0</v>
      </c>
      <c r="AE514" s="170">
        <v>0</v>
      </c>
      <c r="AF514" s="170">
        <v>0</v>
      </c>
      <c r="AG514" s="170">
        <v>0</v>
      </c>
      <c r="AH514" s="170">
        <v>1</v>
      </c>
      <c r="AI514" s="170">
        <v>1</v>
      </c>
      <c r="AJ514" s="170">
        <v>0</v>
      </c>
      <c r="AK514" s="170">
        <v>0</v>
      </c>
      <c r="AL514" s="170">
        <v>1</v>
      </c>
      <c r="AM514" s="170">
        <v>1</v>
      </c>
      <c r="AN514" s="170">
        <v>1</v>
      </c>
      <c r="AO514" s="170">
        <v>1</v>
      </c>
      <c r="AP514" s="170">
        <v>1</v>
      </c>
      <c r="AQ514" s="170">
        <v>1</v>
      </c>
      <c r="AR514" s="170">
        <v>0</v>
      </c>
      <c r="AS514" s="170">
        <v>0</v>
      </c>
      <c r="AT514" s="170">
        <v>1</v>
      </c>
      <c r="AU514" s="170">
        <v>1</v>
      </c>
      <c r="AV514" s="170">
        <v>0</v>
      </c>
      <c r="AW514" s="170">
        <v>0</v>
      </c>
      <c r="AX514" s="170">
        <f t="shared" si="68"/>
        <v>14847</v>
      </c>
      <c r="AY514" s="170">
        <f t="shared" si="69"/>
        <v>14847</v>
      </c>
      <c r="AZ514" s="162" t="s">
        <v>15</v>
      </c>
      <c r="BA514" s="165" t="s">
        <v>77</v>
      </c>
      <c r="BB514" s="162" t="s">
        <v>77</v>
      </c>
      <c r="BC514" s="181">
        <v>509</v>
      </c>
      <c r="BD514" s="173"/>
      <c r="BE514" s="169"/>
      <c r="BF514" s="174"/>
      <c r="BG514" s="178">
        <v>46267</v>
      </c>
      <c r="BH514" s="175" t="s">
        <v>77</v>
      </c>
      <c r="BI514" s="175" t="s">
        <v>77</v>
      </c>
    </row>
    <row r="515" spans="1:63" s="16" customFormat="1" ht="42" customHeight="1" x14ac:dyDescent="0.3">
      <c r="A515" s="26">
        <v>509</v>
      </c>
      <c r="B515" s="163">
        <v>247513</v>
      </c>
      <c r="C515" s="163" t="s">
        <v>1587</v>
      </c>
      <c r="D515" s="164">
        <v>46233</v>
      </c>
      <c r="E515" s="164">
        <f t="shared" si="67"/>
        <v>46232</v>
      </c>
      <c r="F515" s="164">
        <f t="shared" si="63"/>
        <v>46243</v>
      </c>
      <c r="G515" s="164">
        <v>46293</v>
      </c>
      <c r="H515" s="164">
        <v>46268</v>
      </c>
      <c r="I515" s="164" t="s">
        <v>123</v>
      </c>
      <c r="J515" s="165" t="s">
        <v>1510</v>
      </c>
      <c r="K515" s="166">
        <f t="shared" si="64"/>
        <v>50</v>
      </c>
      <c r="L515" s="166">
        <v>1208340</v>
      </c>
      <c r="M515" s="165" t="s">
        <v>15</v>
      </c>
      <c r="N515" s="165" t="s">
        <v>1547</v>
      </c>
      <c r="O515" s="165" t="s">
        <v>246</v>
      </c>
      <c r="P515" s="167">
        <v>46243</v>
      </c>
      <c r="Q515" s="167">
        <v>46340</v>
      </c>
      <c r="R515" s="179" t="s">
        <v>211</v>
      </c>
      <c r="S515" s="168" t="s">
        <v>1136</v>
      </c>
      <c r="T515" s="169">
        <v>1</v>
      </c>
      <c r="U515" s="180" t="s">
        <v>840</v>
      </c>
      <c r="V515" s="170">
        <v>22</v>
      </c>
      <c r="W515" s="170">
        <v>22</v>
      </c>
      <c r="X515" s="171">
        <v>0</v>
      </c>
      <c r="Y515" s="170">
        <v>0</v>
      </c>
      <c r="Z515" s="170">
        <v>0</v>
      </c>
      <c r="AA515" s="170">
        <v>0</v>
      </c>
      <c r="AB515" s="170">
        <v>22</v>
      </c>
      <c r="AC515" s="170">
        <v>22</v>
      </c>
      <c r="AD515" s="170">
        <v>0</v>
      </c>
      <c r="AE515" s="170">
        <v>0</v>
      </c>
      <c r="AF515" s="170">
        <v>0</v>
      </c>
      <c r="AG515" s="170">
        <v>0</v>
      </c>
      <c r="AH515" s="170">
        <v>0</v>
      </c>
      <c r="AI515" s="170">
        <v>0</v>
      </c>
      <c r="AJ515" s="170">
        <v>0</v>
      </c>
      <c r="AK515" s="170">
        <v>0</v>
      </c>
      <c r="AL515" s="170">
        <v>0</v>
      </c>
      <c r="AM515" s="170">
        <v>0</v>
      </c>
      <c r="AN515" s="170">
        <v>2</v>
      </c>
      <c r="AO515" s="170">
        <v>2</v>
      </c>
      <c r="AP515" s="170">
        <v>2</v>
      </c>
      <c r="AQ515" s="170">
        <v>2</v>
      </c>
      <c r="AR515" s="170">
        <v>0</v>
      </c>
      <c r="AS515" s="170">
        <v>0</v>
      </c>
      <c r="AT515" s="170">
        <v>0</v>
      </c>
      <c r="AU515" s="170">
        <v>0</v>
      </c>
      <c r="AV515" s="170">
        <v>0</v>
      </c>
      <c r="AW515" s="170">
        <v>0</v>
      </c>
      <c r="AX515" s="170">
        <f t="shared" si="68"/>
        <v>3954</v>
      </c>
      <c r="AY515" s="170">
        <f t="shared" si="69"/>
        <v>3954</v>
      </c>
      <c r="AZ515" s="162" t="s">
        <v>15</v>
      </c>
      <c r="BA515" s="165" t="s">
        <v>77</v>
      </c>
      <c r="BB515" s="162" t="s">
        <v>77</v>
      </c>
      <c r="BC515" s="181">
        <v>509</v>
      </c>
      <c r="BD515" s="173"/>
      <c r="BE515" s="169"/>
      <c r="BF515" s="174"/>
      <c r="BG515" s="178">
        <v>46267</v>
      </c>
      <c r="BH515" s="175" t="s">
        <v>77</v>
      </c>
      <c r="BI515" s="175" t="s">
        <v>77</v>
      </c>
    </row>
    <row r="516" spans="1:63" s="16" customFormat="1" ht="42" customHeight="1" x14ac:dyDescent="0.3">
      <c r="A516" s="26">
        <v>510</v>
      </c>
      <c r="B516" s="62">
        <v>247514</v>
      </c>
      <c r="C516" s="62">
        <v>510</v>
      </c>
      <c r="D516" s="63">
        <v>46099</v>
      </c>
      <c r="E516" s="63">
        <f t="shared" si="67"/>
        <v>46098</v>
      </c>
      <c r="F516" s="63">
        <f t="shared" si="63"/>
        <v>46109</v>
      </c>
      <c r="G516" s="63">
        <v>46189</v>
      </c>
      <c r="H516" s="63">
        <f ca="1">TODAY()</f>
        <v>46277</v>
      </c>
      <c r="I516" s="63" t="s">
        <v>321</v>
      </c>
      <c r="J516" s="64" t="s">
        <v>1137</v>
      </c>
      <c r="K516" s="65">
        <f t="shared" si="64"/>
        <v>80</v>
      </c>
      <c r="L516" s="65">
        <v>1208341</v>
      </c>
      <c r="M516" s="64" t="s">
        <v>77</v>
      </c>
      <c r="N516" s="64">
        <v>821796</v>
      </c>
      <c r="O516" s="79" t="s">
        <v>246</v>
      </c>
      <c r="P516" s="103">
        <v>46123</v>
      </c>
      <c r="Q516" s="103">
        <v>46303</v>
      </c>
      <c r="R516" s="73" t="s">
        <v>211</v>
      </c>
      <c r="S516" s="66" t="s">
        <v>1138</v>
      </c>
      <c r="T516" s="67">
        <v>1</v>
      </c>
      <c r="U516" s="75" t="s">
        <v>82</v>
      </c>
      <c r="V516" s="68">
        <v>53</v>
      </c>
      <c r="W516" s="68"/>
      <c r="X516" s="69">
        <v>1</v>
      </c>
      <c r="Y516" s="68"/>
      <c r="Z516" s="68">
        <v>0</v>
      </c>
      <c r="AA516" s="68">
        <v>0</v>
      </c>
      <c r="AB516" s="68">
        <v>0</v>
      </c>
      <c r="AC516" s="68">
        <v>0</v>
      </c>
      <c r="AD516" s="68">
        <v>0</v>
      </c>
      <c r="AE516" s="68">
        <v>0</v>
      </c>
      <c r="AF516" s="68">
        <v>0</v>
      </c>
      <c r="AG516" s="68">
        <v>0</v>
      </c>
      <c r="AH516" s="68">
        <v>0</v>
      </c>
      <c r="AI516" s="68">
        <v>0</v>
      </c>
      <c r="AJ516" s="68">
        <v>1</v>
      </c>
      <c r="AK516" s="68"/>
      <c r="AL516" s="68">
        <v>1</v>
      </c>
      <c r="AM516" s="68"/>
      <c r="AN516" s="68">
        <v>1</v>
      </c>
      <c r="AO516" s="68"/>
      <c r="AP516" s="68">
        <v>1</v>
      </c>
      <c r="AQ516" s="68"/>
      <c r="AR516" s="68">
        <v>0</v>
      </c>
      <c r="AS516" s="68">
        <v>0</v>
      </c>
      <c r="AT516" s="68">
        <v>0</v>
      </c>
      <c r="AU516" s="68"/>
      <c r="AV516" s="68">
        <v>0</v>
      </c>
      <c r="AW516" s="68">
        <v>0</v>
      </c>
      <c r="AX516" s="170">
        <f t="shared" si="68"/>
        <v>4915</v>
      </c>
      <c r="AY516" s="170"/>
      <c r="AZ516" s="64" t="s">
        <v>77</v>
      </c>
      <c r="BA516" s="64" t="s">
        <v>77</v>
      </c>
      <c r="BB516" s="15" t="s">
        <v>77</v>
      </c>
      <c r="BC516" s="74">
        <v>510</v>
      </c>
      <c r="BD516" s="70"/>
      <c r="BE516" s="67"/>
      <c r="BF516" s="71"/>
      <c r="BG516" s="15"/>
      <c r="BH516" s="72" t="s">
        <v>77</v>
      </c>
      <c r="BI516" s="72" t="s">
        <v>77</v>
      </c>
    </row>
    <row r="517" spans="1:63" s="16" customFormat="1" ht="44.1" customHeight="1" x14ac:dyDescent="0.3">
      <c r="A517" s="26">
        <v>511</v>
      </c>
      <c r="B517" s="110">
        <v>247543</v>
      </c>
      <c r="C517" s="110">
        <v>511</v>
      </c>
      <c r="D517" s="111">
        <v>46105</v>
      </c>
      <c r="E517" s="111">
        <f t="shared" si="67"/>
        <v>46104</v>
      </c>
      <c r="F517" s="111">
        <f t="shared" si="63"/>
        <v>46115</v>
      </c>
      <c r="G517" s="111">
        <v>46195</v>
      </c>
      <c r="H517" s="111">
        <f ca="1">TODAY()</f>
        <v>46277</v>
      </c>
      <c r="I517" s="111" t="s">
        <v>349</v>
      </c>
      <c r="J517" s="112" t="s">
        <v>1139</v>
      </c>
      <c r="K517" s="113">
        <f t="shared" si="64"/>
        <v>80</v>
      </c>
      <c r="L517" s="113">
        <v>1209059</v>
      </c>
      <c r="M517" s="114" t="s">
        <v>366</v>
      </c>
      <c r="N517" s="112" t="s">
        <v>365</v>
      </c>
      <c r="O517" s="109" t="s">
        <v>365</v>
      </c>
      <c r="P517" s="115" t="s">
        <v>77</v>
      </c>
      <c r="Q517" s="115" t="s">
        <v>77</v>
      </c>
      <c r="R517" s="131" t="s">
        <v>211</v>
      </c>
      <c r="S517" s="117" t="s">
        <v>1140</v>
      </c>
      <c r="T517" s="118">
        <v>1</v>
      </c>
      <c r="U517" s="132" t="s">
        <v>790</v>
      </c>
      <c r="V517" s="119">
        <v>250</v>
      </c>
      <c r="W517" s="119"/>
      <c r="X517" s="120">
        <v>1</v>
      </c>
      <c r="Y517" s="119"/>
      <c r="Z517" s="119">
        <v>0</v>
      </c>
      <c r="AA517" s="119">
        <v>0</v>
      </c>
      <c r="AB517" s="119">
        <v>0</v>
      </c>
      <c r="AC517" s="119"/>
      <c r="AD517" s="119">
        <v>0</v>
      </c>
      <c r="AE517" s="119">
        <v>0</v>
      </c>
      <c r="AF517" s="119">
        <v>0</v>
      </c>
      <c r="AG517" s="119">
        <v>0</v>
      </c>
      <c r="AH517" s="119">
        <v>0</v>
      </c>
      <c r="AI517" s="119">
        <v>0</v>
      </c>
      <c r="AJ517" s="119">
        <v>1</v>
      </c>
      <c r="AK517" s="119"/>
      <c r="AL517" s="119">
        <v>2</v>
      </c>
      <c r="AM517" s="119"/>
      <c r="AN517" s="119">
        <v>1</v>
      </c>
      <c r="AO517" s="119"/>
      <c r="AP517" s="119">
        <v>1</v>
      </c>
      <c r="AQ517" s="119"/>
      <c r="AR517" s="119">
        <v>0</v>
      </c>
      <c r="AS517" s="119">
        <v>0</v>
      </c>
      <c r="AT517" s="119">
        <v>0</v>
      </c>
      <c r="AU517" s="119">
        <v>0</v>
      </c>
      <c r="AV517" s="119">
        <v>0</v>
      </c>
      <c r="AW517" s="119">
        <v>0</v>
      </c>
      <c r="AX517" s="146">
        <f t="shared" si="68"/>
        <v>17325</v>
      </c>
      <c r="AY517" s="146"/>
      <c r="AZ517" s="109" t="s">
        <v>365</v>
      </c>
      <c r="BA517" s="112" t="s">
        <v>77</v>
      </c>
      <c r="BB517" s="109" t="s">
        <v>77</v>
      </c>
      <c r="BC517" s="133">
        <v>511</v>
      </c>
      <c r="BD517" s="122"/>
      <c r="BE517" s="118"/>
      <c r="BF517" s="123"/>
      <c r="BG517" s="109"/>
      <c r="BH517" s="125" t="s">
        <v>77</v>
      </c>
      <c r="BI517" s="125" t="s">
        <v>77</v>
      </c>
    </row>
    <row r="518" spans="1:63" s="16" customFormat="1" ht="42" hidden="1" customHeight="1" x14ac:dyDescent="0.3">
      <c r="A518" s="26">
        <v>512</v>
      </c>
      <c r="B518" s="138">
        <v>247589</v>
      </c>
      <c r="C518" s="138">
        <v>512</v>
      </c>
      <c r="D518" s="139">
        <v>46106</v>
      </c>
      <c r="E518" s="139">
        <f t="shared" si="67"/>
        <v>46105</v>
      </c>
      <c r="F518" s="139">
        <f t="shared" si="63"/>
        <v>46116</v>
      </c>
      <c r="G518" s="139">
        <v>46167</v>
      </c>
      <c r="H518" s="139">
        <v>46145</v>
      </c>
      <c r="I518" s="139" t="s">
        <v>123</v>
      </c>
      <c r="J518" s="140" t="s">
        <v>1141</v>
      </c>
      <c r="K518" s="141">
        <f t="shared" si="64"/>
        <v>51</v>
      </c>
      <c r="L518" s="141">
        <v>1209521</v>
      </c>
      <c r="M518" s="140" t="s">
        <v>15</v>
      </c>
      <c r="N518" s="140">
        <v>822463</v>
      </c>
      <c r="O518" s="137" t="s">
        <v>246</v>
      </c>
      <c r="P518" s="143">
        <v>46123</v>
      </c>
      <c r="Q518" s="143">
        <v>46303</v>
      </c>
      <c r="R518" s="185" t="s">
        <v>211</v>
      </c>
      <c r="S518" s="144" t="s">
        <v>125</v>
      </c>
      <c r="T518" s="145">
        <v>1</v>
      </c>
      <c r="U518" s="186" t="s">
        <v>82</v>
      </c>
      <c r="V518" s="146">
        <v>11</v>
      </c>
      <c r="W518" s="146">
        <v>11</v>
      </c>
      <c r="X518" s="147">
        <v>0</v>
      </c>
      <c r="Y518" s="146">
        <v>0</v>
      </c>
      <c r="Z518" s="146">
        <v>24</v>
      </c>
      <c r="AA518" s="146">
        <v>24</v>
      </c>
      <c r="AB518" s="146">
        <v>0</v>
      </c>
      <c r="AC518" s="146">
        <v>0</v>
      </c>
      <c r="AD518" s="146">
        <v>0</v>
      </c>
      <c r="AE518" s="146">
        <v>0</v>
      </c>
      <c r="AF518" s="146">
        <v>0</v>
      </c>
      <c r="AG518" s="146">
        <v>0</v>
      </c>
      <c r="AH518" s="146">
        <v>1</v>
      </c>
      <c r="AI518" s="146">
        <v>1</v>
      </c>
      <c r="AJ518" s="146">
        <v>0</v>
      </c>
      <c r="AK518" s="146">
        <v>0</v>
      </c>
      <c r="AL518" s="146">
        <v>1</v>
      </c>
      <c r="AM518" s="146">
        <v>1</v>
      </c>
      <c r="AN518" s="146">
        <v>2</v>
      </c>
      <c r="AO518" s="146">
        <v>2</v>
      </c>
      <c r="AP518" s="146">
        <v>1</v>
      </c>
      <c r="AQ518" s="146">
        <v>1</v>
      </c>
      <c r="AR518" s="146">
        <v>0</v>
      </c>
      <c r="AS518" s="146">
        <v>0</v>
      </c>
      <c r="AT518" s="146">
        <v>1</v>
      </c>
      <c r="AU518" s="146">
        <v>1</v>
      </c>
      <c r="AV518" s="146">
        <v>0</v>
      </c>
      <c r="AW518" s="146">
        <v>0</v>
      </c>
      <c r="AX518" s="146">
        <f t="shared" si="68"/>
        <v>3432</v>
      </c>
      <c r="AY518" s="146">
        <f>(W518*60)+(Y518*80)+(AA518*38)+(AC518*57)+(AE518*75)+(AG518*155)+(AI518*170)+(AK518*375)+(AM518*590)+(AO518*60)+(AQ518*630)+(AS518*400)+(AU518*350)+(AW518*950)</f>
        <v>3432</v>
      </c>
      <c r="AZ518" s="137" t="s">
        <v>562</v>
      </c>
      <c r="BA518" s="137" t="s">
        <v>562</v>
      </c>
      <c r="BB518" s="137">
        <v>11</v>
      </c>
      <c r="BC518" s="187">
        <v>512</v>
      </c>
      <c r="BD518" s="149"/>
      <c r="BE518" s="145"/>
      <c r="BF518" s="150"/>
      <c r="BG518" s="188">
        <v>46134</v>
      </c>
      <c r="BH518" s="153" t="s">
        <v>15</v>
      </c>
      <c r="BI518" s="153" t="s">
        <v>562</v>
      </c>
      <c r="BK518" s="238"/>
    </row>
    <row r="519" spans="1:63" s="16" customFormat="1" ht="42" hidden="1" customHeight="1" x14ac:dyDescent="0.3">
      <c r="A519" s="26">
        <v>513</v>
      </c>
      <c r="B519" s="138">
        <v>247737</v>
      </c>
      <c r="C519" s="138">
        <v>513</v>
      </c>
      <c r="D519" s="139">
        <v>46107</v>
      </c>
      <c r="E519" s="139">
        <f t="shared" si="67"/>
        <v>46106</v>
      </c>
      <c r="F519" s="139">
        <f t="shared" si="63"/>
        <v>46117</v>
      </c>
      <c r="G519" s="139">
        <v>46168</v>
      </c>
      <c r="H519" s="139">
        <v>46141</v>
      </c>
      <c r="I519" s="139" t="s">
        <v>123</v>
      </c>
      <c r="J519" s="140" t="s">
        <v>1142</v>
      </c>
      <c r="K519" s="141">
        <f t="shared" si="64"/>
        <v>51</v>
      </c>
      <c r="L519" s="141">
        <v>1210284</v>
      </c>
      <c r="M519" s="140" t="s">
        <v>15</v>
      </c>
      <c r="N519" s="140">
        <v>821797</v>
      </c>
      <c r="O519" s="140" t="s">
        <v>246</v>
      </c>
      <c r="P519" s="143">
        <v>46128</v>
      </c>
      <c r="Q519" s="143">
        <v>46193</v>
      </c>
      <c r="R519" s="185" t="s">
        <v>211</v>
      </c>
      <c r="S519" s="144" t="s">
        <v>1051</v>
      </c>
      <c r="T519" s="145">
        <v>1</v>
      </c>
      <c r="U519" s="186" t="s">
        <v>81</v>
      </c>
      <c r="V519" s="146">
        <v>376</v>
      </c>
      <c r="W519" s="146">
        <v>376</v>
      </c>
      <c r="X519" s="147">
        <v>0</v>
      </c>
      <c r="Y519" s="146">
        <v>0</v>
      </c>
      <c r="Z519" s="146">
        <v>0</v>
      </c>
      <c r="AA519" s="146">
        <v>0</v>
      </c>
      <c r="AB519" s="146">
        <v>366</v>
      </c>
      <c r="AC519" s="146">
        <v>366</v>
      </c>
      <c r="AD519" s="146">
        <v>0</v>
      </c>
      <c r="AE519" s="146">
        <v>0</v>
      </c>
      <c r="AF519" s="146">
        <v>0</v>
      </c>
      <c r="AG519" s="146">
        <v>0</v>
      </c>
      <c r="AH519" s="146">
        <v>2</v>
      </c>
      <c r="AI519" s="146">
        <v>2</v>
      </c>
      <c r="AJ519" s="146">
        <v>0</v>
      </c>
      <c r="AK519" s="146">
        <v>0</v>
      </c>
      <c r="AL519" s="146">
        <v>3</v>
      </c>
      <c r="AM519" s="146">
        <v>3</v>
      </c>
      <c r="AN519" s="146">
        <v>0</v>
      </c>
      <c r="AO519" s="146">
        <v>0</v>
      </c>
      <c r="AP519" s="146">
        <v>0</v>
      </c>
      <c r="AQ519" s="146">
        <v>0</v>
      </c>
      <c r="AR519" s="146">
        <v>0</v>
      </c>
      <c r="AS519" s="146">
        <v>0</v>
      </c>
      <c r="AT519" s="146">
        <v>2</v>
      </c>
      <c r="AU519" s="146">
        <v>2</v>
      </c>
      <c r="AV519" s="146">
        <v>0</v>
      </c>
      <c r="AW519" s="146">
        <v>0</v>
      </c>
      <c r="AX519" s="146">
        <f t="shared" si="68"/>
        <v>46232</v>
      </c>
      <c r="AY519" s="146">
        <f>(W519*60)+(Y519*80)+(AA519*38)+(AC519*57)+(AE519*75)+(AG519*155)+(AI519*170)+(AK519*375)+(AM519*590)+(AO519*60)+(AQ519*630)+(AS519*400)+(AU519*350)+(AW519*950)</f>
        <v>46232</v>
      </c>
      <c r="AZ519" s="140" t="s">
        <v>562</v>
      </c>
      <c r="BA519" s="140" t="s">
        <v>562</v>
      </c>
      <c r="BB519" s="137">
        <v>12</v>
      </c>
      <c r="BC519" s="187">
        <v>513</v>
      </c>
      <c r="BD519" s="149"/>
      <c r="BE519" s="145"/>
      <c r="BF519" s="150"/>
      <c r="BG519" s="188">
        <v>46134</v>
      </c>
      <c r="BH519" s="153" t="s">
        <v>15</v>
      </c>
      <c r="BI519" s="153" t="s">
        <v>562</v>
      </c>
      <c r="BK519" s="238"/>
    </row>
    <row r="520" spans="1:63" s="16" customFormat="1" ht="42" hidden="1" customHeight="1" x14ac:dyDescent="0.3">
      <c r="A520" s="26">
        <v>514</v>
      </c>
      <c r="B520" s="138">
        <v>247762</v>
      </c>
      <c r="C520" s="138">
        <v>514</v>
      </c>
      <c r="D520" s="139">
        <v>46110</v>
      </c>
      <c r="E520" s="139">
        <f t="shared" si="67"/>
        <v>46109</v>
      </c>
      <c r="F520" s="139">
        <f t="shared" si="63"/>
        <v>46120</v>
      </c>
      <c r="G520" s="139">
        <v>46200</v>
      </c>
      <c r="H520" s="139">
        <v>46118</v>
      </c>
      <c r="I520" s="139" t="s">
        <v>321</v>
      </c>
      <c r="J520" s="140" t="s">
        <v>1143</v>
      </c>
      <c r="K520" s="141">
        <f t="shared" si="64"/>
        <v>80</v>
      </c>
      <c r="L520" s="141">
        <v>1210714</v>
      </c>
      <c r="M520" s="140" t="s">
        <v>15</v>
      </c>
      <c r="N520" s="140">
        <v>810031</v>
      </c>
      <c r="O520" s="140" t="s">
        <v>246</v>
      </c>
      <c r="P520" s="143">
        <v>46002</v>
      </c>
      <c r="Q520" s="143">
        <v>46177</v>
      </c>
      <c r="R520" s="185" t="s">
        <v>211</v>
      </c>
      <c r="S520" s="144" t="s">
        <v>652</v>
      </c>
      <c r="T520" s="145">
        <v>1</v>
      </c>
      <c r="U520" s="186" t="s">
        <v>81</v>
      </c>
      <c r="V520" s="146">
        <v>185</v>
      </c>
      <c r="W520" s="146">
        <v>185</v>
      </c>
      <c r="X520" s="147">
        <v>0</v>
      </c>
      <c r="Y520" s="146">
        <v>0</v>
      </c>
      <c r="Z520" s="146">
        <v>0</v>
      </c>
      <c r="AA520" s="146">
        <v>0</v>
      </c>
      <c r="AB520" s="146">
        <v>0</v>
      </c>
      <c r="AC520" s="146">
        <v>0</v>
      </c>
      <c r="AD520" s="146">
        <v>0</v>
      </c>
      <c r="AE520" s="146">
        <v>0</v>
      </c>
      <c r="AF520" s="146">
        <v>0</v>
      </c>
      <c r="AG520" s="146">
        <v>0</v>
      </c>
      <c r="AH520" s="146">
        <v>0</v>
      </c>
      <c r="AI520" s="146">
        <v>0</v>
      </c>
      <c r="AJ520" s="146">
        <v>0</v>
      </c>
      <c r="AK520" s="146">
        <v>0</v>
      </c>
      <c r="AL520" s="146">
        <v>0</v>
      </c>
      <c r="AM520" s="146">
        <v>0</v>
      </c>
      <c r="AN520" s="146">
        <v>1</v>
      </c>
      <c r="AO520" s="146">
        <v>1</v>
      </c>
      <c r="AP520" s="146">
        <v>1</v>
      </c>
      <c r="AQ520" s="146">
        <v>1</v>
      </c>
      <c r="AR520" s="146">
        <v>0</v>
      </c>
      <c r="AS520" s="146">
        <v>0</v>
      </c>
      <c r="AT520" s="146">
        <v>0</v>
      </c>
      <c r="AU520" s="146">
        <v>0</v>
      </c>
      <c r="AV520" s="146">
        <v>0</v>
      </c>
      <c r="AW520" s="146">
        <v>0</v>
      </c>
      <c r="AX520" s="146">
        <f t="shared" si="68"/>
        <v>11790</v>
      </c>
      <c r="AY520" s="146">
        <f>(W520*60)+(Y520*80)+(AA520*38)+(AC520*57)+(AE520*75)+(AG520*155)+(AI520*170)+(AK520*375)+(AM520*590)+(AO520*60)+(AQ520*630)+(AS520*400)+(AU520*350)+(AW520*950)</f>
        <v>11790</v>
      </c>
      <c r="AZ520" s="140" t="s">
        <v>562</v>
      </c>
      <c r="BA520" s="140" t="s">
        <v>562</v>
      </c>
      <c r="BB520" s="137">
        <v>10</v>
      </c>
      <c r="BC520" s="187">
        <v>514</v>
      </c>
      <c r="BD520" s="149"/>
      <c r="BE520" s="145"/>
      <c r="BF520" s="150"/>
      <c r="BG520" s="188">
        <v>46111</v>
      </c>
      <c r="BH520" s="153" t="s">
        <v>15</v>
      </c>
      <c r="BI520" s="153" t="s">
        <v>562</v>
      </c>
    </row>
    <row r="521" spans="1:63" s="16" customFormat="1" ht="42" customHeight="1" x14ac:dyDescent="0.3">
      <c r="A521" s="26">
        <v>515</v>
      </c>
      <c r="B521" s="62">
        <v>247837</v>
      </c>
      <c r="C521" s="62">
        <v>515</v>
      </c>
      <c r="D521" s="63">
        <v>46110</v>
      </c>
      <c r="E521" s="63">
        <f t="shared" si="67"/>
        <v>46109</v>
      </c>
      <c r="F521" s="63">
        <f t="shared" si="63"/>
        <v>46120</v>
      </c>
      <c r="G521" s="63">
        <v>46202</v>
      </c>
      <c r="H521" s="63">
        <f ca="1">TODAY()</f>
        <v>46277</v>
      </c>
      <c r="I521" s="63" t="s">
        <v>321</v>
      </c>
      <c r="J521" s="64" t="s">
        <v>1144</v>
      </c>
      <c r="K521" s="65">
        <f t="shared" si="64"/>
        <v>82</v>
      </c>
      <c r="L521" s="65">
        <v>1211106</v>
      </c>
      <c r="M521" s="64" t="s">
        <v>77</v>
      </c>
      <c r="N521" s="64">
        <v>822464</v>
      </c>
      <c r="O521" s="80" t="s">
        <v>246</v>
      </c>
      <c r="P521" s="103">
        <v>46130</v>
      </c>
      <c r="Q521" s="103">
        <v>46310</v>
      </c>
      <c r="R521" s="73" t="s">
        <v>211</v>
      </c>
      <c r="S521" s="66" t="s">
        <v>1146</v>
      </c>
      <c r="T521" s="67">
        <v>1</v>
      </c>
      <c r="U521" s="75" t="s">
        <v>1145</v>
      </c>
      <c r="V521" s="68">
        <v>194</v>
      </c>
      <c r="W521" s="68"/>
      <c r="X521" s="69">
        <v>0</v>
      </c>
      <c r="Y521" s="68">
        <v>0</v>
      </c>
      <c r="Z521" s="68">
        <v>0</v>
      </c>
      <c r="AA521" s="68">
        <v>0</v>
      </c>
      <c r="AB521" s="68">
        <v>0</v>
      </c>
      <c r="AC521" s="68"/>
      <c r="AD521" s="68">
        <v>0</v>
      </c>
      <c r="AE521" s="68">
        <v>0</v>
      </c>
      <c r="AF521" s="68">
        <v>0</v>
      </c>
      <c r="AG521" s="68">
        <v>0</v>
      </c>
      <c r="AH521" s="68">
        <v>0</v>
      </c>
      <c r="AI521" s="68"/>
      <c r="AJ521" s="68">
        <v>0</v>
      </c>
      <c r="AK521" s="68">
        <v>0</v>
      </c>
      <c r="AL521" s="68">
        <v>1</v>
      </c>
      <c r="AM521" s="68"/>
      <c r="AN521" s="68">
        <v>1</v>
      </c>
      <c r="AO521" s="68"/>
      <c r="AP521" s="68">
        <v>1</v>
      </c>
      <c r="AQ521" s="68"/>
      <c r="AR521" s="68">
        <v>0</v>
      </c>
      <c r="AS521" s="68">
        <v>0</v>
      </c>
      <c r="AT521" s="68">
        <v>0</v>
      </c>
      <c r="AU521" s="68"/>
      <c r="AV521" s="68">
        <v>0</v>
      </c>
      <c r="AW521" s="68">
        <v>0</v>
      </c>
      <c r="AX521" s="170">
        <f t="shared" si="68"/>
        <v>12920</v>
      </c>
      <c r="AY521" s="170"/>
      <c r="AZ521" s="64" t="s">
        <v>77</v>
      </c>
      <c r="BA521" s="64" t="s">
        <v>77</v>
      </c>
      <c r="BB521" s="15" t="s">
        <v>77</v>
      </c>
      <c r="BC521" s="74">
        <v>515</v>
      </c>
      <c r="BD521" s="70"/>
      <c r="BE521" s="67"/>
      <c r="BF521" s="71"/>
      <c r="BG521" s="15"/>
      <c r="BH521" s="72" t="s">
        <v>77</v>
      </c>
      <c r="BI521" s="72" t="s">
        <v>77</v>
      </c>
    </row>
    <row r="522" spans="1:63" s="16" customFormat="1" ht="42" customHeight="1" x14ac:dyDescent="0.3">
      <c r="A522" s="26">
        <v>516</v>
      </c>
      <c r="B522" s="90">
        <v>247838</v>
      </c>
      <c r="C522" s="90">
        <v>516</v>
      </c>
      <c r="D522" s="91">
        <v>46111</v>
      </c>
      <c r="E522" s="91">
        <f t="shared" si="67"/>
        <v>46110</v>
      </c>
      <c r="F522" s="91">
        <f t="shared" si="63"/>
        <v>46121</v>
      </c>
      <c r="G522" s="91">
        <v>46201</v>
      </c>
      <c r="H522" s="91">
        <f ca="1">TODAY()</f>
        <v>46277</v>
      </c>
      <c r="I522" s="91" t="s">
        <v>349</v>
      </c>
      <c r="J522" s="92" t="s">
        <v>1147</v>
      </c>
      <c r="K522" s="93">
        <f t="shared" si="64"/>
        <v>80</v>
      </c>
      <c r="L522" s="93">
        <v>1211200</v>
      </c>
      <c r="M522" s="92" t="s">
        <v>212</v>
      </c>
      <c r="N522" s="92">
        <v>822614</v>
      </c>
      <c r="O522" s="89" t="s">
        <v>246</v>
      </c>
      <c r="P522" s="126">
        <v>46130</v>
      </c>
      <c r="Q522" s="126">
        <v>46310</v>
      </c>
      <c r="R522" s="158" t="s">
        <v>211</v>
      </c>
      <c r="S522" s="94" t="s">
        <v>1148</v>
      </c>
      <c r="T522" s="95">
        <v>1</v>
      </c>
      <c r="U522" s="159" t="s">
        <v>1029</v>
      </c>
      <c r="V522" s="96">
        <v>6</v>
      </c>
      <c r="W522" s="96">
        <v>6</v>
      </c>
      <c r="X522" s="97">
        <v>0</v>
      </c>
      <c r="Y522" s="96">
        <v>0</v>
      </c>
      <c r="Z522" s="96">
        <v>0</v>
      </c>
      <c r="AA522" s="96">
        <v>0</v>
      </c>
      <c r="AB522" s="96">
        <v>6</v>
      </c>
      <c r="AC522" s="96">
        <v>6</v>
      </c>
      <c r="AD522" s="96">
        <v>0</v>
      </c>
      <c r="AE522" s="96">
        <v>0</v>
      </c>
      <c r="AF522" s="96">
        <v>0</v>
      </c>
      <c r="AG522" s="96">
        <v>0</v>
      </c>
      <c r="AH522" s="96">
        <v>0</v>
      </c>
      <c r="AI522" s="96">
        <v>0</v>
      </c>
      <c r="AJ522" s="96">
        <v>0</v>
      </c>
      <c r="AK522" s="96">
        <v>0</v>
      </c>
      <c r="AL522" s="96">
        <v>0</v>
      </c>
      <c r="AM522" s="96">
        <v>0</v>
      </c>
      <c r="AN522" s="96">
        <v>1</v>
      </c>
      <c r="AO522" s="96">
        <v>1</v>
      </c>
      <c r="AP522" s="96">
        <v>1</v>
      </c>
      <c r="AQ522" s="96">
        <v>1</v>
      </c>
      <c r="AR522" s="96">
        <v>0</v>
      </c>
      <c r="AS522" s="96">
        <v>0</v>
      </c>
      <c r="AT522" s="96">
        <v>0</v>
      </c>
      <c r="AU522" s="96">
        <v>0</v>
      </c>
      <c r="AV522" s="96">
        <v>0</v>
      </c>
      <c r="AW522" s="96">
        <v>0</v>
      </c>
      <c r="AX522" s="96">
        <f t="shared" si="68"/>
        <v>1392</v>
      </c>
      <c r="AY522" s="96">
        <f>(W522*60)+(Y522*80)+(AA522*38)+(AC522*57)+(AE522*75)+(AG522*155)+(AI522*170)+(AK522*375)+(AM522*590)+(AO522*60)+(AQ522*630)+(AS522*400)+(AU522*350)+(AW522*950)</f>
        <v>1392</v>
      </c>
      <c r="AZ522" s="92" t="s">
        <v>212</v>
      </c>
      <c r="BA522" s="92" t="s">
        <v>212</v>
      </c>
      <c r="BB522" s="89" t="s">
        <v>212</v>
      </c>
      <c r="BC522" s="160">
        <v>516</v>
      </c>
      <c r="BD522" s="100"/>
      <c r="BE522" s="95"/>
      <c r="BF522" s="101"/>
      <c r="BG522" s="254">
        <v>46252</v>
      </c>
      <c r="BH522" s="102" t="s">
        <v>212</v>
      </c>
      <c r="BI522" s="102" t="s">
        <v>1536</v>
      </c>
    </row>
    <row r="523" spans="1:63" s="16" customFormat="1" ht="42" customHeight="1" x14ac:dyDescent="0.3">
      <c r="A523" s="26">
        <v>517</v>
      </c>
      <c r="B523" s="163">
        <v>247871</v>
      </c>
      <c r="C523" s="163">
        <v>517</v>
      </c>
      <c r="D523" s="164">
        <v>46111</v>
      </c>
      <c r="E523" s="164">
        <f t="shared" si="67"/>
        <v>46110</v>
      </c>
      <c r="F523" s="164">
        <f t="shared" ref="F523:F559" si="70">D523+10</f>
        <v>46121</v>
      </c>
      <c r="G523" s="164">
        <v>46201</v>
      </c>
      <c r="H523" s="164">
        <v>46253</v>
      </c>
      <c r="I523" s="164" t="s">
        <v>349</v>
      </c>
      <c r="J523" s="165" t="s">
        <v>1149</v>
      </c>
      <c r="K523" s="166">
        <f t="shared" si="64"/>
        <v>80</v>
      </c>
      <c r="L523" s="166">
        <v>1211340</v>
      </c>
      <c r="M523" s="165" t="s">
        <v>15</v>
      </c>
      <c r="N523" s="165">
        <v>822614</v>
      </c>
      <c r="O523" s="162" t="s">
        <v>246</v>
      </c>
      <c r="P523" s="167">
        <v>46130</v>
      </c>
      <c r="Q523" s="167">
        <v>46310</v>
      </c>
      <c r="R523" s="179" t="s">
        <v>211</v>
      </c>
      <c r="S523" s="168" t="s">
        <v>1150</v>
      </c>
      <c r="T523" s="169">
        <v>1</v>
      </c>
      <c r="U523" s="180" t="s">
        <v>1029</v>
      </c>
      <c r="V523" s="170">
        <v>12</v>
      </c>
      <c r="W523" s="170">
        <v>12</v>
      </c>
      <c r="X523" s="171">
        <v>0</v>
      </c>
      <c r="Y523" s="170">
        <v>0</v>
      </c>
      <c r="Z523" s="170">
        <v>0</v>
      </c>
      <c r="AA523" s="170">
        <v>0</v>
      </c>
      <c r="AB523" s="170">
        <v>12</v>
      </c>
      <c r="AC523" s="170">
        <v>12</v>
      </c>
      <c r="AD523" s="170">
        <v>0</v>
      </c>
      <c r="AE523" s="170">
        <v>0</v>
      </c>
      <c r="AF523" s="170">
        <v>0</v>
      </c>
      <c r="AG523" s="170">
        <v>0</v>
      </c>
      <c r="AH523" s="170">
        <v>0</v>
      </c>
      <c r="AI523" s="170">
        <v>0</v>
      </c>
      <c r="AJ523" s="170">
        <v>0</v>
      </c>
      <c r="AK523" s="170">
        <v>0</v>
      </c>
      <c r="AL523" s="170">
        <v>1</v>
      </c>
      <c r="AM523" s="170">
        <v>1</v>
      </c>
      <c r="AN523" s="170">
        <v>2</v>
      </c>
      <c r="AO523" s="170">
        <v>2</v>
      </c>
      <c r="AP523" s="170">
        <v>2</v>
      </c>
      <c r="AQ523" s="170">
        <v>2</v>
      </c>
      <c r="AR523" s="170">
        <v>0</v>
      </c>
      <c r="AS523" s="170">
        <v>0</v>
      </c>
      <c r="AT523" s="170">
        <v>0</v>
      </c>
      <c r="AU523" s="170">
        <v>0</v>
      </c>
      <c r="AV523" s="170">
        <v>0</v>
      </c>
      <c r="AW523" s="170">
        <v>0</v>
      </c>
      <c r="AX523" s="170">
        <f t="shared" si="68"/>
        <v>3374</v>
      </c>
      <c r="AY523" s="170">
        <f>(W523*60)+(Y523*80)+(AA523*38)+(AC523*57)+(AE523*75)+(AG523*155)+(AI523*170)+(AK523*375)+(AM523*590)+(AO523*60)+(AQ523*630)+(AS523*400)+(AU523*350)+(AW523*950)</f>
        <v>3374</v>
      </c>
      <c r="AZ523" s="165" t="s">
        <v>15</v>
      </c>
      <c r="BA523" s="165" t="s">
        <v>77</v>
      </c>
      <c r="BB523" s="162" t="s">
        <v>77</v>
      </c>
      <c r="BC523" s="181">
        <v>517</v>
      </c>
      <c r="BD523" s="173"/>
      <c r="BE523" s="169"/>
      <c r="BF523" s="174"/>
      <c r="BG523" s="178">
        <v>46253</v>
      </c>
      <c r="BH523" s="175" t="s">
        <v>15</v>
      </c>
      <c r="BI523" s="175" t="s">
        <v>77</v>
      </c>
    </row>
    <row r="524" spans="1:63" s="16" customFormat="1" ht="42" hidden="1" customHeight="1" x14ac:dyDescent="0.3">
      <c r="A524" s="26">
        <v>518</v>
      </c>
      <c r="B524" s="90">
        <v>247916</v>
      </c>
      <c r="C524" s="90">
        <v>518</v>
      </c>
      <c r="D524" s="91">
        <v>46112</v>
      </c>
      <c r="E524" s="91">
        <f t="shared" si="67"/>
        <v>46111</v>
      </c>
      <c r="F524" s="91">
        <f t="shared" si="70"/>
        <v>46122</v>
      </c>
      <c r="G524" s="91">
        <v>46203</v>
      </c>
      <c r="H524" s="91">
        <f ca="1">TODAY()</f>
        <v>46277</v>
      </c>
      <c r="I524" s="91" t="s">
        <v>321</v>
      </c>
      <c r="J524" s="92" t="s">
        <v>1152</v>
      </c>
      <c r="K524" s="93">
        <f t="shared" si="64"/>
        <v>81</v>
      </c>
      <c r="L524" s="93">
        <v>1211715</v>
      </c>
      <c r="M524" s="92" t="s">
        <v>212</v>
      </c>
      <c r="N524" s="92" t="s">
        <v>212</v>
      </c>
      <c r="O524" s="89" t="s">
        <v>212</v>
      </c>
      <c r="P524" s="126" t="s">
        <v>212</v>
      </c>
      <c r="Q524" s="126" t="s">
        <v>212</v>
      </c>
      <c r="R524" s="158" t="s">
        <v>211</v>
      </c>
      <c r="S524" s="94" t="s">
        <v>1153</v>
      </c>
      <c r="T524" s="95">
        <v>1</v>
      </c>
      <c r="U524" s="159" t="s">
        <v>106</v>
      </c>
      <c r="V524" s="96">
        <v>33</v>
      </c>
      <c r="W524" s="96"/>
      <c r="X524" s="97">
        <v>0</v>
      </c>
      <c r="Y524" s="96">
        <v>0</v>
      </c>
      <c r="Z524" s="96">
        <v>0</v>
      </c>
      <c r="AA524" s="96">
        <v>0</v>
      </c>
      <c r="AB524" s="96">
        <v>1</v>
      </c>
      <c r="AC524" s="96"/>
      <c r="AD524" s="96">
        <v>0</v>
      </c>
      <c r="AE524" s="96">
        <v>0</v>
      </c>
      <c r="AF524" s="96">
        <v>0</v>
      </c>
      <c r="AG524" s="96">
        <v>0</v>
      </c>
      <c r="AH524" s="96">
        <v>1</v>
      </c>
      <c r="AI524" s="96"/>
      <c r="AJ524" s="96">
        <v>0</v>
      </c>
      <c r="AK524" s="96">
        <v>0</v>
      </c>
      <c r="AL524" s="96">
        <v>1</v>
      </c>
      <c r="AM524" s="96"/>
      <c r="AN524" s="96">
        <v>1</v>
      </c>
      <c r="AO524" s="96"/>
      <c r="AP524" s="96">
        <v>1</v>
      </c>
      <c r="AQ524" s="96"/>
      <c r="AR524" s="96">
        <v>0</v>
      </c>
      <c r="AS524" s="96">
        <v>0</v>
      </c>
      <c r="AT524" s="96">
        <v>1</v>
      </c>
      <c r="AU524" s="96"/>
      <c r="AV524" s="96">
        <v>0</v>
      </c>
      <c r="AW524" s="96">
        <v>0</v>
      </c>
      <c r="AX524" s="96">
        <f t="shared" si="68"/>
        <v>3837</v>
      </c>
      <c r="AY524" s="96"/>
      <c r="AZ524" s="92" t="s">
        <v>212</v>
      </c>
      <c r="BA524" s="92" t="s">
        <v>212</v>
      </c>
      <c r="BB524" s="89" t="s">
        <v>212</v>
      </c>
      <c r="BC524" s="160">
        <v>518</v>
      </c>
      <c r="BD524" s="100"/>
      <c r="BE524" s="95"/>
      <c r="BF524" s="101"/>
      <c r="BG524" s="89"/>
      <c r="BH524" s="102" t="s">
        <v>212</v>
      </c>
      <c r="BI524" s="102" t="s">
        <v>212</v>
      </c>
    </row>
    <row r="525" spans="1:63" s="16" customFormat="1" ht="42" hidden="1" customHeight="1" x14ac:dyDescent="0.3">
      <c r="A525" s="26">
        <v>519</v>
      </c>
      <c r="B525" s="138">
        <v>247969</v>
      </c>
      <c r="C525" s="138">
        <v>519</v>
      </c>
      <c r="D525" s="139">
        <v>46112</v>
      </c>
      <c r="E525" s="139">
        <f t="shared" si="67"/>
        <v>46111</v>
      </c>
      <c r="F525" s="139">
        <f t="shared" si="70"/>
        <v>46122</v>
      </c>
      <c r="G525" s="139">
        <v>46173</v>
      </c>
      <c r="H525" s="139">
        <v>46152</v>
      </c>
      <c r="I525" s="139" t="s">
        <v>123</v>
      </c>
      <c r="J525" s="140" t="s">
        <v>1154</v>
      </c>
      <c r="K525" s="141">
        <f t="shared" si="64"/>
        <v>51</v>
      </c>
      <c r="L525" s="141">
        <v>1211918</v>
      </c>
      <c r="M525" s="140" t="s">
        <v>15</v>
      </c>
      <c r="N525" s="140">
        <v>823136</v>
      </c>
      <c r="O525" s="140" t="s">
        <v>246</v>
      </c>
      <c r="P525" s="143">
        <v>46130</v>
      </c>
      <c r="Q525" s="143">
        <v>46310</v>
      </c>
      <c r="R525" s="185" t="s">
        <v>211</v>
      </c>
      <c r="S525" s="144" t="s">
        <v>1155</v>
      </c>
      <c r="T525" s="145">
        <v>1</v>
      </c>
      <c r="U525" s="186" t="s">
        <v>569</v>
      </c>
      <c r="V525" s="146">
        <v>95</v>
      </c>
      <c r="W525" s="146">
        <v>95</v>
      </c>
      <c r="X525" s="147">
        <v>0</v>
      </c>
      <c r="Y525" s="146">
        <v>0</v>
      </c>
      <c r="Z525" s="146">
        <v>44</v>
      </c>
      <c r="AA525" s="146">
        <v>44</v>
      </c>
      <c r="AB525" s="146">
        <v>0</v>
      </c>
      <c r="AC525" s="146">
        <v>0</v>
      </c>
      <c r="AD525" s="146">
        <v>0</v>
      </c>
      <c r="AE525" s="146">
        <v>0</v>
      </c>
      <c r="AF525" s="146">
        <v>0</v>
      </c>
      <c r="AG525" s="146">
        <v>0</v>
      </c>
      <c r="AH525" s="146">
        <v>1</v>
      </c>
      <c r="AI525" s="146">
        <v>1</v>
      </c>
      <c r="AJ525" s="146">
        <v>0</v>
      </c>
      <c r="AK525" s="146">
        <v>0</v>
      </c>
      <c r="AL525" s="146">
        <v>2</v>
      </c>
      <c r="AM525" s="146">
        <v>2</v>
      </c>
      <c r="AN525" s="146">
        <v>2</v>
      </c>
      <c r="AO525" s="146">
        <v>2</v>
      </c>
      <c r="AP525" s="146">
        <v>2</v>
      </c>
      <c r="AQ525" s="146">
        <v>2</v>
      </c>
      <c r="AR525" s="146">
        <v>0</v>
      </c>
      <c r="AS525" s="146">
        <v>0</v>
      </c>
      <c r="AT525" s="146">
        <v>1</v>
      </c>
      <c r="AU525" s="146">
        <v>1</v>
      </c>
      <c r="AV525" s="146">
        <v>0</v>
      </c>
      <c r="AW525" s="146">
        <v>0</v>
      </c>
      <c r="AX525" s="146">
        <f t="shared" si="68"/>
        <v>10452</v>
      </c>
      <c r="AY525" s="146">
        <f>(W525*60)+(Y525*80)+(AA525*38)+(AC525*57)+(AE525*75)+(AG525*155)+(AI525*170)+(AK525*375)+(AM525*590)+(AO525*60)+(AQ525*630)+(AS525*400)+(AU525*350)+(AW525*950)</f>
        <v>10452</v>
      </c>
      <c r="AZ525" s="137" t="s">
        <v>562</v>
      </c>
      <c r="BA525" s="137" t="s">
        <v>562</v>
      </c>
      <c r="BB525" s="137">
        <v>11</v>
      </c>
      <c r="BC525" s="187">
        <v>519</v>
      </c>
      <c r="BD525" s="149"/>
      <c r="BE525" s="145"/>
      <c r="BF525" s="150"/>
      <c r="BG525" s="188">
        <v>46148</v>
      </c>
      <c r="BH525" s="153" t="s">
        <v>15</v>
      </c>
      <c r="BI525" s="153" t="s">
        <v>562</v>
      </c>
      <c r="BK525" s="238"/>
    </row>
    <row r="526" spans="1:63" s="16" customFormat="1" ht="42" customHeight="1" x14ac:dyDescent="0.3">
      <c r="A526" s="26">
        <v>520</v>
      </c>
      <c r="B526" s="77">
        <v>248036</v>
      </c>
      <c r="C526" s="77">
        <v>520</v>
      </c>
      <c r="D526" s="78">
        <v>46113</v>
      </c>
      <c r="E526" s="78">
        <f t="shared" si="67"/>
        <v>46112</v>
      </c>
      <c r="F526" s="78">
        <f t="shared" si="70"/>
        <v>46123</v>
      </c>
      <c r="G526" s="78">
        <v>46204</v>
      </c>
      <c r="H526" s="78">
        <f t="shared" ref="H526:H531" ca="1" si="71">TODAY()</f>
        <v>46277</v>
      </c>
      <c r="I526" s="78" t="s">
        <v>321</v>
      </c>
      <c r="J526" s="79" t="s">
        <v>1156</v>
      </c>
      <c r="K526" s="76">
        <f t="shared" si="64"/>
        <v>81</v>
      </c>
      <c r="L526" s="76">
        <v>1212424</v>
      </c>
      <c r="M526" s="79" t="s">
        <v>210</v>
      </c>
      <c r="N526" s="79">
        <v>837395</v>
      </c>
      <c r="O526" s="79" t="s">
        <v>246</v>
      </c>
      <c r="P526" s="104">
        <v>46250</v>
      </c>
      <c r="Q526" s="104">
        <v>46424</v>
      </c>
      <c r="R526" s="194" t="s">
        <v>211</v>
      </c>
      <c r="S526" s="81" t="s">
        <v>775</v>
      </c>
      <c r="T526" s="82">
        <v>1</v>
      </c>
      <c r="U526" s="195" t="s">
        <v>81</v>
      </c>
      <c r="V526" s="83">
        <v>64</v>
      </c>
      <c r="W526" s="83">
        <v>64</v>
      </c>
      <c r="X526" s="84">
        <v>0</v>
      </c>
      <c r="Y526" s="83">
        <v>0</v>
      </c>
      <c r="Z526" s="83">
        <v>0</v>
      </c>
      <c r="AA526" s="83">
        <v>0</v>
      </c>
      <c r="AB526" s="83">
        <v>18</v>
      </c>
      <c r="AC526" s="83">
        <v>18</v>
      </c>
      <c r="AD526" s="83">
        <v>0</v>
      </c>
      <c r="AE526" s="83">
        <v>0</v>
      </c>
      <c r="AF526" s="83">
        <v>0</v>
      </c>
      <c r="AG526" s="83">
        <v>0</v>
      </c>
      <c r="AH526" s="83">
        <v>0</v>
      </c>
      <c r="AI526" s="83"/>
      <c r="AJ526" s="83">
        <v>0</v>
      </c>
      <c r="AK526" s="83">
        <v>0</v>
      </c>
      <c r="AL526" s="83">
        <v>0</v>
      </c>
      <c r="AM526" s="83">
        <v>0</v>
      </c>
      <c r="AN526" s="83">
        <v>1</v>
      </c>
      <c r="AO526" s="83">
        <v>1</v>
      </c>
      <c r="AP526" s="83">
        <v>1</v>
      </c>
      <c r="AQ526" s="83">
        <v>1</v>
      </c>
      <c r="AR526" s="83">
        <v>0</v>
      </c>
      <c r="AS526" s="83">
        <v>0</v>
      </c>
      <c r="AT526" s="83">
        <v>0</v>
      </c>
      <c r="AU526" s="83">
        <v>0</v>
      </c>
      <c r="AV526" s="83">
        <v>0</v>
      </c>
      <c r="AW526" s="83">
        <v>0</v>
      </c>
      <c r="AX526" s="83">
        <f t="shared" si="68"/>
        <v>5556</v>
      </c>
      <c r="AY526" s="83">
        <f t="shared" si="68"/>
        <v>5556</v>
      </c>
      <c r="AZ526" s="79" t="s">
        <v>210</v>
      </c>
      <c r="BA526" s="79" t="s">
        <v>77</v>
      </c>
      <c r="BB526" s="80" t="s">
        <v>77</v>
      </c>
      <c r="BC526" s="196">
        <v>520</v>
      </c>
      <c r="BD526" s="85"/>
      <c r="BE526" s="82"/>
      <c r="BF526" s="86"/>
      <c r="BG526" s="237">
        <v>46274</v>
      </c>
      <c r="BH526" s="87" t="s">
        <v>77</v>
      </c>
      <c r="BI526" s="87" t="s">
        <v>77</v>
      </c>
    </row>
    <row r="527" spans="1:63" s="16" customFormat="1" ht="42" customHeight="1" x14ac:dyDescent="0.3">
      <c r="A527" s="26">
        <v>521</v>
      </c>
      <c r="B527" s="62">
        <v>248108</v>
      </c>
      <c r="C527" s="62">
        <v>521</v>
      </c>
      <c r="D527" s="63">
        <v>46114</v>
      </c>
      <c r="E527" s="63">
        <f t="shared" si="67"/>
        <v>46113</v>
      </c>
      <c r="F527" s="63">
        <f t="shared" si="70"/>
        <v>46124</v>
      </c>
      <c r="G527" s="63">
        <v>46205</v>
      </c>
      <c r="H527" s="63">
        <f t="shared" ca="1" si="71"/>
        <v>46277</v>
      </c>
      <c r="I527" s="63" t="s">
        <v>321</v>
      </c>
      <c r="J527" s="64" t="s">
        <v>1159</v>
      </c>
      <c r="K527" s="65">
        <f t="shared" si="64"/>
        <v>81</v>
      </c>
      <c r="L527" s="65">
        <v>1212898</v>
      </c>
      <c r="M527" s="64" t="s">
        <v>77</v>
      </c>
      <c r="N527" s="64">
        <v>837448</v>
      </c>
      <c r="O527" s="80" t="s">
        <v>246</v>
      </c>
      <c r="P527" s="103">
        <v>46253</v>
      </c>
      <c r="Q527" s="103">
        <v>46298</v>
      </c>
      <c r="R527" s="73" t="s">
        <v>211</v>
      </c>
      <c r="S527" s="66" t="s">
        <v>159</v>
      </c>
      <c r="T527" s="67">
        <v>1</v>
      </c>
      <c r="U527" s="75" t="s">
        <v>840</v>
      </c>
      <c r="V527" s="68">
        <v>53</v>
      </c>
      <c r="W527" s="68"/>
      <c r="X527" s="69">
        <v>0</v>
      </c>
      <c r="Y527" s="68">
        <v>0</v>
      </c>
      <c r="Z527" s="68">
        <v>0</v>
      </c>
      <c r="AA527" s="68">
        <v>0</v>
      </c>
      <c r="AB527" s="68">
        <v>0</v>
      </c>
      <c r="AC527" s="68"/>
      <c r="AD527" s="68">
        <v>0</v>
      </c>
      <c r="AE527" s="68">
        <v>0</v>
      </c>
      <c r="AF527" s="68">
        <v>0</v>
      </c>
      <c r="AG527" s="68">
        <v>0</v>
      </c>
      <c r="AH527" s="68">
        <v>0</v>
      </c>
      <c r="AI527" s="68"/>
      <c r="AJ527" s="68">
        <v>0</v>
      </c>
      <c r="AK527" s="68">
        <v>0</v>
      </c>
      <c r="AL527" s="68">
        <v>1</v>
      </c>
      <c r="AM527" s="68"/>
      <c r="AN527" s="68">
        <v>1</v>
      </c>
      <c r="AO527" s="68"/>
      <c r="AP527" s="68">
        <v>1</v>
      </c>
      <c r="AQ527" s="68"/>
      <c r="AR527" s="68">
        <v>0</v>
      </c>
      <c r="AS527" s="68">
        <v>0</v>
      </c>
      <c r="AT527" s="68">
        <v>0</v>
      </c>
      <c r="AU527" s="68"/>
      <c r="AV527" s="68">
        <v>0</v>
      </c>
      <c r="AW527" s="68">
        <v>0</v>
      </c>
      <c r="AX527" s="170">
        <f t="shared" si="68"/>
        <v>4460</v>
      </c>
      <c r="AY527" s="170"/>
      <c r="AZ527" s="64" t="s">
        <v>77</v>
      </c>
      <c r="BA527" s="64" t="s">
        <v>77</v>
      </c>
      <c r="BB527" s="15" t="s">
        <v>77</v>
      </c>
      <c r="BC527" s="74">
        <v>521</v>
      </c>
      <c r="BD527" s="70"/>
      <c r="BE527" s="67"/>
      <c r="BF527" s="71"/>
      <c r="BG527" s="15"/>
      <c r="BH527" s="72" t="s">
        <v>77</v>
      </c>
      <c r="BI527" s="72" t="s">
        <v>77</v>
      </c>
    </row>
    <row r="528" spans="1:63" s="16" customFormat="1" ht="42" customHeight="1" x14ac:dyDescent="0.3">
      <c r="A528" s="26">
        <v>522</v>
      </c>
      <c r="B528" s="62">
        <v>248183</v>
      </c>
      <c r="C528" s="62">
        <v>522</v>
      </c>
      <c r="D528" s="63">
        <v>46117</v>
      </c>
      <c r="E528" s="63">
        <f t="shared" si="67"/>
        <v>46116</v>
      </c>
      <c r="F528" s="63">
        <f t="shared" si="70"/>
        <v>46127</v>
      </c>
      <c r="G528" s="63">
        <v>46208</v>
      </c>
      <c r="H528" s="63">
        <f t="shared" ca="1" si="71"/>
        <v>46277</v>
      </c>
      <c r="I528" s="63" t="s">
        <v>321</v>
      </c>
      <c r="J528" s="64" t="s">
        <v>1161</v>
      </c>
      <c r="K528" s="65">
        <f t="shared" si="64"/>
        <v>81</v>
      </c>
      <c r="L528" s="65">
        <v>1213607</v>
      </c>
      <c r="M528" s="64" t="s">
        <v>77</v>
      </c>
      <c r="N528" s="64">
        <v>837397</v>
      </c>
      <c r="O528" s="80" t="s">
        <v>246</v>
      </c>
      <c r="P528" s="103">
        <v>46259</v>
      </c>
      <c r="Q528" s="103">
        <v>46429</v>
      </c>
      <c r="R528" s="73" t="s">
        <v>211</v>
      </c>
      <c r="S528" s="66" t="s">
        <v>1162</v>
      </c>
      <c r="T528" s="67">
        <v>1</v>
      </c>
      <c r="U528" s="75" t="s">
        <v>82</v>
      </c>
      <c r="V528" s="68">
        <v>12</v>
      </c>
      <c r="W528" s="68"/>
      <c r="X528" s="69">
        <v>0</v>
      </c>
      <c r="Y528" s="68">
        <v>0</v>
      </c>
      <c r="Z528" s="68">
        <v>0</v>
      </c>
      <c r="AA528" s="68">
        <v>0</v>
      </c>
      <c r="AB528" s="68">
        <v>0</v>
      </c>
      <c r="AC528" s="68"/>
      <c r="AD528" s="68">
        <v>0</v>
      </c>
      <c r="AE528" s="68">
        <v>0</v>
      </c>
      <c r="AF528" s="68">
        <v>0</v>
      </c>
      <c r="AG528" s="68">
        <v>0</v>
      </c>
      <c r="AH528" s="68">
        <v>0</v>
      </c>
      <c r="AI528" s="68"/>
      <c r="AJ528" s="68">
        <v>0</v>
      </c>
      <c r="AK528" s="68">
        <v>0</v>
      </c>
      <c r="AL528" s="68">
        <v>1</v>
      </c>
      <c r="AM528" s="68"/>
      <c r="AN528" s="68">
        <v>1</v>
      </c>
      <c r="AO528" s="68"/>
      <c r="AP528" s="68">
        <v>1</v>
      </c>
      <c r="AQ528" s="68"/>
      <c r="AR528" s="68">
        <v>0</v>
      </c>
      <c r="AS528" s="68">
        <v>0</v>
      </c>
      <c r="AT528" s="68">
        <v>0</v>
      </c>
      <c r="AU528" s="68"/>
      <c r="AV528" s="68">
        <v>0</v>
      </c>
      <c r="AW528" s="68">
        <v>0</v>
      </c>
      <c r="AX528" s="170">
        <f t="shared" si="68"/>
        <v>2000</v>
      </c>
      <c r="AY528" s="170"/>
      <c r="AZ528" s="64" t="s">
        <v>77</v>
      </c>
      <c r="BA528" s="64" t="s">
        <v>77</v>
      </c>
      <c r="BB528" s="15" t="s">
        <v>77</v>
      </c>
      <c r="BC528" s="74">
        <v>522</v>
      </c>
      <c r="BD528" s="70"/>
      <c r="BE528" s="67"/>
      <c r="BF528" s="71"/>
      <c r="BG528" s="15"/>
      <c r="BH528" s="72" t="s">
        <v>77</v>
      </c>
      <c r="BI528" s="72" t="s">
        <v>77</v>
      </c>
    </row>
    <row r="529" spans="1:63" s="16" customFormat="1" ht="42" customHeight="1" x14ac:dyDescent="0.3">
      <c r="A529" s="26">
        <v>523</v>
      </c>
      <c r="B529" s="62">
        <v>248303</v>
      </c>
      <c r="C529" s="62">
        <v>523</v>
      </c>
      <c r="D529" s="63">
        <v>46119</v>
      </c>
      <c r="E529" s="63">
        <f t="shared" si="67"/>
        <v>46118</v>
      </c>
      <c r="F529" s="63">
        <f t="shared" si="70"/>
        <v>46129</v>
      </c>
      <c r="G529" s="63">
        <v>46210</v>
      </c>
      <c r="H529" s="63">
        <f t="shared" ca="1" si="71"/>
        <v>46277</v>
      </c>
      <c r="I529" s="63" t="s">
        <v>321</v>
      </c>
      <c r="J529" s="64" t="s">
        <v>1163</v>
      </c>
      <c r="K529" s="65">
        <f t="shared" si="64"/>
        <v>81</v>
      </c>
      <c r="L529" s="65">
        <v>1214338</v>
      </c>
      <c r="M529" s="64" t="s">
        <v>77</v>
      </c>
      <c r="N529" s="64">
        <v>823452</v>
      </c>
      <c r="O529" s="79" t="s">
        <v>246</v>
      </c>
      <c r="P529" s="103">
        <v>46135</v>
      </c>
      <c r="Q529" s="103">
        <v>46317</v>
      </c>
      <c r="R529" s="73" t="s">
        <v>211</v>
      </c>
      <c r="S529" s="66" t="s">
        <v>1164</v>
      </c>
      <c r="T529" s="67">
        <v>1</v>
      </c>
      <c r="U529" s="75" t="s">
        <v>1029</v>
      </c>
      <c r="V529" s="68">
        <v>98</v>
      </c>
      <c r="W529" s="68"/>
      <c r="X529" s="69">
        <v>0</v>
      </c>
      <c r="Y529" s="68">
        <v>0</v>
      </c>
      <c r="Z529" s="68">
        <v>0</v>
      </c>
      <c r="AA529" s="68">
        <v>0</v>
      </c>
      <c r="AB529" s="68">
        <v>0</v>
      </c>
      <c r="AC529" s="68"/>
      <c r="AD529" s="68">
        <v>0</v>
      </c>
      <c r="AE529" s="68">
        <v>0</v>
      </c>
      <c r="AF529" s="68">
        <v>0</v>
      </c>
      <c r="AG529" s="68">
        <v>0</v>
      </c>
      <c r="AH529" s="68">
        <v>0</v>
      </c>
      <c r="AI529" s="68"/>
      <c r="AJ529" s="68">
        <v>0</v>
      </c>
      <c r="AK529" s="68">
        <v>0</v>
      </c>
      <c r="AL529" s="68">
        <v>1</v>
      </c>
      <c r="AM529" s="68"/>
      <c r="AN529" s="68">
        <v>1</v>
      </c>
      <c r="AO529" s="68"/>
      <c r="AP529" s="68">
        <v>1</v>
      </c>
      <c r="AQ529" s="68"/>
      <c r="AR529" s="68">
        <v>0</v>
      </c>
      <c r="AS529" s="68">
        <v>0</v>
      </c>
      <c r="AT529" s="68">
        <v>0</v>
      </c>
      <c r="AU529" s="68"/>
      <c r="AV529" s="68">
        <v>0</v>
      </c>
      <c r="AW529" s="68">
        <v>0</v>
      </c>
      <c r="AX529" s="170">
        <f t="shared" si="68"/>
        <v>7160</v>
      </c>
      <c r="AY529" s="170"/>
      <c r="AZ529" s="64" t="s">
        <v>77</v>
      </c>
      <c r="BA529" s="64" t="s">
        <v>77</v>
      </c>
      <c r="BB529" s="15" t="s">
        <v>77</v>
      </c>
      <c r="BC529" s="74">
        <v>523</v>
      </c>
      <c r="BD529" s="70"/>
      <c r="BE529" s="67"/>
      <c r="BF529" s="71"/>
      <c r="BG529" s="15"/>
      <c r="BH529" s="72" t="s">
        <v>77</v>
      </c>
      <c r="BI529" s="72" t="s">
        <v>77</v>
      </c>
    </row>
    <row r="530" spans="1:63" s="16" customFormat="1" ht="42" customHeight="1" x14ac:dyDescent="0.3">
      <c r="A530" s="26">
        <v>524</v>
      </c>
      <c r="B530" s="62">
        <v>248306</v>
      </c>
      <c r="C530" s="62">
        <v>524</v>
      </c>
      <c r="D530" s="63">
        <v>46119</v>
      </c>
      <c r="E530" s="63">
        <f t="shared" si="67"/>
        <v>46118</v>
      </c>
      <c r="F530" s="63">
        <f t="shared" si="70"/>
        <v>46129</v>
      </c>
      <c r="G530" s="63">
        <v>46210</v>
      </c>
      <c r="H530" s="63">
        <f t="shared" ca="1" si="71"/>
        <v>46277</v>
      </c>
      <c r="I530" s="63" t="s">
        <v>321</v>
      </c>
      <c r="J530" s="64" t="s">
        <v>1165</v>
      </c>
      <c r="K530" s="65">
        <f t="shared" si="64"/>
        <v>81</v>
      </c>
      <c r="L530" s="65">
        <v>1214349</v>
      </c>
      <c r="M530" s="64" t="s">
        <v>77</v>
      </c>
      <c r="N530" s="64">
        <v>837398</v>
      </c>
      <c r="O530" s="80" t="s">
        <v>246</v>
      </c>
      <c r="P530" s="103">
        <v>46258</v>
      </c>
      <c r="Q530" s="103">
        <v>46431</v>
      </c>
      <c r="R530" s="73" t="s">
        <v>211</v>
      </c>
      <c r="S530" s="66" t="s">
        <v>1166</v>
      </c>
      <c r="T530" s="67">
        <v>1</v>
      </c>
      <c r="U530" s="75" t="s">
        <v>166</v>
      </c>
      <c r="V530" s="68">
        <v>65</v>
      </c>
      <c r="W530" s="68"/>
      <c r="X530" s="69">
        <v>0</v>
      </c>
      <c r="Y530" s="68">
        <v>0</v>
      </c>
      <c r="Z530" s="68">
        <v>0</v>
      </c>
      <c r="AA530" s="68">
        <v>0</v>
      </c>
      <c r="AB530" s="68">
        <v>0</v>
      </c>
      <c r="AC530" s="68"/>
      <c r="AD530" s="68">
        <v>0</v>
      </c>
      <c r="AE530" s="68">
        <v>0</v>
      </c>
      <c r="AF530" s="68">
        <v>0</v>
      </c>
      <c r="AG530" s="68">
        <v>0</v>
      </c>
      <c r="AH530" s="68">
        <v>0</v>
      </c>
      <c r="AI530" s="68"/>
      <c r="AJ530" s="68">
        <v>0</v>
      </c>
      <c r="AK530" s="68">
        <v>0</v>
      </c>
      <c r="AL530" s="68">
        <v>1</v>
      </c>
      <c r="AM530" s="68"/>
      <c r="AN530" s="68">
        <v>1</v>
      </c>
      <c r="AO530" s="68"/>
      <c r="AP530" s="68">
        <v>1</v>
      </c>
      <c r="AQ530" s="68"/>
      <c r="AR530" s="68">
        <v>0</v>
      </c>
      <c r="AS530" s="68">
        <v>0</v>
      </c>
      <c r="AT530" s="68">
        <v>0</v>
      </c>
      <c r="AU530" s="68"/>
      <c r="AV530" s="68">
        <v>0</v>
      </c>
      <c r="AW530" s="68">
        <v>0</v>
      </c>
      <c r="AX530" s="170">
        <f t="shared" si="68"/>
        <v>5180</v>
      </c>
      <c r="AY530" s="170"/>
      <c r="AZ530" s="64" t="s">
        <v>77</v>
      </c>
      <c r="BA530" s="64" t="s">
        <v>77</v>
      </c>
      <c r="BB530" s="15" t="s">
        <v>77</v>
      </c>
      <c r="BC530" s="74">
        <v>524</v>
      </c>
      <c r="BD530" s="70"/>
      <c r="BE530" s="67"/>
      <c r="BF530" s="71"/>
      <c r="BG530" s="15"/>
      <c r="BH530" s="72" t="s">
        <v>77</v>
      </c>
      <c r="BI530" s="72" t="s">
        <v>77</v>
      </c>
    </row>
    <row r="531" spans="1:63" s="16" customFormat="1" ht="42" customHeight="1" x14ac:dyDescent="0.3">
      <c r="A531" s="26">
        <v>525</v>
      </c>
      <c r="B531" s="62">
        <v>248317</v>
      </c>
      <c r="C531" s="62">
        <v>525</v>
      </c>
      <c r="D531" s="63">
        <v>46119</v>
      </c>
      <c r="E531" s="63">
        <f t="shared" si="67"/>
        <v>46118</v>
      </c>
      <c r="F531" s="63">
        <f t="shared" si="70"/>
        <v>46129</v>
      </c>
      <c r="G531" s="63">
        <v>46210</v>
      </c>
      <c r="H531" s="63">
        <f t="shared" ca="1" si="71"/>
        <v>46277</v>
      </c>
      <c r="I531" s="63" t="s">
        <v>321</v>
      </c>
      <c r="J531" s="64" t="s">
        <v>1167</v>
      </c>
      <c r="K531" s="65">
        <f t="shared" si="64"/>
        <v>81</v>
      </c>
      <c r="L531" s="65">
        <v>1214376</v>
      </c>
      <c r="M531" s="64" t="s">
        <v>77</v>
      </c>
      <c r="N531" s="64">
        <v>839314</v>
      </c>
      <c r="O531" s="80" t="s">
        <v>246</v>
      </c>
      <c r="P531" s="103">
        <v>46266</v>
      </c>
      <c r="Q531" s="103" t="s">
        <v>77</v>
      </c>
      <c r="R531" s="73" t="s">
        <v>211</v>
      </c>
      <c r="S531" s="66" t="s">
        <v>1168</v>
      </c>
      <c r="T531" s="67">
        <v>1</v>
      </c>
      <c r="U531" s="75" t="s">
        <v>598</v>
      </c>
      <c r="V531" s="68">
        <v>34</v>
      </c>
      <c r="W531" s="68"/>
      <c r="X531" s="69">
        <v>0</v>
      </c>
      <c r="Y531" s="68">
        <v>0</v>
      </c>
      <c r="Z531" s="68">
        <v>0</v>
      </c>
      <c r="AA531" s="68">
        <v>0</v>
      </c>
      <c r="AB531" s="68">
        <v>0</v>
      </c>
      <c r="AC531" s="68"/>
      <c r="AD531" s="68">
        <v>0</v>
      </c>
      <c r="AE531" s="68">
        <v>0</v>
      </c>
      <c r="AF531" s="68">
        <v>0</v>
      </c>
      <c r="AG531" s="68">
        <v>0</v>
      </c>
      <c r="AH531" s="68">
        <v>0</v>
      </c>
      <c r="AI531" s="68"/>
      <c r="AJ531" s="68">
        <v>0</v>
      </c>
      <c r="AK531" s="68">
        <v>0</v>
      </c>
      <c r="AL531" s="68">
        <v>1</v>
      </c>
      <c r="AM531" s="68"/>
      <c r="AN531" s="68">
        <v>1</v>
      </c>
      <c r="AO531" s="68"/>
      <c r="AP531" s="68">
        <v>1</v>
      </c>
      <c r="AQ531" s="68"/>
      <c r="AR531" s="68">
        <v>0</v>
      </c>
      <c r="AS531" s="68">
        <v>0</v>
      </c>
      <c r="AT531" s="68">
        <v>0</v>
      </c>
      <c r="AU531" s="68"/>
      <c r="AV531" s="68">
        <v>0</v>
      </c>
      <c r="AW531" s="68">
        <v>0</v>
      </c>
      <c r="AX531" s="170">
        <f t="shared" si="68"/>
        <v>3320</v>
      </c>
      <c r="AY531" s="170"/>
      <c r="AZ531" s="64" t="s">
        <v>77</v>
      </c>
      <c r="BA531" s="64" t="s">
        <v>77</v>
      </c>
      <c r="BB531" s="15" t="s">
        <v>77</v>
      </c>
      <c r="BC531" s="74">
        <v>525</v>
      </c>
      <c r="BD531" s="70"/>
      <c r="BE531" s="67"/>
      <c r="BF531" s="71"/>
      <c r="BG531" s="15"/>
      <c r="BH531" s="72" t="s">
        <v>77</v>
      </c>
      <c r="BI531" s="72" t="s">
        <v>77</v>
      </c>
    </row>
    <row r="532" spans="1:63" s="16" customFormat="1" ht="42" customHeight="1" x14ac:dyDescent="0.3">
      <c r="A532" s="26">
        <v>526</v>
      </c>
      <c r="B532" s="163">
        <v>248324</v>
      </c>
      <c r="C532" s="163">
        <v>526</v>
      </c>
      <c r="D532" s="164">
        <v>46119</v>
      </c>
      <c r="E532" s="164">
        <f t="shared" si="67"/>
        <v>46118</v>
      </c>
      <c r="F532" s="164">
        <f t="shared" si="70"/>
        <v>46129</v>
      </c>
      <c r="G532" s="164">
        <v>46210</v>
      </c>
      <c r="H532" s="164">
        <v>46228</v>
      </c>
      <c r="I532" s="164" t="s">
        <v>321</v>
      </c>
      <c r="J532" s="165" t="s">
        <v>1169</v>
      </c>
      <c r="K532" s="166">
        <f t="shared" si="64"/>
        <v>81</v>
      </c>
      <c r="L532" s="166">
        <v>1214401</v>
      </c>
      <c r="M532" s="165" t="s">
        <v>15</v>
      </c>
      <c r="N532" s="165">
        <v>823452</v>
      </c>
      <c r="O532" s="165" t="s">
        <v>246</v>
      </c>
      <c r="P532" s="167">
        <v>46135</v>
      </c>
      <c r="Q532" s="167">
        <v>46317</v>
      </c>
      <c r="R532" s="179" t="s">
        <v>1233</v>
      </c>
      <c r="S532" s="168" t="s">
        <v>1170</v>
      </c>
      <c r="T532" s="169">
        <v>1</v>
      </c>
      <c r="U532" s="180" t="s">
        <v>1029</v>
      </c>
      <c r="V532" s="170">
        <v>240</v>
      </c>
      <c r="W532" s="170">
        <v>240</v>
      </c>
      <c r="X532" s="171">
        <v>0</v>
      </c>
      <c r="Y532" s="170">
        <v>0</v>
      </c>
      <c r="Z532" s="170">
        <v>0</v>
      </c>
      <c r="AA532" s="170">
        <v>0</v>
      </c>
      <c r="AB532" s="170">
        <v>173</v>
      </c>
      <c r="AC532" s="170">
        <v>173</v>
      </c>
      <c r="AD532" s="170">
        <v>45</v>
      </c>
      <c r="AE532" s="170">
        <v>45</v>
      </c>
      <c r="AF532" s="170">
        <v>0</v>
      </c>
      <c r="AG532" s="170">
        <v>0</v>
      </c>
      <c r="AH532" s="170">
        <v>0</v>
      </c>
      <c r="AI532" s="170"/>
      <c r="AJ532" s="170">
        <v>0</v>
      </c>
      <c r="AK532" s="170">
        <v>0</v>
      </c>
      <c r="AL532" s="170">
        <v>1</v>
      </c>
      <c r="AM532" s="170">
        <v>1</v>
      </c>
      <c r="AN532" s="170">
        <v>1</v>
      </c>
      <c r="AO532" s="170">
        <v>1</v>
      </c>
      <c r="AP532" s="170">
        <v>0</v>
      </c>
      <c r="AQ532" s="170">
        <v>0</v>
      </c>
      <c r="AR532" s="170">
        <v>0</v>
      </c>
      <c r="AS532" s="170">
        <v>0</v>
      </c>
      <c r="AT532" s="170">
        <v>0</v>
      </c>
      <c r="AU532" s="170">
        <v>0</v>
      </c>
      <c r="AV532" s="170">
        <v>0</v>
      </c>
      <c r="AW532" s="170">
        <v>0</v>
      </c>
      <c r="AX532" s="170">
        <f t="shared" si="68"/>
        <v>28286</v>
      </c>
      <c r="AY532" s="170">
        <f>(W532*60)+(Y532*80)+(AA532*38)+(AC532*57)+(AE532*75)+(AG532*155)+(AI532*170)+(AK532*375)+(AM532*590)+(AO532*60)+(AQ532*630)+(AS532*400)+(AU532*350)+(AW532*950)</f>
        <v>28286</v>
      </c>
      <c r="AZ532" s="165" t="s">
        <v>15</v>
      </c>
      <c r="BA532" s="165" t="s">
        <v>77</v>
      </c>
      <c r="BB532" s="162" t="s">
        <v>77</v>
      </c>
      <c r="BC532" s="181">
        <v>526</v>
      </c>
      <c r="BD532" s="173"/>
      <c r="BE532" s="169"/>
      <c r="BF532" s="174"/>
      <c r="BG532" s="178">
        <v>46218</v>
      </c>
      <c r="BH532" s="175" t="s">
        <v>77</v>
      </c>
      <c r="BI532" s="175" t="s">
        <v>77</v>
      </c>
    </row>
    <row r="533" spans="1:63" s="16" customFormat="1" ht="44.1" customHeight="1" x14ac:dyDescent="0.3">
      <c r="A533" s="26">
        <v>527</v>
      </c>
      <c r="B533" s="110">
        <v>248331</v>
      </c>
      <c r="C533" s="110">
        <v>527</v>
      </c>
      <c r="D533" s="111">
        <v>46119</v>
      </c>
      <c r="E533" s="111">
        <f t="shared" si="67"/>
        <v>46118</v>
      </c>
      <c r="F533" s="111">
        <f t="shared" si="70"/>
        <v>46129</v>
      </c>
      <c r="G533" s="111">
        <v>46210</v>
      </c>
      <c r="H533" s="111">
        <f ca="1">TODAY()</f>
        <v>46277</v>
      </c>
      <c r="I533" s="111" t="s">
        <v>321</v>
      </c>
      <c r="J533" s="112" t="s">
        <v>1174</v>
      </c>
      <c r="K533" s="113">
        <f t="shared" ref="K533:K559" si="72">G533-F533</f>
        <v>81</v>
      </c>
      <c r="L533" s="113">
        <v>1214436</v>
      </c>
      <c r="M533" s="114" t="s">
        <v>366</v>
      </c>
      <c r="N533" s="112" t="s">
        <v>77</v>
      </c>
      <c r="O533" s="109" t="s">
        <v>365</v>
      </c>
      <c r="P533" s="115" t="s">
        <v>77</v>
      </c>
      <c r="Q533" s="115" t="s">
        <v>77</v>
      </c>
      <c r="R533" s="131" t="s">
        <v>211</v>
      </c>
      <c r="S533" s="117" t="s">
        <v>1171</v>
      </c>
      <c r="T533" s="118">
        <v>1</v>
      </c>
      <c r="U533" s="132" t="s">
        <v>1172</v>
      </c>
      <c r="V533" s="119">
        <v>30</v>
      </c>
      <c r="W533" s="119"/>
      <c r="X533" s="120">
        <v>0</v>
      </c>
      <c r="Y533" s="119">
        <v>0</v>
      </c>
      <c r="Z533" s="119">
        <v>0</v>
      </c>
      <c r="AA533" s="119">
        <v>0</v>
      </c>
      <c r="AB533" s="119">
        <v>0</v>
      </c>
      <c r="AC533" s="119"/>
      <c r="AD533" s="119">
        <v>0</v>
      </c>
      <c r="AE533" s="119">
        <v>0</v>
      </c>
      <c r="AF533" s="119">
        <v>0</v>
      </c>
      <c r="AG533" s="119">
        <v>0</v>
      </c>
      <c r="AH533" s="119">
        <v>0</v>
      </c>
      <c r="AI533" s="119"/>
      <c r="AJ533" s="119">
        <v>0</v>
      </c>
      <c r="AK533" s="119">
        <v>0</v>
      </c>
      <c r="AL533" s="119">
        <v>1</v>
      </c>
      <c r="AM533" s="119"/>
      <c r="AN533" s="119">
        <v>1</v>
      </c>
      <c r="AO533" s="119"/>
      <c r="AP533" s="119">
        <v>1</v>
      </c>
      <c r="AQ533" s="119"/>
      <c r="AR533" s="119">
        <v>0</v>
      </c>
      <c r="AS533" s="119">
        <v>0</v>
      </c>
      <c r="AT533" s="119">
        <v>0</v>
      </c>
      <c r="AU533" s="119"/>
      <c r="AV533" s="119">
        <v>0</v>
      </c>
      <c r="AW533" s="119">
        <v>0</v>
      </c>
      <c r="AX533" s="119">
        <f t="shared" si="68"/>
        <v>3080</v>
      </c>
      <c r="AY533" s="119"/>
      <c r="AZ533" s="109" t="s">
        <v>365</v>
      </c>
      <c r="BA533" s="112" t="s">
        <v>77</v>
      </c>
      <c r="BB533" s="109" t="s">
        <v>77</v>
      </c>
      <c r="BC533" s="133">
        <v>527</v>
      </c>
      <c r="BD533" s="122"/>
      <c r="BE533" s="118"/>
      <c r="BF533" s="123"/>
      <c r="BG533" s="109"/>
      <c r="BH533" s="125" t="s">
        <v>77</v>
      </c>
      <c r="BI533" s="125" t="s">
        <v>77</v>
      </c>
    </row>
    <row r="534" spans="1:63" s="16" customFormat="1" ht="42" customHeight="1" x14ac:dyDescent="0.3">
      <c r="A534" s="26">
        <v>528</v>
      </c>
      <c r="B534" s="62">
        <v>248350</v>
      </c>
      <c r="C534" s="62">
        <v>528</v>
      </c>
      <c r="D534" s="63">
        <v>46119</v>
      </c>
      <c r="E534" s="63">
        <f t="shared" si="67"/>
        <v>46118</v>
      </c>
      <c r="F534" s="63">
        <f t="shared" si="70"/>
        <v>46129</v>
      </c>
      <c r="G534" s="63">
        <v>46210</v>
      </c>
      <c r="H534" s="63">
        <f ca="1">TODAY()</f>
        <v>46277</v>
      </c>
      <c r="I534" s="63" t="s">
        <v>321</v>
      </c>
      <c r="J534" s="64" t="s">
        <v>1173</v>
      </c>
      <c r="K534" s="65">
        <f t="shared" si="72"/>
        <v>81</v>
      </c>
      <c r="L534" s="65">
        <v>1214452</v>
      </c>
      <c r="M534" s="64" t="s">
        <v>77</v>
      </c>
      <c r="N534" s="64">
        <v>837399</v>
      </c>
      <c r="O534" s="79" t="s">
        <v>246</v>
      </c>
      <c r="P534" s="103">
        <v>46257</v>
      </c>
      <c r="Q534" s="103">
        <v>46433</v>
      </c>
      <c r="R534" s="73" t="s">
        <v>211</v>
      </c>
      <c r="S534" s="66" t="s">
        <v>183</v>
      </c>
      <c r="T534" s="67">
        <v>1</v>
      </c>
      <c r="U534" s="75" t="s">
        <v>840</v>
      </c>
      <c r="V534" s="68">
        <v>200</v>
      </c>
      <c r="W534" s="68"/>
      <c r="X534" s="69">
        <v>0</v>
      </c>
      <c r="Y534" s="68">
        <v>0</v>
      </c>
      <c r="Z534" s="68">
        <v>0</v>
      </c>
      <c r="AA534" s="68">
        <v>0</v>
      </c>
      <c r="AB534" s="68">
        <v>0</v>
      </c>
      <c r="AC534" s="68"/>
      <c r="AD534" s="68">
        <v>0</v>
      </c>
      <c r="AE534" s="68">
        <v>0</v>
      </c>
      <c r="AF534" s="68">
        <v>0</v>
      </c>
      <c r="AG534" s="68">
        <v>0</v>
      </c>
      <c r="AH534" s="68">
        <v>0</v>
      </c>
      <c r="AI534" s="68"/>
      <c r="AJ534" s="68">
        <v>0</v>
      </c>
      <c r="AK534" s="68">
        <v>0</v>
      </c>
      <c r="AL534" s="68">
        <v>1</v>
      </c>
      <c r="AM534" s="68"/>
      <c r="AN534" s="68">
        <v>1</v>
      </c>
      <c r="AO534" s="68"/>
      <c r="AP534" s="68">
        <v>1</v>
      </c>
      <c r="AQ534" s="68"/>
      <c r="AR534" s="68">
        <v>0</v>
      </c>
      <c r="AS534" s="68">
        <v>0</v>
      </c>
      <c r="AT534" s="68">
        <v>0</v>
      </c>
      <c r="AU534" s="68"/>
      <c r="AV534" s="68">
        <v>0</v>
      </c>
      <c r="AW534" s="68">
        <v>0</v>
      </c>
      <c r="AX534" s="170">
        <f t="shared" si="68"/>
        <v>13280</v>
      </c>
      <c r="AY534" s="170"/>
      <c r="AZ534" s="64" t="s">
        <v>77</v>
      </c>
      <c r="BA534" s="64" t="s">
        <v>77</v>
      </c>
      <c r="BB534" s="15" t="s">
        <v>77</v>
      </c>
      <c r="BC534" s="74">
        <v>528</v>
      </c>
      <c r="BD534" s="70"/>
      <c r="BE534" s="67"/>
      <c r="BF534" s="71"/>
      <c r="BG534" s="15"/>
      <c r="BH534" s="72" t="s">
        <v>77</v>
      </c>
      <c r="BI534" s="72" t="s">
        <v>77</v>
      </c>
    </row>
    <row r="535" spans="1:63" s="16" customFormat="1" ht="42" hidden="1" customHeight="1" x14ac:dyDescent="0.3">
      <c r="A535" s="26">
        <v>529</v>
      </c>
      <c r="B535" s="138">
        <v>248357</v>
      </c>
      <c r="C535" s="138">
        <v>529</v>
      </c>
      <c r="D535" s="139">
        <v>46119</v>
      </c>
      <c r="E535" s="139">
        <f t="shared" si="67"/>
        <v>46118</v>
      </c>
      <c r="F535" s="139">
        <f t="shared" si="70"/>
        <v>46129</v>
      </c>
      <c r="G535" s="139">
        <v>46180</v>
      </c>
      <c r="H535" s="139">
        <v>46148</v>
      </c>
      <c r="I535" s="139" t="s">
        <v>123</v>
      </c>
      <c r="J535" s="140" t="s">
        <v>1175</v>
      </c>
      <c r="K535" s="141">
        <f t="shared" si="72"/>
        <v>51</v>
      </c>
      <c r="L535" s="141">
        <v>1214454</v>
      </c>
      <c r="M535" s="140" t="s">
        <v>15</v>
      </c>
      <c r="N535" s="140">
        <v>823735</v>
      </c>
      <c r="O535" s="137" t="s">
        <v>246</v>
      </c>
      <c r="P535" s="143">
        <v>46130</v>
      </c>
      <c r="Q535" s="143">
        <v>46310</v>
      </c>
      <c r="R535" s="185" t="s">
        <v>211</v>
      </c>
      <c r="S535" s="144" t="s">
        <v>306</v>
      </c>
      <c r="T535" s="145">
        <v>1</v>
      </c>
      <c r="U535" s="186" t="s">
        <v>82</v>
      </c>
      <c r="V535" s="146">
        <v>35</v>
      </c>
      <c r="W535" s="146">
        <v>35</v>
      </c>
      <c r="X535" s="147">
        <v>0</v>
      </c>
      <c r="Y535" s="146">
        <v>0</v>
      </c>
      <c r="Z535" s="146">
        <v>0</v>
      </c>
      <c r="AA535" s="146">
        <v>0</v>
      </c>
      <c r="AB535" s="146">
        <v>0</v>
      </c>
      <c r="AC535" s="146">
        <v>0</v>
      </c>
      <c r="AD535" s="146">
        <v>0</v>
      </c>
      <c r="AE535" s="146">
        <v>0</v>
      </c>
      <c r="AF535" s="146">
        <v>0</v>
      </c>
      <c r="AG535" s="146">
        <v>0</v>
      </c>
      <c r="AH535" s="146">
        <v>1</v>
      </c>
      <c r="AI535" s="146">
        <v>1</v>
      </c>
      <c r="AJ535" s="146">
        <v>0</v>
      </c>
      <c r="AK535" s="146">
        <v>0</v>
      </c>
      <c r="AL535" s="146">
        <v>1</v>
      </c>
      <c r="AM535" s="146">
        <v>1</v>
      </c>
      <c r="AN535" s="146">
        <v>1</v>
      </c>
      <c r="AO535" s="146">
        <v>1</v>
      </c>
      <c r="AP535" s="146">
        <v>1</v>
      </c>
      <c r="AQ535" s="146">
        <v>1</v>
      </c>
      <c r="AR535" s="146">
        <v>0</v>
      </c>
      <c r="AS535" s="146">
        <v>0</v>
      </c>
      <c r="AT535" s="146">
        <v>1</v>
      </c>
      <c r="AU535" s="146">
        <v>1</v>
      </c>
      <c r="AV535" s="146">
        <v>0</v>
      </c>
      <c r="AW535" s="146">
        <v>0</v>
      </c>
      <c r="AX535" s="146">
        <f t="shared" si="68"/>
        <v>3900</v>
      </c>
      <c r="AY535" s="146">
        <f>(W535*60)+(Y535*80)+(AA535*38)+(AC535*57)+(AE535*75)+(AG535*155)+(AI535*170)+(AK535*375)+(AM535*590)+(AO535*60)+(AQ535*630)+(AS535*400)+(AU535*350)+(AW535*950)</f>
        <v>3900</v>
      </c>
      <c r="AZ535" s="137" t="s">
        <v>562</v>
      </c>
      <c r="BA535" s="137" t="s">
        <v>562</v>
      </c>
      <c r="BB535" s="137">
        <v>11</v>
      </c>
      <c r="BC535" s="187">
        <v>529</v>
      </c>
      <c r="BD535" s="149"/>
      <c r="BE535" s="145"/>
      <c r="BF535" s="150"/>
      <c r="BG535" s="188">
        <v>46145</v>
      </c>
      <c r="BH535" s="153" t="s">
        <v>15</v>
      </c>
      <c r="BI535" s="153" t="s">
        <v>562</v>
      </c>
      <c r="BK535" s="238"/>
    </row>
    <row r="536" spans="1:63" s="16" customFormat="1" ht="42" hidden="1" customHeight="1" x14ac:dyDescent="0.3">
      <c r="A536" s="26">
        <v>530</v>
      </c>
      <c r="B536" s="138">
        <v>248358</v>
      </c>
      <c r="C536" s="138">
        <v>530</v>
      </c>
      <c r="D536" s="139">
        <v>46119</v>
      </c>
      <c r="E536" s="139">
        <f t="shared" si="67"/>
        <v>46118</v>
      </c>
      <c r="F536" s="139">
        <f t="shared" si="70"/>
        <v>46129</v>
      </c>
      <c r="G536" s="139">
        <v>46180</v>
      </c>
      <c r="H536" s="139">
        <v>46147</v>
      </c>
      <c r="I536" s="139" t="s">
        <v>123</v>
      </c>
      <c r="J536" s="140" t="s">
        <v>1176</v>
      </c>
      <c r="K536" s="141">
        <f t="shared" si="72"/>
        <v>51</v>
      </c>
      <c r="L536" s="141">
        <v>1214460</v>
      </c>
      <c r="M536" s="140" t="s">
        <v>15</v>
      </c>
      <c r="N536" s="140">
        <v>823736</v>
      </c>
      <c r="O536" s="137" t="s">
        <v>246</v>
      </c>
      <c r="P536" s="143">
        <v>46130</v>
      </c>
      <c r="Q536" s="143">
        <v>46310</v>
      </c>
      <c r="R536" s="185" t="s">
        <v>211</v>
      </c>
      <c r="S536" s="144" t="s">
        <v>1177</v>
      </c>
      <c r="T536" s="145">
        <v>1</v>
      </c>
      <c r="U536" s="186" t="s">
        <v>81</v>
      </c>
      <c r="V536" s="146">
        <v>37</v>
      </c>
      <c r="W536" s="146">
        <v>37</v>
      </c>
      <c r="X536" s="147">
        <v>0</v>
      </c>
      <c r="Y536" s="146">
        <v>0</v>
      </c>
      <c r="Z536" s="146">
        <v>0</v>
      </c>
      <c r="AA536" s="146">
        <v>0</v>
      </c>
      <c r="AB536" s="146">
        <v>37</v>
      </c>
      <c r="AC536" s="146">
        <v>37</v>
      </c>
      <c r="AD536" s="146">
        <v>0</v>
      </c>
      <c r="AE536" s="146">
        <v>0</v>
      </c>
      <c r="AF536" s="146">
        <v>0</v>
      </c>
      <c r="AG536" s="146">
        <v>0</v>
      </c>
      <c r="AH536" s="146">
        <v>1</v>
      </c>
      <c r="AI536" s="146">
        <v>1</v>
      </c>
      <c r="AJ536" s="146">
        <v>0</v>
      </c>
      <c r="AK536" s="146">
        <v>0</v>
      </c>
      <c r="AL536" s="146">
        <v>0</v>
      </c>
      <c r="AM536" s="146">
        <v>0</v>
      </c>
      <c r="AN536" s="146">
        <v>1</v>
      </c>
      <c r="AO536" s="146">
        <v>1</v>
      </c>
      <c r="AP536" s="146">
        <v>2</v>
      </c>
      <c r="AQ536" s="146">
        <v>2</v>
      </c>
      <c r="AR536" s="146">
        <v>0</v>
      </c>
      <c r="AS536" s="146">
        <v>0</v>
      </c>
      <c r="AT536" s="146">
        <v>1</v>
      </c>
      <c r="AU536" s="146">
        <v>1</v>
      </c>
      <c r="AV536" s="146">
        <v>0</v>
      </c>
      <c r="AW536" s="146">
        <v>0</v>
      </c>
      <c r="AX536" s="146">
        <f t="shared" si="68"/>
        <v>6169</v>
      </c>
      <c r="AY536" s="146">
        <f>(W536*60)+(Y536*80)+(AA536*38)+(AC536*57)+(AE536*75)+(AG536*155)+(AI536*170)+(AK536*375)+(AM536*590)+(AO536*60)+(AQ536*630)+(AS536*400)+(AU536*350)+(AW536*950)</f>
        <v>6169</v>
      </c>
      <c r="AZ536" s="137" t="s">
        <v>562</v>
      </c>
      <c r="BA536" s="137" t="s">
        <v>562</v>
      </c>
      <c r="BB536" s="137">
        <v>11</v>
      </c>
      <c r="BC536" s="187">
        <v>530</v>
      </c>
      <c r="BD536" s="149"/>
      <c r="BE536" s="145"/>
      <c r="BF536" s="150"/>
      <c r="BG536" s="188">
        <v>46145</v>
      </c>
      <c r="BH536" s="153" t="s">
        <v>15</v>
      </c>
      <c r="BI536" s="153" t="s">
        <v>562</v>
      </c>
      <c r="BK536" s="238"/>
    </row>
    <row r="537" spans="1:63" s="16" customFormat="1" ht="42" customHeight="1" x14ac:dyDescent="0.3">
      <c r="A537" s="26">
        <v>531</v>
      </c>
      <c r="B537" s="62">
        <v>248380</v>
      </c>
      <c r="C537" s="62">
        <v>531</v>
      </c>
      <c r="D537" s="63">
        <v>46119</v>
      </c>
      <c r="E537" s="63">
        <f t="shared" si="67"/>
        <v>46118</v>
      </c>
      <c r="F537" s="63">
        <f t="shared" si="70"/>
        <v>46129</v>
      </c>
      <c r="G537" s="63">
        <v>46210</v>
      </c>
      <c r="H537" s="63">
        <f ca="1">TODAY()</f>
        <v>46277</v>
      </c>
      <c r="I537" s="63" t="s">
        <v>321</v>
      </c>
      <c r="J537" s="64" t="s">
        <v>1178</v>
      </c>
      <c r="K537" s="65">
        <f t="shared" si="72"/>
        <v>81</v>
      </c>
      <c r="L537" s="65">
        <v>1214541</v>
      </c>
      <c r="M537" s="64" t="s">
        <v>77</v>
      </c>
      <c r="N537" s="64">
        <v>834116</v>
      </c>
      <c r="O537" s="79" t="s">
        <v>246</v>
      </c>
      <c r="P537" s="103">
        <v>46238</v>
      </c>
      <c r="Q537" s="103">
        <v>46396</v>
      </c>
      <c r="R537" s="73" t="s">
        <v>211</v>
      </c>
      <c r="S537" s="66" t="s">
        <v>1179</v>
      </c>
      <c r="T537" s="67">
        <v>1</v>
      </c>
      <c r="U537" s="75" t="s">
        <v>81</v>
      </c>
      <c r="V537" s="68">
        <v>88</v>
      </c>
      <c r="W537" s="68"/>
      <c r="X537" s="69">
        <v>0</v>
      </c>
      <c r="Y537" s="68">
        <v>0</v>
      </c>
      <c r="Z537" s="68">
        <v>0</v>
      </c>
      <c r="AA537" s="68">
        <v>0</v>
      </c>
      <c r="AB537" s="68">
        <v>0</v>
      </c>
      <c r="AC537" s="68"/>
      <c r="AD537" s="68">
        <v>0</v>
      </c>
      <c r="AE537" s="68">
        <v>0</v>
      </c>
      <c r="AF537" s="68">
        <v>0</v>
      </c>
      <c r="AG537" s="68">
        <v>0</v>
      </c>
      <c r="AH537" s="68">
        <v>0</v>
      </c>
      <c r="AI537" s="68"/>
      <c r="AJ537" s="68">
        <v>0</v>
      </c>
      <c r="AK537" s="68">
        <v>0</v>
      </c>
      <c r="AL537" s="68">
        <v>1</v>
      </c>
      <c r="AM537" s="68"/>
      <c r="AN537" s="68">
        <v>1</v>
      </c>
      <c r="AO537" s="68"/>
      <c r="AP537" s="68">
        <v>1</v>
      </c>
      <c r="AQ537" s="68"/>
      <c r="AR537" s="68">
        <v>0</v>
      </c>
      <c r="AS537" s="68">
        <v>0</v>
      </c>
      <c r="AT537" s="68">
        <v>0</v>
      </c>
      <c r="AU537" s="68"/>
      <c r="AV537" s="68">
        <v>0</v>
      </c>
      <c r="AW537" s="68">
        <v>0</v>
      </c>
      <c r="AX537" s="170">
        <f t="shared" si="68"/>
        <v>6560</v>
      </c>
      <c r="AY537" s="170"/>
      <c r="AZ537" s="64" t="s">
        <v>77</v>
      </c>
      <c r="BA537" s="64" t="s">
        <v>77</v>
      </c>
      <c r="BB537" s="15" t="s">
        <v>77</v>
      </c>
      <c r="BC537" s="74">
        <v>531</v>
      </c>
      <c r="BD537" s="70"/>
      <c r="BE537" s="67"/>
      <c r="BF537" s="71"/>
      <c r="BG537" s="15"/>
      <c r="BH537" s="72" t="s">
        <v>77</v>
      </c>
      <c r="BI537" s="72" t="s">
        <v>77</v>
      </c>
    </row>
    <row r="538" spans="1:63" s="16" customFormat="1" ht="42" hidden="1" customHeight="1" x14ac:dyDescent="0.3">
      <c r="A538" s="26">
        <v>532</v>
      </c>
      <c r="B538" s="138">
        <v>248529</v>
      </c>
      <c r="C538" s="138">
        <v>532</v>
      </c>
      <c r="D538" s="139">
        <v>46121</v>
      </c>
      <c r="E538" s="139">
        <f t="shared" si="67"/>
        <v>46120</v>
      </c>
      <c r="F538" s="139">
        <f t="shared" si="70"/>
        <v>46131</v>
      </c>
      <c r="G538" s="139">
        <v>46182</v>
      </c>
      <c r="H538" s="139">
        <v>46147</v>
      </c>
      <c r="I538" s="139" t="s">
        <v>123</v>
      </c>
      <c r="J538" s="140" t="s">
        <v>1180</v>
      </c>
      <c r="K538" s="141">
        <f t="shared" si="72"/>
        <v>51</v>
      </c>
      <c r="L538" s="141">
        <v>1215327</v>
      </c>
      <c r="M538" s="140" t="s">
        <v>15</v>
      </c>
      <c r="N538" s="140">
        <v>823736</v>
      </c>
      <c r="O538" s="137" t="s">
        <v>246</v>
      </c>
      <c r="P538" s="143">
        <v>46130</v>
      </c>
      <c r="Q538" s="143">
        <v>46310</v>
      </c>
      <c r="R538" s="185" t="s">
        <v>1233</v>
      </c>
      <c r="S538" s="144" t="s">
        <v>1181</v>
      </c>
      <c r="T538" s="145">
        <v>1</v>
      </c>
      <c r="U538" s="186" t="s">
        <v>81</v>
      </c>
      <c r="V538" s="146">
        <v>112</v>
      </c>
      <c r="W538" s="146">
        <v>112</v>
      </c>
      <c r="X538" s="147">
        <v>0</v>
      </c>
      <c r="Y538" s="146">
        <v>0</v>
      </c>
      <c r="Z538" s="146">
        <v>0</v>
      </c>
      <c r="AA538" s="146">
        <v>0</v>
      </c>
      <c r="AB538" s="146">
        <v>0</v>
      </c>
      <c r="AC538" s="146">
        <v>0</v>
      </c>
      <c r="AD538" s="146">
        <v>0</v>
      </c>
      <c r="AE538" s="146">
        <v>0</v>
      </c>
      <c r="AF538" s="146">
        <v>0</v>
      </c>
      <c r="AG538" s="146">
        <v>0</v>
      </c>
      <c r="AH538" s="146">
        <v>1</v>
      </c>
      <c r="AI538" s="146">
        <v>1</v>
      </c>
      <c r="AJ538" s="146">
        <v>0</v>
      </c>
      <c r="AK538" s="146">
        <v>0</v>
      </c>
      <c r="AL538" s="146">
        <v>0</v>
      </c>
      <c r="AM538" s="146">
        <v>0</v>
      </c>
      <c r="AN538" s="146">
        <v>0</v>
      </c>
      <c r="AO538" s="146">
        <v>0</v>
      </c>
      <c r="AP538" s="146">
        <v>1</v>
      </c>
      <c r="AQ538" s="146">
        <v>1</v>
      </c>
      <c r="AR538" s="146">
        <v>0</v>
      </c>
      <c r="AS538" s="146">
        <v>0</v>
      </c>
      <c r="AT538" s="146">
        <v>1</v>
      </c>
      <c r="AU538" s="146">
        <v>1</v>
      </c>
      <c r="AV538" s="146">
        <v>0</v>
      </c>
      <c r="AW538" s="146">
        <v>0</v>
      </c>
      <c r="AX538" s="146">
        <f t="shared" si="68"/>
        <v>7870</v>
      </c>
      <c r="AY538" s="146">
        <f>(W538*60)+(Y538*80)+(AA538*38)+(AC538*57)+(AE538*75)+(AG538*155)+(AI538*170)+(AK538*375)+(AM538*590)+(AO538*60)+(AQ538*630)+(AS538*400)+(AU538*350)+(AW538*950)</f>
        <v>7870</v>
      </c>
      <c r="AZ538" s="137" t="s">
        <v>562</v>
      </c>
      <c r="BA538" s="137" t="s">
        <v>562</v>
      </c>
      <c r="BB538" s="137">
        <v>11</v>
      </c>
      <c r="BC538" s="187">
        <v>532</v>
      </c>
      <c r="BD538" s="149"/>
      <c r="BE538" s="145"/>
      <c r="BF538" s="150"/>
      <c r="BG538" s="188">
        <v>46145</v>
      </c>
      <c r="BH538" s="153" t="s">
        <v>15</v>
      </c>
      <c r="BI538" s="153" t="s">
        <v>562</v>
      </c>
      <c r="BK538" s="238"/>
    </row>
    <row r="539" spans="1:63" s="16" customFormat="1" ht="42" customHeight="1" x14ac:dyDescent="0.3">
      <c r="A539" s="26">
        <v>533</v>
      </c>
      <c r="B539" s="62">
        <v>248538</v>
      </c>
      <c r="C539" s="62">
        <v>533</v>
      </c>
      <c r="D539" s="63">
        <v>46121</v>
      </c>
      <c r="E539" s="63">
        <f t="shared" si="67"/>
        <v>46120</v>
      </c>
      <c r="F539" s="63">
        <f t="shared" si="70"/>
        <v>46131</v>
      </c>
      <c r="G539" s="63">
        <v>46212</v>
      </c>
      <c r="H539" s="63">
        <f t="shared" ref="H539:H550" ca="1" si="73">TODAY()</f>
        <v>46277</v>
      </c>
      <c r="I539" s="63" t="s">
        <v>321</v>
      </c>
      <c r="J539" s="64" t="s">
        <v>1182</v>
      </c>
      <c r="K539" s="65">
        <f t="shared" si="72"/>
        <v>81</v>
      </c>
      <c r="L539" s="65">
        <v>1215391</v>
      </c>
      <c r="M539" s="64" t="s">
        <v>77</v>
      </c>
      <c r="N539" s="64">
        <v>839286</v>
      </c>
      <c r="O539" s="80" t="s">
        <v>246</v>
      </c>
      <c r="P539" s="103">
        <v>46258</v>
      </c>
      <c r="Q539" s="103">
        <v>46438</v>
      </c>
      <c r="R539" s="73" t="s">
        <v>211</v>
      </c>
      <c r="S539" s="66" t="s">
        <v>1183</v>
      </c>
      <c r="T539" s="67">
        <v>1</v>
      </c>
      <c r="U539" s="75" t="s">
        <v>106</v>
      </c>
      <c r="V539" s="68">
        <v>68</v>
      </c>
      <c r="W539" s="68"/>
      <c r="X539" s="69">
        <v>0</v>
      </c>
      <c r="Y539" s="68">
        <v>0</v>
      </c>
      <c r="Z539" s="68">
        <v>0</v>
      </c>
      <c r="AA539" s="68">
        <v>0</v>
      </c>
      <c r="AB539" s="68">
        <v>0</v>
      </c>
      <c r="AC539" s="68"/>
      <c r="AD539" s="68">
        <v>0</v>
      </c>
      <c r="AE539" s="68">
        <v>0</v>
      </c>
      <c r="AF539" s="68">
        <v>0</v>
      </c>
      <c r="AG539" s="68">
        <v>0</v>
      </c>
      <c r="AH539" s="68">
        <v>0</v>
      </c>
      <c r="AI539" s="68"/>
      <c r="AJ539" s="68">
        <v>0</v>
      </c>
      <c r="AK539" s="68">
        <v>0</v>
      </c>
      <c r="AL539" s="68">
        <v>1</v>
      </c>
      <c r="AM539" s="68"/>
      <c r="AN539" s="68">
        <v>1</v>
      </c>
      <c r="AO539" s="68"/>
      <c r="AP539" s="68">
        <v>1</v>
      </c>
      <c r="AQ539" s="68"/>
      <c r="AR539" s="68">
        <v>0</v>
      </c>
      <c r="AS539" s="68">
        <v>0</v>
      </c>
      <c r="AT539" s="68">
        <v>0</v>
      </c>
      <c r="AU539" s="68"/>
      <c r="AV539" s="68">
        <v>0</v>
      </c>
      <c r="AW539" s="68">
        <v>0</v>
      </c>
      <c r="AX539" s="170">
        <f t="shared" si="68"/>
        <v>5360</v>
      </c>
      <c r="AY539" s="170"/>
      <c r="AZ539" s="64" t="s">
        <v>77</v>
      </c>
      <c r="BA539" s="64" t="s">
        <v>77</v>
      </c>
      <c r="BB539" s="15" t="s">
        <v>77</v>
      </c>
      <c r="BC539" s="74">
        <v>533</v>
      </c>
      <c r="BD539" s="70"/>
      <c r="BE539" s="67"/>
      <c r="BF539" s="71"/>
      <c r="BG539" s="15"/>
      <c r="BH539" s="72" t="s">
        <v>77</v>
      </c>
      <c r="BI539" s="72" t="s">
        <v>77</v>
      </c>
    </row>
    <row r="540" spans="1:63" s="16" customFormat="1" ht="42" customHeight="1" x14ac:dyDescent="0.3">
      <c r="A540" s="26">
        <v>534</v>
      </c>
      <c r="B540" s="62">
        <v>248539</v>
      </c>
      <c r="C540" s="62">
        <v>534</v>
      </c>
      <c r="D540" s="63">
        <v>46121</v>
      </c>
      <c r="E540" s="63">
        <f t="shared" si="67"/>
        <v>46120</v>
      </c>
      <c r="F540" s="63">
        <f t="shared" si="70"/>
        <v>46131</v>
      </c>
      <c r="G540" s="63">
        <v>46212</v>
      </c>
      <c r="H540" s="63">
        <f t="shared" ca="1" si="73"/>
        <v>46277</v>
      </c>
      <c r="I540" s="63" t="s">
        <v>321</v>
      </c>
      <c r="J540" s="64" t="s">
        <v>1184</v>
      </c>
      <c r="K540" s="65">
        <f t="shared" si="72"/>
        <v>81</v>
      </c>
      <c r="L540" s="65">
        <v>1215397</v>
      </c>
      <c r="M540" s="64" t="s">
        <v>77</v>
      </c>
      <c r="N540" s="64" t="s">
        <v>77</v>
      </c>
      <c r="O540" s="64" t="s">
        <v>77</v>
      </c>
      <c r="P540" s="103" t="s">
        <v>77</v>
      </c>
      <c r="Q540" s="103" t="s">
        <v>77</v>
      </c>
      <c r="R540" s="73" t="s">
        <v>211</v>
      </c>
      <c r="S540" s="66" t="s">
        <v>1185</v>
      </c>
      <c r="T540" s="67">
        <v>1</v>
      </c>
      <c r="U540" s="75" t="s">
        <v>122</v>
      </c>
      <c r="V540" s="68">
        <v>165</v>
      </c>
      <c r="W540" s="68"/>
      <c r="X540" s="69">
        <v>0</v>
      </c>
      <c r="Y540" s="68">
        <v>0</v>
      </c>
      <c r="Z540" s="68">
        <v>0</v>
      </c>
      <c r="AA540" s="68">
        <v>0</v>
      </c>
      <c r="AB540" s="68">
        <v>0</v>
      </c>
      <c r="AC540" s="68"/>
      <c r="AD540" s="68">
        <v>0</v>
      </c>
      <c r="AE540" s="68">
        <v>0</v>
      </c>
      <c r="AF540" s="68">
        <v>0</v>
      </c>
      <c r="AG540" s="68">
        <v>0</v>
      </c>
      <c r="AH540" s="68">
        <v>0</v>
      </c>
      <c r="AI540" s="68"/>
      <c r="AJ540" s="68">
        <v>0</v>
      </c>
      <c r="AK540" s="68">
        <v>0</v>
      </c>
      <c r="AL540" s="68">
        <v>1</v>
      </c>
      <c r="AM540" s="68"/>
      <c r="AN540" s="68">
        <v>1</v>
      </c>
      <c r="AO540" s="68"/>
      <c r="AP540" s="68">
        <v>1</v>
      </c>
      <c r="AQ540" s="68"/>
      <c r="AR540" s="68">
        <v>0</v>
      </c>
      <c r="AS540" s="68">
        <v>0</v>
      </c>
      <c r="AT540" s="68">
        <v>0</v>
      </c>
      <c r="AU540" s="68"/>
      <c r="AV540" s="68">
        <v>0</v>
      </c>
      <c r="AW540" s="68">
        <v>0</v>
      </c>
      <c r="AX540" s="170">
        <f t="shared" si="68"/>
        <v>11180</v>
      </c>
      <c r="AY540" s="170"/>
      <c r="AZ540" s="64" t="s">
        <v>77</v>
      </c>
      <c r="BA540" s="64" t="s">
        <v>77</v>
      </c>
      <c r="BB540" s="15" t="s">
        <v>77</v>
      </c>
      <c r="BC540" s="74">
        <v>534</v>
      </c>
      <c r="BD540" s="70"/>
      <c r="BE540" s="67"/>
      <c r="BF540" s="71"/>
      <c r="BG540" s="15"/>
      <c r="BH540" s="72" t="s">
        <v>77</v>
      </c>
      <c r="BI540" s="72" t="s">
        <v>77</v>
      </c>
    </row>
    <row r="541" spans="1:63" s="16" customFormat="1" ht="42" customHeight="1" x14ac:dyDescent="0.3">
      <c r="A541" s="26">
        <v>535</v>
      </c>
      <c r="B541" s="62">
        <v>248540</v>
      </c>
      <c r="C541" s="62">
        <v>535</v>
      </c>
      <c r="D541" s="63">
        <v>46121</v>
      </c>
      <c r="E541" s="63">
        <f t="shared" si="67"/>
        <v>46120</v>
      </c>
      <c r="F541" s="63">
        <f t="shared" si="70"/>
        <v>46131</v>
      </c>
      <c r="G541" s="63">
        <v>46212</v>
      </c>
      <c r="H541" s="63">
        <f t="shared" ca="1" si="73"/>
        <v>46277</v>
      </c>
      <c r="I541" s="63" t="s">
        <v>321</v>
      </c>
      <c r="J541" s="64" t="s">
        <v>1186</v>
      </c>
      <c r="K541" s="65">
        <f t="shared" si="72"/>
        <v>81</v>
      </c>
      <c r="L541" s="65">
        <v>1215398</v>
      </c>
      <c r="M541" s="64" t="s">
        <v>77</v>
      </c>
      <c r="N541" s="64">
        <v>837397</v>
      </c>
      <c r="O541" s="80" t="s">
        <v>246</v>
      </c>
      <c r="P541" s="103">
        <v>46259</v>
      </c>
      <c r="Q541" s="103">
        <v>46429</v>
      </c>
      <c r="R541" s="73" t="s">
        <v>211</v>
      </c>
      <c r="S541" s="66" t="s">
        <v>1187</v>
      </c>
      <c r="T541" s="67">
        <v>1</v>
      </c>
      <c r="U541" s="75" t="s">
        <v>82</v>
      </c>
      <c r="V541" s="68">
        <v>65</v>
      </c>
      <c r="W541" s="68"/>
      <c r="X541" s="69">
        <v>0</v>
      </c>
      <c r="Y541" s="68">
        <v>0</v>
      </c>
      <c r="Z541" s="68">
        <v>0</v>
      </c>
      <c r="AA541" s="68">
        <v>0</v>
      </c>
      <c r="AB541" s="68">
        <v>0</v>
      </c>
      <c r="AC541" s="68"/>
      <c r="AD541" s="68">
        <v>0</v>
      </c>
      <c r="AE541" s="68">
        <v>0</v>
      </c>
      <c r="AF541" s="68">
        <v>0</v>
      </c>
      <c r="AG541" s="68">
        <v>0</v>
      </c>
      <c r="AH541" s="68">
        <v>0</v>
      </c>
      <c r="AI541" s="68"/>
      <c r="AJ541" s="68">
        <v>0</v>
      </c>
      <c r="AK541" s="68">
        <v>0</v>
      </c>
      <c r="AL541" s="68">
        <v>1</v>
      </c>
      <c r="AM541" s="68"/>
      <c r="AN541" s="68">
        <v>1</v>
      </c>
      <c r="AO541" s="68"/>
      <c r="AP541" s="68">
        <v>1</v>
      </c>
      <c r="AQ541" s="68"/>
      <c r="AR541" s="68">
        <v>0</v>
      </c>
      <c r="AS541" s="68">
        <v>0</v>
      </c>
      <c r="AT541" s="68">
        <v>0</v>
      </c>
      <c r="AU541" s="68"/>
      <c r="AV541" s="68">
        <v>0</v>
      </c>
      <c r="AW541" s="68">
        <v>0</v>
      </c>
      <c r="AX541" s="170">
        <f t="shared" si="68"/>
        <v>5180</v>
      </c>
      <c r="AY541" s="170"/>
      <c r="AZ541" s="64" t="s">
        <v>77</v>
      </c>
      <c r="BA541" s="64" t="s">
        <v>77</v>
      </c>
      <c r="BB541" s="15" t="s">
        <v>77</v>
      </c>
      <c r="BC541" s="74">
        <v>535</v>
      </c>
      <c r="BD541" s="70"/>
      <c r="BE541" s="67"/>
      <c r="BF541" s="71"/>
      <c r="BG541" s="15"/>
      <c r="BH541" s="72" t="s">
        <v>77</v>
      </c>
      <c r="BI541" s="72" t="s">
        <v>77</v>
      </c>
    </row>
    <row r="542" spans="1:63" s="16" customFormat="1" ht="42" customHeight="1" x14ac:dyDescent="0.3">
      <c r="A542" s="26">
        <v>536</v>
      </c>
      <c r="B542" s="62">
        <v>248541</v>
      </c>
      <c r="C542" s="62">
        <v>536</v>
      </c>
      <c r="D542" s="63">
        <v>46121</v>
      </c>
      <c r="E542" s="63">
        <f t="shared" si="67"/>
        <v>46120</v>
      </c>
      <c r="F542" s="63">
        <f t="shared" si="70"/>
        <v>46131</v>
      </c>
      <c r="G542" s="63">
        <v>46212</v>
      </c>
      <c r="H542" s="63">
        <f t="shared" ca="1" si="73"/>
        <v>46277</v>
      </c>
      <c r="I542" s="63" t="s">
        <v>321</v>
      </c>
      <c r="J542" s="64" t="s">
        <v>1188</v>
      </c>
      <c r="K542" s="65">
        <f t="shared" si="72"/>
        <v>81</v>
      </c>
      <c r="L542" s="65">
        <v>1215406</v>
      </c>
      <c r="M542" s="64" t="s">
        <v>77</v>
      </c>
      <c r="N542" s="64">
        <v>837400</v>
      </c>
      <c r="O542" s="80" t="s">
        <v>246</v>
      </c>
      <c r="P542" s="103">
        <v>46256</v>
      </c>
      <c r="Q542" s="103">
        <v>46436</v>
      </c>
      <c r="R542" s="73" t="s">
        <v>211</v>
      </c>
      <c r="S542" s="66" t="s">
        <v>1189</v>
      </c>
      <c r="T542" s="67">
        <v>1</v>
      </c>
      <c r="U542" s="75" t="s">
        <v>1114</v>
      </c>
      <c r="V542" s="68">
        <v>161</v>
      </c>
      <c r="W542" s="68"/>
      <c r="X542" s="69">
        <v>0</v>
      </c>
      <c r="Y542" s="68">
        <v>0</v>
      </c>
      <c r="Z542" s="68">
        <v>0</v>
      </c>
      <c r="AA542" s="68">
        <v>0</v>
      </c>
      <c r="AB542" s="68">
        <v>0</v>
      </c>
      <c r="AC542" s="68"/>
      <c r="AD542" s="68">
        <v>0</v>
      </c>
      <c r="AE542" s="68">
        <v>0</v>
      </c>
      <c r="AF542" s="68">
        <v>0</v>
      </c>
      <c r="AG542" s="68">
        <v>0</v>
      </c>
      <c r="AH542" s="68">
        <v>0</v>
      </c>
      <c r="AI542" s="68"/>
      <c r="AJ542" s="68">
        <v>0</v>
      </c>
      <c r="AK542" s="68">
        <v>0</v>
      </c>
      <c r="AL542" s="68">
        <v>1</v>
      </c>
      <c r="AM542" s="68"/>
      <c r="AN542" s="68">
        <v>1</v>
      </c>
      <c r="AO542" s="68"/>
      <c r="AP542" s="68">
        <v>1</v>
      </c>
      <c r="AQ542" s="68"/>
      <c r="AR542" s="68">
        <v>0</v>
      </c>
      <c r="AS542" s="68">
        <v>0</v>
      </c>
      <c r="AT542" s="68">
        <v>0</v>
      </c>
      <c r="AU542" s="68"/>
      <c r="AV542" s="68">
        <v>0</v>
      </c>
      <c r="AW542" s="68">
        <v>0</v>
      </c>
      <c r="AX542" s="170">
        <f t="shared" si="68"/>
        <v>10940</v>
      </c>
      <c r="AY542" s="170"/>
      <c r="AZ542" s="64" t="s">
        <v>77</v>
      </c>
      <c r="BA542" s="64" t="s">
        <v>77</v>
      </c>
      <c r="BB542" s="15" t="s">
        <v>77</v>
      </c>
      <c r="BC542" s="74">
        <v>536</v>
      </c>
      <c r="BD542" s="70"/>
      <c r="BE542" s="67"/>
      <c r="BF542" s="71"/>
      <c r="BG542" s="15"/>
      <c r="BH542" s="72" t="s">
        <v>77</v>
      </c>
      <c r="BI542" s="72" t="s">
        <v>77</v>
      </c>
    </row>
    <row r="543" spans="1:63" s="16" customFormat="1" ht="44.1" customHeight="1" x14ac:dyDescent="0.3">
      <c r="A543" s="200">
        <v>537</v>
      </c>
      <c r="B543" s="110">
        <v>248560</v>
      </c>
      <c r="C543" s="110">
        <v>537</v>
      </c>
      <c r="D543" s="111">
        <v>46124</v>
      </c>
      <c r="E543" s="111">
        <f t="shared" si="67"/>
        <v>46123</v>
      </c>
      <c r="F543" s="111">
        <f t="shared" si="70"/>
        <v>46134</v>
      </c>
      <c r="G543" s="111">
        <v>46215</v>
      </c>
      <c r="H543" s="111">
        <f t="shared" ca="1" si="73"/>
        <v>46277</v>
      </c>
      <c r="I543" s="111" t="s">
        <v>349</v>
      </c>
      <c r="J543" s="112" t="s">
        <v>1229</v>
      </c>
      <c r="K543" s="113">
        <f t="shared" si="72"/>
        <v>81</v>
      </c>
      <c r="L543" s="113">
        <v>1215957</v>
      </c>
      <c r="M543" s="114" t="s">
        <v>751</v>
      </c>
      <c r="N543" s="112" t="s">
        <v>251</v>
      </c>
      <c r="O543" s="109" t="s">
        <v>751</v>
      </c>
      <c r="P543" s="115" t="s">
        <v>77</v>
      </c>
      <c r="Q543" s="115" t="s">
        <v>77</v>
      </c>
      <c r="R543" s="131" t="s">
        <v>211</v>
      </c>
      <c r="S543" s="117" t="s">
        <v>301</v>
      </c>
      <c r="T543" s="118">
        <v>1</v>
      </c>
      <c r="U543" s="132" t="s">
        <v>840</v>
      </c>
      <c r="V543" s="119">
        <v>160</v>
      </c>
      <c r="W543" s="119"/>
      <c r="X543" s="120">
        <v>1</v>
      </c>
      <c r="Y543" s="119"/>
      <c r="Z543" s="119">
        <v>0</v>
      </c>
      <c r="AA543" s="119">
        <v>0</v>
      </c>
      <c r="AB543" s="119">
        <v>0</v>
      </c>
      <c r="AC543" s="119"/>
      <c r="AD543" s="119">
        <v>0</v>
      </c>
      <c r="AE543" s="119">
        <v>0</v>
      </c>
      <c r="AF543" s="119">
        <v>0</v>
      </c>
      <c r="AG543" s="119">
        <v>0</v>
      </c>
      <c r="AH543" s="119">
        <v>0</v>
      </c>
      <c r="AI543" s="119">
        <v>0</v>
      </c>
      <c r="AJ543" s="119">
        <v>1</v>
      </c>
      <c r="AK543" s="119"/>
      <c r="AL543" s="119">
        <v>3</v>
      </c>
      <c r="AM543" s="119"/>
      <c r="AN543" s="119">
        <v>3</v>
      </c>
      <c r="AO543" s="119"/>
      <c r="AP543" s="119">
        <v>1</v>
      </c>
      <c r="AQ543" s="119"/>
      <c r="AR543" s="119">
        <v>0</v>
      </c>
      <c r="AS543" s="119">
        <v>0</v>
      </c>
      <c r="AT543" s="119">
        <v>0</v>
      </c>
      <c r="AU543" s="119">
        <v>0</v>
      </c>
      <c r="AV543" s="119">
        <v>0</v>
      </c>
      <c r="AW543" s="119">
        <v>0</v>
      </c>
      <c r="AX543" s="146">
        <f t="shared" si="68"/>
        <v>12635</v>
      </c>
      <c r="AY543" s="146"/>
      <c r="AZ543" s="112" t="s">
        <v>77</v>
      </c>
      <c r="BA543" s="112" t="s">
        <v>77</v>
      </c>
      <c r="BB543" s="109" t="s">
        <v>77</v>
      </c>
      <c r="BC543" s="133">
        <v>537</v>
      </c>
      <c r="BD543" s="122"/>
      <c r="BE543" s="118"/>
      <c r="BF543" s="123"/>
      <c r="BG543" s="109"/>
      <c r="BH543" s="125" t="s">
        <v>77</v>
      </c>
      <c r="BI543" s="125" t="s">
        <v>77</v>
      </c>
    </row>
    <row r="544" spans="1:63" s="16" customFormat="1" ht="42" customHeight="1" x14ac:dyDescent="0.3">
      <c r="A544" s="26">
        <v>538</v>
      </c>
      <c r="B544" s="62">
        <v>248640</v>
      </c>
      <c r="C544" s="62">
        <v>538</v>
      </c>
      <c r="D544" s="63">
        <v>46124</v>
      </c>
      <c r="E544" s="63">
        <f t="shared" si="67"/>
        <v>46123</v>
      </c>
      <c r="F544" s="63">
        <f t="shared" si="70"/>
        <v>46134</v>
      </c>
      <c r="G544" s="63">
        <v>46215</v>
      </c>
      <c r="H544" s="63">
        <f t="shared" ca="1" si="73"/>
        <v>46277</v>
      </c>
      <c r="I544" s="63" t="s">
        <v>321</v>
      </c>
      <c r="J544" s="64" t="s">
        <v>1190</v>
      </c>
      <c r="K544" s="65">
        <f t="shared" si="72"/>
        <v>81</v>
      </c>
      <c r="L544" s="65">
        <v>1216291</v>
      </c>
      <c r="M544" s="64" t="s">
        <v>77</v>
      </c>
      <c r="N544" s="64" t="s">
        <v>77</v>
      </c>
      <c r="O544" s="64" t="s">
        <v>77</v>
      </c>
      <c r="P544" s="103" t="s">
        <v>77</v>
      </c>
      <c r="Q544" s="103" t="s">
        <v>77</v>
      </c>
      <c r="R544" s="73" t="s">
        <v>211</v>
      </c>
      <c r="S544" s="66" t="s">
        <v>1191</v>
      </c>
      <c r="T544" s="67">
        <v>1</v>
      </c>
      <c r="U544" s="75" t="s">
        <v>840</v>
      </c>
      <c r="V544" s="68">
        <v>55</v>
      </c>
      <c r="W544" s="68"/>
      <c r="X544" s="69">
        <v>0</v>
      </c>
      <c r="Y544" s="68">
        <v>0</v>
      </c>
      <c r="Z544" s="68">
        <v>0</v>
      </c>
      <c r="AA544" s="68">
        <v>0</v>
      </c>
      <c r="AB544" s="68">
        <v>0</v>
      </c>
      <c r="AC544" s="68"/>
      <c r="AD544" s="68">
        <v>0</v>
      </c>
      <c r="AE544" s="68">
        <v>0</v>
      </c>
      <c r="AF544" s="68">
        <v>0</v>
      </c>
      <c r="AG544" s="68">
        <v>0</v>
      </c>
      <c r="AH544" s="68">
        <v>0</v>
      </c>
      <c r="AI544" s="68"/>
      <c r="AJ544" s="68">
        <v>0</v>
      </c>
      <c r="AK544" s="68">
        <v>0</v>
      </c>
      <c r="AL544" s="68">
        <v>1</v>
      </c>
      <c r="AM544" s="68"/>
      <c r="AN544" s="68">
        <v>1</v>
      </c>
      <c r="AO544" s="68"/>
      <c r="AP544" s="68">
        <v>1</v>
      </c>
      <c r="AQ544" s="68"/>
      <c r="AR544" s="68">
        <v>0</v>
      </c>
      <c r="AS544" s="68">
        <v>0</v>
      </c>
      <c r="AT544" s="68">
        <v>0</v>
      </c>
      <c r="AU544" s="68"/>
      <c r="AV544" s="68">
        <v>0</v>
      </c>
      <c r="AW544" s="68">
        <v>0</v>
      </c>
      <c r="AX544" s="170">
        <f t="shared" si="68"/>
        <v>4580</v>
      </c>
      <c r="AY544" s="170"/>
      <c r="AZ544" s="64" t="s">
        <v>77</v>
      </c>
      <c r="BA544" s="64" t="s">
        <v>77</v>
      </c>
      <c r="BB544" s="15" t="s">
        <v>77</v>
      </c>
      <c r="BC544" s="74">
        <v>538</v>
      </c>
      <c r="BD544" s="70"/>
      <c r="BE544" s="67"/>
      <c r="BF544" s="71"/>
      <c r="BG544" s="15"/>
      <c r="BH544" s="72" t="s">
        <v>77</v>
      </c>
      <c r="BI544" s="72" t="s">
        <v>77</v>
      </c>
    </row>
    <row r="545" spans="1:63" s="16" customFormat="1" ht="42" customHeight="1" x14ac:dyDescent="0.3">
      <c r="A545" s="26">
        <v>539</v>
      </c>
      <c r="B545" s="62">
        <v>248716</v>
      </c>
      <c r="C545" s="62">
        <v>539</v>
      </c>
      <c r="D545" s="63">
        <v>46125</v>
      </c>
      <c r="E545" s="63">
        <f t="shared" si="67"/>
        <v>46124</v>
      </c>
      <c r="F545" s="63">
        <f t="shared" si="70"/>
        <v>46135</v>
      </c>
      <c r="G545" s="63">
        <v>46216</v>
      </c>
      <c r="H545" s="63">
        <f t="shared" ca="1" si="73"/>
        <v>46277</v>
      </c>
      <c r="I545" s="63" t="s">
        <v>321</v>
      </c>
      <c r="J545" s="64" t="s">
        <v>1192</v>
      </c>
      <c r="K545" s="65">
        <f t="shared" si="72"/>
        <v>81</v>
      </c>
      <c r="L545" s="65">
        <v>1216613</v>
      </c>
      <c r="M545" s="64" t="s">
        <v>77</v>
      </c>
      <c r="N545" s="64">
        <v>837394</v>
      </c>
      <c r="O545" s="80" t="s">
        <v>246</v>
      </c>
      <c r="P545" s="103">
        <v>46257</v>
      </c>
      <c r="Q545" s="103">
        <v>46422</v>
      </c>
      <c r="R545" s="73" t="s">
        <v>211</v>
      </c>
      <c r="S545" s="66" t="s">
        <v>312</v>
      </c>
      <c r="T545" s="67">
        <v>1</v>
      </c>
      <c r="U545" s="75" t="s">
        <v>186</v>
      </c>
      <c r="V545" s="68">
        <v>101</v>
      </c>
      <c r="W545" s="68"/>
      <c r="X545" s="69">
        <v>0</v>
      </c>
      <c r="Y545" s="68">
        <v>0</v>
      </c>
      <c r="Z545" s="68">
        <v>0</v>
      </c>
      <c r="AA545" s="68">
        <v>0</v>
      </c>
      <c r="AB545" s="68">
        <v>0</v>
      </c>
      <c r="AC545" s="68"/>
      <c r="AD545" s="68">
        <v>0</v>
      </c>
      <c r="AE545" s="68">
        <v>0</v>
      </c>
      <c r="AF545" s="68">
        <v>0</v>
      </c>
      <c r="AG545" s="68">
        <v>0</v>
      </c>
      <c r="AH545" s="68">
        <v>0</v>
      </c>
      <c r="AI545" s="68"/>
      <c r="AJ545" s="68">
        <v>0</v>
      </c>
      <c r="AK545" s="68">
        <v>0</v>
      </c>
      <c r="AL545" s="68">
        <v>1</v>
      </c>
      <c r="AM545" s="68"/>
      <c r="AN545" s="68">
        <v>1</v>
      </c>
      <c r="AO545" s="68"/>
      <c r="AP545" s="68">
        <v>1</v>
      </c>
      <c r="AQ545" s="68"/>
      <c r="AR545" s="68">
        <v>0</v>
      </c>
      <c r="AS545" s="68">
        <v>0</v>
      </c>
      <c r="AT545" s="68">
        <v>0</v>
      </c>
      <c r="AU545" s="68"/>
      <c r="AV545" s="68">
        <v>0</v>
      </c>
      <c r="AW545" s="68">
        <v>0</v>
      </c>
      <c r="AX545" s="170">
        <f t="shared" si="68"/>
        <v>7340</v>
      </c>
      <c r="AY545" s="170"/>
      <c r="AZ545" s="64" t="s">
        <v>77</v>
      </c>
      <c r="BA545" s="64" t="s">
        <v>77</v>
      </c>
      <c r="BB545" s="15" t="s">
        <v>77</v>
      </c>
      <c r="BC545" s="74">
        <v>539</v>
      </c>
      <c r="BD545" s="70"/>
      <c r="BE545" s="67"/>
      <c r="BF545" s="71"/>
      <c r="BG545" s="15"/>
      <c r="BH545" s="72" t="s">
        <v>77</v>
      </c>
      <c r="BI545" s="72" t="s">
        <v>77</v>
      </c>
    </row>
    <row r="546" spans="1:63" s="16" customFormat="1" ht="42" customHeight="1" x14ac:dyDescent="0.3">
      <c r="A546" s="26">
        <v>540</v>
      </c>
      <c r="B546" s="62">
        <v>248717</v>
      </c>
      <c r="C546" s="62">
        <v>540</v>
      </c>
      <c r="D546" s="63">
        <v>46125</v>
      </c>
      <c r="E546" s="63">
        <f t="shared" si="67"/>
        <v>46124</v>
      </c>
      <c r="F546" s="63">
        <f t="shared" si="70"/>
        <v>46135</v>
      </c>
      <c r="G546" s="63">
        <v>46216</v>
      </c>
      <c r="H546" s="63">
        <f t="shared" ca="1" si="73"/>
        <v>46277</v>
      </c>
      <c r="I546" s="63" t="s">
        <v>321</v>
      </c>
      <c r="J546" s="64" t="s">
        <v>1193</v>
      </c>
      <c r="K546" s="65">
        <f t="shared" si="72"/>
        <v>81</v>
      </c>
      <c r="L546" s="65">
        <v>1216617</v>
      </c>
      <c r="M546" s="64" t="s">
        <v>77</v>
      </c>
      <c r="N546" s="64">
        <v>837397</v>
      </c>
      <c r="O546" s="80" t="s">
        <v>246</v>
      </c>
      <c r="P546" s="103">
        <v>46259</v>
      </c>
      <c r="Q546" s="103">
        <v>46429</v>
      </c>
      <c r="R546" s="73" t="s">
        <v>211</v>
      </c>
      <c r="S546" s="66" t="s">
        <v>353</v>
      </c>
      <c r="T546" s="67">
        <v>1</v>
      </c>
      <c r="U546" s="75" t="s">
        <v>82</v>
      </c>
      <c r="V546" s="68">
        <v>84</v>
      </c>
      <c r="W546" s="68"/>
      <c r="X546" s="69">
        <v>0</v>
      </c>
      <c r="Y546" s="68">
        <v>0</v>
      </c>
      <c r="Z546" s="68">
        <v>0</v>
      </c>
      <c r="AA546" s="68">
        <v>0</v>
      </c>
      <c r="AB546" s="68">
        <v>0</v>
      </c>
      <c r="AC546" s="68"/>
      <c r="AD546" s="68">
        <v>0</v>
      </c>
      <c r="AE546" s="68">
        <v>0</v>
      </c>
      <c r="AF546" s="68">
        <v>0</v>
      </c>
      <c r="AG546" s="68">
        <v>0</v>
      </c>
      <c r="AH546" s="68">
        <v>0</v>
      </c>
      <c r="AI546" s="68"/>
      <c r="AJ546" s="68">
        <v>0</v>
      </c>
      <c r="AK546" s="68">
        <v>0</v>
      </c>
      <c r="AL546" s="68">
        <v>1</v>
      </c>
      <c r="AM546" s="68"/>
      <c r="AN546" s="68">
        <v>1</v>
      </c>
      <c r="AO546" s="68"/>
      <c r="AP546" s="68">
        <v>1</v>
      </c>
      <c r="AQ546" s="68"/>
      <c r="AR546" s="68">
        <v>0</v>
      </c>
      <c r="AS546" s="68">
        <v>0</v>
      </c>
      <c r="AT546" s="68">
        <v>0</v>
      </c>
      <c r="AU546" s="68"/>
      <c r="AV546" s="68">
        <v>0</v>
      </c>
      <c r="AW546" s="68">
        <v>0</v>
      </c>
      <c r="AX546" s="170">
        <f t="shared" si="68"/>
        <v>6320</v>
      </c>
      <c r="AY546" s="170"/>
      <c r="AZ546" s="64" t="s">
        <v>77</v>
      </c>
      <c r="BA546" s="64" t="s">
        <v>77</v>
      </c>
      <c r="BB546" s="15" t="s">
        <v>77</v>
      </c>
      <c r="BC546" s="74">
        <v>540</v>
      </c>
      <c r="BD546" s="70"/>
      <c r="BE546" s="67"/>
      <c r="BF546" s="71"/>
      <c r="BG546" s="15"/>
      <c r="BH546" s="72" t="s">
        <v>77</v>
      </c>
      <c r="BI546" s="72" t="s">
        <v>77</v>
      </c>
    </row>
    <row r="547" spans="1:63" s="16" customFormat="1" ht="42" customHeight="1" x14ac:dyDescent="0.3">
      <c r="A547" s="26">
        <v>541</v>
      </c>
      <c r="B547" s="62">
        <v>248721</v>
      </c>
      <c r="C547" s="62">
        <v>541</v>
      </c>
      <c r="D547" s="63">
        <v>46125</v>
      </c>
      <c r="E547" s="63">
        <f t="shared" si="67"/>
        <v>46124</v>
      </c>
      <c r="F547" s="63">
        <f t="shared" si="70"/>
        <v>46135</v>
      </c>
      <c r="G547" s="63">
        <v>46216</v>
      </c>
      <c r="H547" s="63">
        <f t="shared" ca="1" si="73"/>
        <v>46277</v>
      </c>
      <c r="I547" s="63" t="s">
        <v>321</v>
      </c>
      <c r="J547" s="64" t="s">
        <v>1194</v>
      </c>
      <c r="K547" s="65">
        <f t="shared" si="72"/>
        <v>81</v>
      </c>
      <c r="L547" s="65">
        <v>1216621</v>
      </c>
      <c r="M547" s="64" t="s">
        <v>77</v>
      </c>
      <c r="N547" s="64" t="s">
        <v>77</v>
      </c>
      <c r="O547" s="64" t="s">
        <v>77</v>
      </c>
      <c r="P547" s="103" t="s">
        <v>77</v>
      </c>
      <c r="Q547" s="103" t="s">
        <v>77</v>
      </c>
      <c r="R547" s="73" t="s">
        <v>211</v>
      </c>
      <c r="S547" s="66" t="s">
        <v>1196</v>
      </c>
      <c r="T547" s="67">
        <v>1</v>
      </c>
      <c r="U547" s="75" t="s">
        <v>1195</v>
      </c>
      <c r="V547" s="68">
        <v>65</v>
      </c>
      <c r="W547" s="68"/>
      <c r="X547" s="69">
        <v>0</v>
      </c>
      <c r="Y547" s="68">
        <v>0</v>
      </c>
      <c r="Z547" s="68">
        <v>0</v>
      </c>
      <c r="AA547" s="68">
        <v>0</v>
      </c>
      <c r="AB547" s="68">
        <v>0</v>
      </c>
      <c r="AC547" s="68"/>
      <c r="AD547" s="68">
        <v>0</v>
      </c>
      <c r="AE547" s="68">
        <v>0</v>
      </c>
      <c r="AF547" s="68">
        <v>0</v>
      </c>
      <c r="AG547" s="68">
        <v>0</v>
      </c>
      <c r="AH547" s="68">
        <v>0</v>
      </c>
      <c r="AI547" s="68"/>
      <c r="AJ547" s="68">
        <v>0</v>
      </c>
      <c r="AK547" s="68">
        <v>0</v>
      </c>
      <c r="AL547" s="68">
        <v>1</v>
      </c>
      <c r="AM547" s="68"/>
      <c r="AN547" s="68">
        <v>1</v>
      </c>
      <c r="AO547" s="68"/>
      <c r="AP547" s="68">
        <v>1</v>
      </c>
      <c r="AQ547" s="68"/>
      <c r="AR547" s="68">
        <v>0</v>
      </c>
      <c r="AS547" s="68">
        <v>0</v>
      </c>
      <c r="AT547" s="68">
        <v>0</v>
      </c>
      <c r="AU547" s="68"/>
      <c r="AV547" s="68">
        <v>0</v>
      </c>
      <c r="AW547" s="68">
        <v>0</v>
      </c>
      <c r="AX547" s="170">
        <f t="shared" si="68"/>
        <v>5180</v>
      </c>
      <c r="AY547" s="170"/>
      <c r="AZ547" s="64" t="s">
        <v>77</v>
      </c>
      <c r="BA547" s="64" t="s">
        <v>77</v>
      </c>
      <c r="BB547" s="15" t="s">
        <v>77</v>
      </c>
      <c r="BC547" s="74">
        <v>541</v>
      </c>
      <c r="BD547" s="70"/>
      <c r="BE547" s="67"/>
      <c r="BF547" s="71"/>
      <c r="BG547" s="15"/>
      <c r="BH547" s="72" t="s">
        <v>77</v>
      </c>
      <c r="BI547" s="72" t="s">
        <v>77</v>
      </c>
    </row>
    <row r="548" spans="1:63" s="16" customFormat="1" ht="42" customHeight="1" x14ac:dyDescent="0.3">
      <c r="A548" s="26">
        <v>542</v>
      </c>
      <c r="B548" s="62">
        <v>248729</v>
      </c>
      <c r="C548" s="62">
        <v>542</v>
      </c>
      <c r="D548" s="63">
        <v>46125</v>
      </c>
      <c r="E548" s="63">
        <f t="shared" si="67"/>
        <v>46124</v>
      </c>
      <c r="F548" s="63">
        <f t="shared" si="70"/>
        <v>46135</v>
      </c>
      <c r="G548" s="63">
        <v>46216</v>
      </c>
      <c r="H548" s="63">
        <f t="shared" ca="1" si="73"/>
        <v>46277</v>
      </c>
      <c r="I548" s="63" t="s">
        <v>321</v>
      </c>
      <c r="J548" s="64" t="s">
        <v>1197</v>
      </c>
      <c r="K548" s="65">
        <f t="shared" si="72"/>
        <v>81</v>
      </c>
      <c r="L548" s="65">
        <v>1216628</v>
      </c>
      <c r="M548" s="64" t="s">
        <v>77</v>
      </c>
      <c r="N548" s="64" t="s">
        <v>77</v>
      </c>
      <c r="O548" s="64" t="s">
        <v>77</v>
      </c>
      <c r="P548" s="103" t="s">
        <v>77</v>
      </c>
      <c r="Q548" s="103" t="s">
        <v>77</v>
      </c>
      <c r="R548" s="73" t="s">
        <v>211</v>
      </c>
      <c r="S548" s="66" t="s">
        <v>1198</v>
      </c>
      <c r="T548" s="67">
        <v>1</v>
      </c>
      <c r="U548" s="75" t="s">
        <v>1029</v>
      </c>
      <c r="V548" s="68">
        <v>106</v>
      </c>
      <c r="W548" s="68"/>
      <c r="X548" s="69">
        <v>0</v>
      </c>
      <c r="Y548" s="68">
        <v>0</v>
      </c>
      <c r="Z548" s="68">
        <v>0</v>
      </c>
      <c r="AA548" s="68">
        <v>0</v>
      </c>
      <c r="AB548" s="68">
        <v>0</v>
      </c>
      <c r="AC548" s="68"/>
      <c r="AD548" s="68">
        <v>0</v>
      </c>
      <c r="AE548" s="68">
        <v>0</v>
      </c>
      <c r="AF548" s="68">
        <v>0</v>
      </c>
      <c r="AG548" s="68">
        <v>0</v>
      </c>
      <c r="AH548" s="68">
        <v>0</v>
      </c>
      <c r="AI548" s="68"/>
      <c r="AJ548" s="68">
        <v>0</v>
      </c>
      <c r="AK548" s="68">
        <v>0</v>
      </c>
      <c r="AL548" s="68">
        <v>1</v>
      </c>
      <c r="AM548" s="68"/>
      <c r="AN548" s="68">
        <v>1</v>
      </c>
      <c r="AO548" s="68"/>
      <c r="AP548" s="68">
        <v>1</v>
      </c>
      <c r="AQ548" s="68"/>
      <c r="AR548" s="68">
        <v>0</v>
      </c>
      <c r="AS548" s="68">
        <v>0</v>
      </c>
      <c r="AT548" s="68">
        <v>0</v>
      </c>
      <c r="AU548" s="68"/>
      <c r="AV548" s="68">
        <v>0</v>
      </c>
      <c r="AW548" s="68">
        <v>0</v>
      </c>
      <c r="AX548" s="170">
        <f t="shared" si="68"/>
        <v>7640</v>
      </c>
      <c r="AY548" s="170"/>
      <c r="AZ548" s="64" t="s">
        <v>77</v>
      </c>
      <c r="BA548" s="64" t="s">
        <v>77</v>
      </c>
      <c r="BB548" s="15" t="s">
        <v>77</v>
      </c>
      <c r="BC548" s="74">
        <v>542</v>
      </c>
      <c r="BD548" s="70"/>
      <c r="BE548" s="67"/>
      <c r="BF548" s="71"/>
      <c r="BG548" s="15"/>
      <c r="BH548" s="72" t="s">
        <v>77</v>
      </c>
      <c r="BI548" s="72" t="s">
        <v>77</v>
      </c>
    </row>
    <row r="549" spans="1:63" s="16" customFormat="1" ht="42" customHeight="1" x14ac:dyDescent="0.3">
      <c r="A549" s="26">
        <v>543</v>
      </c>
      <c r="B549" s="62">
        <v>248736</v>
      </c>
      <c r="C549" s="62">
        <v>543</v>
      </c>
      <c r="D549" s="63">
        <v>46125</v>
      </c>
      <c r="E549" s="63">
        <f t="shared" si="67"/>
        <v>46124</v>
      </c>
      <c r="F549" s="63">
        <f t="shared" si="70"/>
        <v>46135</v>
      </c>
      <c r="G549" s="63">
        <v>46216</v>
      </c>
      <c r="H549" s="63">
        <f t="shared" ca="1" si="73"/>
        <v>46277</v>
      </c>
      <c r="I549" s="63" t="s">
        <v>321</v>
      </c>
      <c r="J549" s="64" t="s">
        <v>1199</v>
      </c>
      <c r="K549" s="65">
        <f t="shared" si="72"/>
        <v>81</v>
      </c>
      <c r="L549" s="65">
        <v>1216631</v>
      </c>
      <c r="M549" s="64" t="s">
        <v>77</v>
      </c>
      <c r="N549" s="64">
        <v>837397</v>
      </c>
      <c r="O549" s="80" t="s">
        <v>246</v>
      </c>
      <c r="P549" s="103">
        <v>46259</v>
      </c>
      <c r="Q549" s="103">
        <v>46429</v>
      </c>
      <c r="R549" s="73" t="s">
        <v>211</v>
      </c>
      <c r="S549" s="66" t="s">
        <v>1200</v>
      </c>
      <c r="T549" s="67">
        <v>1</v>
      </c>
      <c r="U549" s="75" t="s">
        <v>82</v>
      </c>
      <c r="V549" s="68">
        <v>121</v>
      </c>
      <c r="W549" s="68"/>
      <c r="X549" s="69">
        <v>0</v>
      </c>
      <c r="Y549" s="68">
        <v>0</v>
      </c>
      <c r="Z549" s="68">
        <v>0</v>
      </c>
      <c r="AA549" s="68">
        <v>0</v>
      </c>
      <c r="AB549" s="68">
        <v>0</v>
      </c>
      <c r="AC549" s="68"/>
      <c r="AD549" s="68">
        <v>0</v>
      </c>
      <c r="AE549" s="68">
        <v>0</v>
      </c>
      <c r="AF549" s="68">
        <v>0</v>
      </c>
      <c r="AG549" s="68">
        <v>0</v>
      </c>
      <c r="AH549" s="68">
        <v>0</v>
      </c>
      <c r="AI549" s="68"/>
      <c r="AJ549" s="68">
        <v>0</v>
      </c>
      <c r="AK549" s="68">
        <v>0</v>
      </c>
      <c r="AL549" s="68">
        <v>1</v>
      </c>
      <c r="AM549" s="68"/>
      <c r="AN549" s="68">
        <v>1</v>
      </c>
      <c r="AO549" s="68"/>
      <c r="AP549" s="68">
        <v>1</v>
      </c>
      <c r="AQ549" s="68"/>
      <c r="AR549" s="68">
        <v>0</v>
      </c>
      <c r="AS549" s="68">
        <v>0</v>
      </c>
      <c r="AT549" s="68">
        <v>0</v>
      </c>
      <c r="AU549" s="68"/>
      <c r="AV549" s="68">
        <v>0</v>
      </c>
      <c r="AW549" s="68">
        <v>0</v>
      </c>
      <c r="AX549" s="170">
        <f t="shared" si="68"/>
        <v>8540</v>
      </c>
      <c r="AY549" s="170"/>
      <c r="AZ549" s="64" t="s">
        <v>77</v>
      </c>
      <c r="BA549" s="64" t="s">
        <v>77</v>
      </c>
      <c r="BB549" s="15" t="s">
        <v>77</v>
      </c>
      <c r="BC549" s="74">
        <v>543</v>
      </c>
      <c r="BD549" s="70"/>
      <c r="BE549" s="67"/>
      <c r="BF549" s="71"/>
      <c r="BG549" s="15"/>
      <c r="BH549" s="72" t="s">
        <v>77</v>
      </c>
      <c r="BI549" s="72" t="s">
        <v>77</v>
      </c>
    </row>
    <row r="550" spans="1:63" s="16" customFormat="1" ht="42" customHeight="1" x14ac:dyDescent="0.3">
      <c r="A550" s="26">
        <v>544</v>
      </c>
      <c r="B550" s="62">
        <v>248738</v>
      </c>
      <c r="C550" s="62">
        <v>544</v>
      </c>
      <c r="D550" s="63">
        <v>46125</v>
      </c>
      <c r="E550" s="63">
        <f t="shared" si="67"/>
        <v>46124</v>
      </c>
      <c r="F550" s="63">
        <f t="shared" si="70"/>
        <v>46135</v>
      </c>
      <c r="G550" s="63">
        <v>46216</v>
      </c>
      <c r="H550" s="63">
        <f t="shared" ca="1" si="73"/>
        <v>46277</v>
      </c>
      <c r="I550" s="63" t="s">
        <v>321</v>
      </c>
      <c r="J550" s="64" t="s">
        <v>1201</v>
      </c>
      <c r="K550" s="65">
        <f t="shared" si="72"/>
        <v>81</v>
      </c>
      <c r="L550" s="65">
        <v>1216637</v>
      </c>
      <c r="M550" s="64" t="s">
        <v>77</v>
      </c>
      <c r="N550" s="64" t="s">
        <v>77</v>
      </c>
      <c r="O550" s="64" t="s">
        <v>77</v>
      </c>
      <c r="P550" s="103" t="s">
        <v>77</v>
      </c>
      <c r="Q550" s="103" t="s">
        <v>77</v>
      </c>
      <c r="R550" s="73" t="s">
        <v>211</v>
      </c>
      <c r="S550" s="66" t="s">
        <v>1203</v>
      </c>
      <c r="T550" s="67">
        <v>1</v>
      </c>
      <c r="U550" s="75" t="s">
        <v>1202</v>
      </c>
      <c r="V550" s="68">
        <v>165</v>
      </c>
      <c r="W550" s="68"/>
      <c r="X550" s="69">
        <v>0</v>
      </c>
      <c r="Y550" s="68">
        <v>0</v>
      </c>
      <c r="Z550" s="68">
        <v>0</v>
      </c>
      <c r="AA550" s="68">
        <v>0</v>
      </c>
      <c r="AB550" s="68">
        <v>0</v>
      </c>
      <c r="AC550" s="68"/>
      <c r="AD550" s="68">
        <v>0</v>
      </c>
      <c r="AE550" s="68">
        <v>0</v>
      </c>
      <c r="AF550" s="68">
        <v>0</v>
      </c>
      <c r="AG550" s="68">
        <v>0</v>
      </c>
      <c r="AH550" s="68">
        <v>0</v>
      </c>
      <c r="AI550" s="68"/>
      <c r="AJ550" s="68">
        <v>0</v>
      </c>
      <c r="AK550" s="68">
        <v>0</v>
      </c>
      <c r="AL550" s="68">
        <v>1</v>
      </c>
      <c r="AM550" s="68"/>
      <c r="AN550" s="68">
        <v>1</v>
      </c>
      <c r="AO550" s="68"/>
      <c r="AP550" s="68">
        <v>1</v>
      </c>
      <c r="AQ550" s="68"/>
      <c r="AR550" s="68">
        <v>0</v>
      </c>
      <c r="AS550" s="68">
        <v>0</v>
      </c>
      <c r="AT550" s="68">
        <v>0</v>
      </c>
      <c r="AU550" s="68"/>
      <c r="AV550" s="68">
        <v>0</v>
      </c>
      <c r="AW550" s="68">
        <v>0</v>
      </c>
      <c r="AX550" s="170">
        <f t="shared" si="68"/>
        <v>11180</v>
      </c>
      <c r="AY550" s="170"/>
      <c r="AZ550" s="64" t="s">
        <v>77</v>
      </c>
      <c r="BA550" s="64" t="s">
        <v>77</v>
      </c>
      <c r="BB550" s="15" t="s">
        <v>77</v>
      </c>
      <c r="BC550" s="74">
        <v>544</v>
      </c>
      <c r="BD550" s="70"/>
      <c r="BE550" s="67"/>
      <c r="BF550" s="71"/>
      <c r="BG550" s="15"/>
      <c r="BH550" s="72" t="s">
        <v>77</v>
      </c>
      <c r="BI550" s="72" t="s">
        <v>77</v>
      </c>
    </row>
    <row r="551" spans="1:63" s="16" customFormat="1" ht="42" hidden="1" customHeight="1" x14ac:dyDescent="0.3">
      <c r="A551" s="26">
        <v>545</v>
      </c>
      <c r="B551" s="138">
        <v>248812</v>
      </c>
      <c r="C551" s="138">
        <v>545</v>
      </c>
      <c r="D551" s="139">
        <v>46126</v>
      </c>
      <c r="E551" s="139">
        <f t="shared" si="67"/>
        <v>46125</v>
      </c>
      <c r="F551" s="139">
        <f t="shared" si="70"/>
        <v>46136</v>
      </c>
      <c r="G551" s="139">
        <v>46187</v>
      </c>
      <c r="H551" s="139">
        <v>46153</v>
      </c>
      <c r="I551" s="139" t="s">
        <v>123</v>
      </c>
      <c r="J551" s="140" t="s">
        <v>1204</v>
      </c>
      <c r="K551" s="141">
        <f t="shared" si="72"/>
        <v>51</v>
      </c>
      <c r="L551" s="141">
        <v>1217234</v>
      </c>
      <c r="M551" s="140" t="s">
        <v>15</v>
      </c>
      <c r="N551" s="140">
        <v>824703</v>
      </c>
      <c r="O551" s="140" t="s">
        <v>246</v>
      </c>
      <c r="P551" s="143">
        <v>46137</v>
      </c>
      <c r="Q551" s="143">
        <v>46317</v>
      </c>
      <c r="R551" s="185" t="s">
        <v>211</v>
      </c>
      <c r="S551" s="144" t="s">
        <v>1205</v>
      </c>
      <c r="T551" s="145">
        <v>1</v>
      </c>
      <c r="U551" s="186" t="s">
        <v>82</v>
      </c>
      <c r="V551" s="146">
        <v>15</v>
      </c>
      <c r="W551" s="146">
        <v>15</v>
      </c>
      <c r="X551" s="147">
        <v>0</v>
      </c>
      <c r="Y551" s="146">
        <v>0</v>
      </c>
      <c r="Z551" s="146">
        <v>0</v>
      </c>
      <c r="AA551" s="146">
        <v>0</v>
      </c>
      <c r="AB551" s="146">
        <v>4</v>
      </c>
      <c r="AC551" s="146">
        <v>4</v>
      </c>
      <c r="AD551" s="146">
        <v>0</v>
      </c>
      <c r="AE551" s="146">
        <v>0</v>
      </c>
      <c r="AF551" s="146">
        <v>0</v>
      </c>
      <c r="AG551" s="146">
        <v>0</v>
      </c>
      <c r="AH551" s="146">
        <v>1</v>
      </c>
      <c r="AI551" s="146">
        <v>1</v>
      </c>
      <c r="AJ551" s="146">
        <v>0</v>
      </c>
      <c r="AK551" s="146">
        <v>0</v>
      </c>
      <c r="AL551" s="146">
        <v>1</v>
      </c>
      <c r="AM551" s="146">
        <v>1</v>
      </c>
      <c r="AN551" s="146">
        <v>2</v>
      </c>
      <c r="AO551" s="146">
        <v>2</v>
      </c>
      <c r="AP551" s="146">
        <v>2</v>
      </c>
      <c r="AQ551" s="146">
        <v>2</v>
      </c>
      <c r="AR551" s="146">
        <v>0</v>
      </c>
      <c r="AS551" s="146">
        <v>0</v>
      </c>
      <c r="AT551" s="146">
        <v>1</v>
      </c>
      <c r="AU551" s="146">
        <v>1</v>
      </c>
      <c r="AV551" s="146">
        <v>0</v>
      </c>
      <c r="AW551" s="146">
        <v>0</v>
      </c>
      <c r="AX551" s="146">
        <f t="shared" si="68"/>
        <v>3618</v>
      </c>
      <c r="AY551" s="146">
        <f>(W551*60)+(Y551*80)+(AA551*38)+(AC551*57)+(AE551*75)+(AG551*155)+(AI551*170)+(AK551*375)+(AM551*590)+(AO551*60)+(AQ551*630)+(AS551*400)+(AU551*350)+(AW551*950)</f>
        <v>3618</v>
      </c>
      <c r="AZ551" s="137" t="s">
        <v>562</v>
      </c>
      <c r="BA551" s="137" t="s">
        <v>562</v>
      </c>
      <c r="BB551" s="137">
        <v>11</v>
      </c>
      <c r="BC551" s="187">
        <v>545</v>
      </c>
      <c r="BD551" s="149"/>
      <c r="BE551" s="145"/>
      <c r="BF551" s="150"/>
      <c r="BG551" s="188">
        <v>46149</v>
      </c>
      <c r="BH551" s="153" t="s">
        <v>15</v>
      </c>
      <c r="BI551" s="153" t="s">
        <v>562</v>
      </c>
      <c r="BK551" s="238"/>
    </row>
    <row r="552" spans="1:63" s="16" customFormat="1" ht="42" hidden="1" customHeight="1" x14ac:dyDescent="0.3">
      <c r="A552" s="26">
        <v>546</v>
      </c>
      <c r="B552" s="138">
        <v>248813</v>
      </c>
      <c r="C552" s="138">
        <v>546</v>
      </c>
      <c r="D552" s="139">
        <v>46126</v>
      </c>
      <c r="E552" s="139">
        <f t="shared" si="67"/>
        <v>46125</v>
      </c>
      <c r="F552" s="139">
        <f t="shared" si="70"/>
        <v>46136</v>
      </c>
      <c r="G552" s="139">
        <v>46187</v>
      </c>
      <c r="H552" s="139">
        <v>46152</v>
      </c>
      <c r="I552" s="139" t="s">
        <v>123</v>
      </c>
      <c r="J552" s="140" t="s">
        <v>1206</v>
      </c>
      <c r="K552" s="141">
        <f t="shared" si="72"/>
        <v>51</v>
      </c>
      <c r="L552" s="141">
        <v>1217238</v>
      </c>
      <c r="M552" s="140" t="s">
        <v>15</v>
      </c>
      <c r="N552" s="140">
        <v>824476</v>
      </c>
      <c r="O552" s="140" t="s">
        <v>246</v>
      </c>
      <c r="P552" s="143">
        <v>46137</v>
      </c>
      <c r="Q552" s="143">
        <v>46317</v>
      </c>
      <c r="R552" s="185" t="s">
        <v>211</v>
      </c>
      <c r="S552" s="144" t="s">
        <v>1207</v>
      </c>
      <c r="T552" s="145">
        <v>1</v>
      </c>
      <c r="U552" s="186" t="s">
        <v>106</v>
      </c>
      <c r="V552" s="146">
        <v>33</v>
      </c>
      <c r="W552" s="146">
        <v>33</v>
      </c>
      <c r="X552" s="147">
        <v>0</v>
      </c>
      <c r="Y552" s="146">
        <v>0</v>
      </c>
      <c r="Z552" s="146">
        <v>0</v>
      </c>
      <c r="AA552" s="146">
        <v>0</v>
      </c>
      <c r="AB552" s="146">
        <v>0</v>
      </c>
      <c r="AC552" s="146">
        <v>0</v>
      </c>
      <c r="AD552" s="146">
        <v>0</v>
      </c>
      <c r="AE552" s="146">
        <v>0</v>
      </c>
      <c r="AF552" s="146">
        <v>0</v>
      </c>
      <c r="AG552" s="146">
        <v>0</v>
      </c>
      <c r="AH552" s="146">
        <v>1</v>
      </c>
      <c r="AI552" s="146">
        <v>1</v>
      </c>
      <c r="AJ552" s="146">
        <v>0</v>
      </c>
      <c r="AK552" s="146">
        <v>0</v>
      </c>
      <c r="AL552" s="146">
        <v>0</v>
      </c>
      <c r="AM552" s="146">
        <v>0</v>
      </c>
      <c r="AN552" s="146">
        <v>1</v>
      </c>
      <c r="AO552" s="146">
        <v>1</v>
      </c>
      <c r="AP552" s="146">
        <v>2</v>
      </c>
      <c r="AQ552" s="146">
        <v>2</v>
      </c>
      <c r="AR552" s="146">
        <v>0</v>
      </c>
      <c r="AS552" s="146">
        <v>0</v>
      </c>
      <c r="AT552" s="146">
        <v>1</v>
      </c>
      <c r="AU552" s="146">
        <v>1</v>
      </c>
      <c r="AV552" s="146">
        <v>0</v>
      </c>
      <c r="AW552" s="146">
        <v>0</v>
      </c>
      <c r="AX552" s="146">
        <f t="shared" si="68"/>
        <v>3820</v>
      </c>
      <c r="AY552" s="146">
        <f>(W552*60)+(Y552*80)+(AA552*38)+(AC552*57)+(AE552*75)+(AG552*155)+(AI552*170)+(AK552*375)+(AM552*590)+(AO552*60)+(AQ552*630)+(AS552*400)+(AU552*350)+(AW552*950)</f>
        <v>3820</v>
      </c>
      <c r="AZ552" s="137" t="s">
        <v>562</v>
      </c>
      <c r="BA552" s="137" t="s">
        <v>562</v>
      </c>
      <c r="BB552" s="137">
        <v>11</v>
      </c>
      <c r="BC552" s="187">
        <v>546</v>
      </c>
      <c r="BD552" s="149"/>
      <c r="BE552" s="145"/>
      <c r="BF552" s="150"/>
      <c r="BG552" s="188">
        <v>46148</v>
      </c>
      <c r="BH552" s="153" t="s">
        <v>15</v>
      </c>
      <c r="BI552" s="153" t="s">
        <v>562</v>
      </c>
      <c r="BK552" s="238"/>
    </row>
    <row r="553" spans="1:63" s="16" customFormat="1" ht="42" hidden="1" customHeight="1" x14ac:dyDescent="0.3">
      <c r="A553" s="26">
        <v>547</v>
      </c>
      <c r="B553" s="138">
        <v>248814</v>
      </c>
      <c r="C553" s="138">
        <v>547</v>
      </c>
      <c r="D553" s="139">
        <v>46126</v>
      </c>
      <c r="E553" s="139">
        <f t="shared" si="67"/>
        <v>46125</v>
      </c>
      <c r="F553" s="139">
        <f t="shared" si="70"/>
        <v>46136</v>
      </c>
      <c r="G553" s="139">
        <v>46187</v>
      </c>
      <c r="H553" s="139">
        <v>46141</v>
      </c>
      <c r="I553" s="139" t="s">
        <v>123</v>
      </c>
      <c r="J553" s="140" t="s">
        <v>1208</v>
      </c>
      <c r="K553" s="141">
        <f t="shared" si="72"/>
        <v>51</v>
      </c>
      <c r="L553" s="141">
        <v>1217240</v>
      </c>
      <c r="M553" s="140" t="s">
        <v>15</v>
      </c>
      <c r="N553" s="140">
        <v>824703</v>
      </c>
      <c r="O553" s="140" t="s">
        <v>246</v>
      </c>
      <c r="P553" s="143">
        <v>46137</v>
      </c>
      <c r="Q553" s="143">
        <v>46317</v>
      </c>
      <c r="R553" s="185" t="s">
        <v>211</v>
      </c>
      <c r="S553" s="144" t="s">
        <v>1209</v>
      </c>
      <c r="T553" s="145">
        <v>1</v>
      </c>
      <c r="U553" s="186" t="s">
        <v>82</v>
      </c>
      <c r="V553" s="146">
        <v>20</v>
      </c>
      <c r="W553" s="146">
        <v>20</v>
      </c>
      <c r="X553" s="147">
        <v>0</v>
      </c>
      <c r="Y553" s="146">
        <v>0</v>
      </c>
      <c r="Z553" s="146">
        <v>0</v>
      </c>
      <c r="AA553" s="146">
        <v>0</v>
      </c>
      <c r="AB553" s="146">
        <v>2</v>
      </c>
      <c r="AC553" s="146">
        <v>2</v>
      </c>
      <c r="AD553" s="146">
        <v>0</v>
      </c>
      <c r="AE553" s="146">
        <v>0</v>
      </c>
      <c r="AF553" s="146">
        <v>0</v>
      </c>
      <c r="AG553" s="146">
        <v>0</v>
      </c>
      <c r="AH553" s="146">
        <v>1</v>
      </c>
      <c r="AI553" s="146">
        <v>1</v>
      </c>
      <c r="AJ553" s="146">
        <v>0</v>
      </c>
      <c r="AK553" s="146">
        <v>0</v>
      </c>
      <c r="AL553" s="146">
        <v>0</v>
      </c>
      <c r="AM553" s="146">
        <v>0</v>
      </c>
      <c r="AN553" s="146">
        <v>1</v>
      </c>
      <c r="AO553" s="146">
        <v>1</v>
      </c>
      <c r="AP553" s="146">
        <v>2</v>
      </c>
      <c r="AQ553" s="146">
        <v>2</v>
      </c>
      <c r="AR553" s="146">
        <v>0</v>
      </c>
      <c r="AS553" s="146">
        <v>0</v>
      </c>
      <c r="AT553" s="146">
        <v>1</v>
      </c>
      <c r="AU553" s="146">
        <v>1</v>
      </c>
      <c r="AV553" s="146">
        <v>0</v>
      </c>
      <c r="AW553" s="146">
        <v>0</v>
      </c>
      <c r="AX553" s="146">
        <f t="shared" si="68"/>
        <v>3154</v>
      </c>
      <c r="AY553" s="146">
        <f>(W553*60)+(Y553*80)+(AA553*38)+(AC553*57)+(AE553*75)+(AG553*155)+(AI553*170)+(AK553*375)+(AM553*590)+(AO553*60)+(AQ553*630)+(AS553*400)+(AU553*350)+(AW553*950)</f>
        <v>3154</v>
      </c>
      <c r="AZ553" s="137" t="s">
        <v>562</v>
      </c>
      <c r="BA553" s="137" t="s">
        <v>562</v>
      </c>
      <c r="BB553" s="137">
        <v>11</v>
      </c>
      <c r="BC553" s="187">
        <v>547</v>
      </c>
      <c r="BD553" s="149"/>
      <c r="BE553" s="145"/>
      <c r="BF553" s="150"/>
      <c r="BG553" s="188">
        <v>46141</v>
      </c>
      <c r="BH553" s="153" t="s">
        <v>15</v>
      </c>
      <c r="BI553" s="153" t="s">
        <v>562</v>
      </c>
      <c r="BK553" s="238"/>
    </row>
    <row r="554" spans="1:63" s="16" customFormat="1" ht="42" customHeight="1" x14ac:dyDescent="0.3">
      <c r="A554" s="26">
        <v>548</v>
      </c>
      <c r="B554" s="62">
        <v>248815</v>
      </c>
      <c r="C554" s="62">
        <v>548</v>
      </c>
      <c r="D554" s="63">
        <v>46126</v>
      </c>
      <c r="E554" s="63">
        <f t="shared" si="67"/>
        <v>46125</v>
      </c>
      <c r="F554" s="63">
        <f t="shared" si="70"/>
        <v>46136</v>
      </c>
      <c r="G554" s="63">
        <v>46217</v>
      </c>
      <c r="H554" s="63">
        <f ca="1">TODAY()</f>
        <v>46277</v>
      </c>
      <c r="I554" s="63" t="s">
        <v>321</v>
      </c>
      <c r="J554" s="64" t="s">
        <v>1210</v>
      </c>
      <c r="K554" s="65">
        <f t="shared" si="72"/>
        <v>81</v>
      </c>
      <c r="L554" s="65">
        <v>1217242</v>
      </c>
      <c r="M554" s="64" t="s">
        <v>77</v>
      </c>
      <c r="N554" s="64">
        <v>837397</v>
      </c>
      <c r="O554" s="80" t="s">
        <v>246</v>
      </c>
      <c r="P554" s="103">
        <v>46259</v>
      </c>
      <c r="Q554" s="103">
        <v>46429</v>
      </c>
      <c r="R554" s="73" t="s">
        <v>211</v>
      </c>
      <c r="S554" s="66" t="s">
        <v>1211</v>
      </c>
      <c r="T554" s="67">
        <v>1</v>
      </c>
      <c r="U554" s="75" t="s">
        <v>82</v>
      </c>
      <c r="V554" s="68">
        <v>8</v>
      </c>
      <c r="W554" s="68"/>
      <c r="X554" s="69">
        <v>0</v>
      </c>
      <c r="Y554" s="68">
        <v>0</v>
      </c>
      <c r="Z554" s="68">
        <v>0</v>
      </c>
      <c r="AA554" s="68">
        <v>0</v>
      </c>
      <c r="AB554" s="68">
        <v>0</v>
      </c>
      <c r="AC554" s="68"/>
      <c r="AD554" s="68">
        <v>0</v>
      </c>
      <c r="AE554" s="68">
        <v>0</v>
      </c>
      <c r="AF554" s="68">
        <v>0</v>
      </c>
      <c r="AG554" s="68">
        <v>0</v>
      </c>
      <c r="AH554" s="68">
        <v>0</v>
      </c>
      <c r="AI554" s="68"/>
      <c r="AJ554" s="68">
        <v>0</v>
      </c>
      <c r="AK554" s="68">
        <v>0</v>
      </c>
      <c r="AL554" s="68">
        <v>1</v>
      </c>
      <c r="AM554" s="68"/>
      <c r="AN554" s="68">
        <v>1</v>
      </c>
      <c r="AO554" s="68"/>
      <c r="AP554" s="68">
        <v>1</v>
      </c>
      <c r="AQ554" s="68"/>
      <c r="AR554" s="68">
        <v>0</v>
      </c>
      <c r="AS554" s="68">
        <v>0</v>
      </c>
      <c r="AT554" s="68">
        <v>0</v>
      </c>
      <c r="AU554" s="68"/>
      <c r="AV554" s="68">
        <v>0</v>
      </c>
      <c r="AW554" s="68">
        <v>0</v>
      </c>
      <c r="AX554" s="170">
        <f t="shared" si="68"/>
        <v>1760</v>
      </c>
      <c r="AY554" s="170"/>
      <c r="AZ554" s="64" t="s">
        <v>77</v>
      </c>
      <c r="BA554" s="64" t="s">
        <v>77</v>
      </c>
      <c r="BB554" s="15" t="s">
        <v>77</v>
      </c>
      <c r="BC554" s="74">
        <v>548</v>
      </c>
      <c r="BD554" s="70"/>
      <c r="BE554" s="67"/>
      <c r="BF554" s="71"/>
      <c r="BG554" s="15"/>
      <c r="BH554" s="72" t="s">
        <v>77</v>
      </c>
      <c r="BI554" s="72" t="s">
        <v>77</v>
      </c>
    </row>
    <row r="555" spans="1:63" s="16" customFormat="1" ht="42" hidden="1" customHeight="1" x14ac:dyDescent="0.3">
      <c r="A555" s="26">
        <v>549</v>
      </c>
      <c r="B555" s="138">
        <v>248816</v>
      </c>
      <c r="C555" s="138">
        <v>549</v>
      </c>
      <c r="D555" s="139">
        <v>46155</v>
      </c>
      <c r="E555" s="139">
        <f t="shared" si="67"/>
        <v>46154</v>
      </c>
      <c r="F555" s="139">
        <f t="shared" si="70"/>
        <v>46165</v>
      </c>
      <c r="G555" s="139">
        <v>46216</v>
      </c>
      <c r="H555" s="139">
        <v>46197</v>
      </c>
      <c r="I555" s="139" t="s">
        <v>1250</v>
      </c>
      <c r="J555" s="140" t="s">
        <v>1251</v>
      </c>
      <c r="K555" s="141">
        <f t="shared" si="72"/>
        <v>51</v>
      </c>
      <c r="L555" s="141">
        <v>1217244</v>
      </c>
      <c r="M555" s="140" t="s">
        <v>15</v>
      </c>
      <c r="N555" s="140">
        <v>827871</v>
      </c>
      <c r="O555" s="140" t="s">
        <v>246</v>
      </c>
      <c r="P555" s="143">
        <v>46173</v>
      </c>
      <c r="Q555" s="143">
        <v>46340</v>
      </c>
      <c r="R555" s="185" t="s">
        <v>211</v>
      </c>
      <c r="S555" s="144" t="s">
        <v>1006</v>
      </c>
      <c r="T555" s="145">
        <v>1</v>
      </c>
      <c r="U555" s="186" t="s">
        <v>81</v>
      </c>
      <c r="V555" s="146">
        <v>330</v>
      </c>
      <c r="W555" s="146">
        <v>330</v>
      </c>
      <c r="X555" s="147">
        <v>0</v>
      </c>
      <c r="Y555" s="146">
        <v>0</v>
      </c>
      <c r="Z555" s="146">
        <v>0</v>
      </c>
      <c r="AA555" s="146">
        <v>0</v>
      </c>
      <c r="AB555" s="146">
        <v>0</v>
      </c>
      <c r="AC555" s="146">
        <v>0</v>
      </c>
      <c r="AD555" s="146">
        <v>0</v>
      </c>
      <c r="AE555" s="146">
        <v>0</v>
      </c>
      <c r="AF555" s="146">
        <v>0</v>
      </c>
      <c r="AG555" s="146">
        <v>0</v>
      </c>
      <c r="AH555" s="146">
        <v>1</v>
      </c>
      <c r="AI555" s="146">
        <v>1</v>
      </c>
      <c r="AJ555" s="146">
        <v>0</v>
      </c>
      <c r="AK555" s="146">
        <v>0</v>
      </c>
      <c r="AL555" s="146">
        <v>2</v>
      </c>
      <c r="AM555" s="146">
        <v>2</v>
      </c>
      <c r="AN555" s="146">
        <v>1</v>
      </c>
      <c r="AO555" s="146">
        <v>1</v>
      </c>
      <c r="AP555" s="146">
        <v>1</v>
      </c>
      <c r="AQ555" s="146">
        <v>1</v>
      </c>
      <c r="AR555" s="146">
        <v>0</v>
      </c>
      <c r="AS555" s="146">
        <v>0</v>
      </c>
      <c r="AT555" s="146">
        <v>1</v>
      </c>
      <c r="AU555" s="146">
        <v>1</v>
      </c>
      <c r="AV555" s="146">
        <v>0</v>
      </c>
      <c r="AW555" s="146">
        <v>0</v>
      </c>
      <c r="AX555" s="146">
        <f t="shared" si="68"/>
        <v>22190</v>
      </c>
      <c r="AY555" s="146">
        <f>(W555*60)+(Y555*80)+(AA555*38)+(AC555*57)+(AE555*75)+(AG555*155)+(AI555*170)+(AK555*375)+(AM555*590)+(AO555*60)+(AQ555*630)+(AS555*400)+(AU555*350)+(AW555*950)</f>
        <v>22190</v>
      </c>
      <c r="AZ555" s="140" t="s">
        <v>562</v>
      </c>
      <c r="BA555" s="140" t="s">
        <v>562</v>
      </c>
      <c r="BB555" s="137">
        <v>13</v>
      </c>
      <c r="BC555" s="187">
        <v>549</v>
      </c>
      <c r="BD555" s="149"/>
      <c r="BE555" s="145"/>
      <c r="BF555" s="150"/>
      <c r="BG555" s="188">
        <v>46188</v>
      </c>
      <c r="BH555" s="153" t="s">
        <v>15</v>
      </c>
      <c r="BI555" s="153" t="s">
        <v>562</v>
      </c>
    </row>
    <row r="556" spans="1:63" s="16" customFormat="1" ht="42" customHeight="1" x14ac:dyDescent="0.3">
      <c r="A556" s="26">
        <v>550</v>
      </c>
      <c r="B556" s="62">
        <v>248817</v>
      </c>
      <c r="C556" s="62">
        <v>550</v>
      </c>
      <c r="D556" s="63">
        <v>46126</v>
      </c>
      <c r="E556" s="63">
        <f t="shared" si="67"/>
        <v>46125</v>
      </c>
      <c r="F556" s="63">
        <f t="shared" si="70"/>
        <v>46136</v>
      </c>
      <c r="G556" s="63">
        <v>46217</v>
      </c>
      <c r="H556" s="63">
        <f ca="1">TODAY()</f>
        <v>46277</v>
      </c>
      <c r="I556" s="63" t="s">
        <v>321</v>
      </c>
      <c r="J556" s="64" t="s">
        <v>1212</v>
      </c>
      <c r="K556" s="65">
        <f t="shared" si="72"/>
        <v>81</v>
      </c>
      <c r="L556" s="65">
        <v>1217247</v>
      </c>
      <c r="M556" s="64" t="s">
        <v>77</v>
      </c>
      <c r="N556" s="64">
        <v>837397</v>
      </c>
      <c r="O556" s="80" t="s">
        <v>246</v>
      </c>
      <c r="P556" s="103">
        <v>46259</v>
      </c>
      <c r="Q556" s="103">
        <v>46429</v>
      </c>
      <c r="R556" s="73" t="s">
        <v>211</v>
      </c>
      <c r="S556" s="66" t="s">
        <v>874</v>
      </c>
      <c r="T556" s="67">
        <v>1</v>
      </c>
      <c r="U556" s="75" t="s">
        <v>82</v>
      </c>
      <c r="V556" s="68">
        <v>37</v>
      </c>
      <c r="W556" s="68"/>
      <c r="X556" s="69">
        <v>0</v>
      </c>
      <c r="Y556" s="68">
        <v>0</v>
      </c>
      <c r="Z556" s="68">
        <v>0</v>
      </c>
      <c r="AA556" s="68">
        <v>0</v>
      </c>
      <c r="AB556" s="68">
        <v>0</v>
      </c>
      <c r="AC556" s="68"/>
      <c r="AD556" s="68">
        <v>0</v>
      </c>
      <c r="AE556" s="68">
        <v>0</v>
      </c>
      <c r="AF556" s="68">
        <v>0</v>
      </c>
      <c r="AG556" s="68">
        <v>0</v>
      </c>
      <c r="AH556" s="68">
        <v>0</v>
      </c>
      <c r="AI556" s="68"/>
      <c r="AJ556" s="68">
        <v>0</v>
      </c>
      <c r="AK556" s="68">
        <v>0</v>
      </c>
      <c r="AL556" s="68">
        <v>1</v>
      </c>
      <c r="AM556" s="68"/>
      <c r="AN556" s="68">
        <v>1</v>
      </c>
      <c r="AO556" s="68"/>
      <c r="AP556" s="68">
        <v>1</v>
      </c>
      <c r="AQ556" s="68"/>
      <c r="AR556" s="68">
        <v>0</v>
      </c>
      <c r="AS556" s="68">
        <v>0</v>
      </c>
      <c r="AT556" s="68">
        <v>0</v>
      </c>
      <c r="AU556" s="68"/>
      <c r="AV556" s="68">
        <v>0</v>
      </c>
      <c r="AW556" s="68">
        <v>0</v>
      </c>
      <c r="AX556" s="170">
        <f t="shared" si="68"/>
        <v>3500</v>
      </c>
      <c r="AY556" s="170"/>
      <c r="AZ556" s="64" t="s">
        <v>77</v>
      </c>
      <c r="BA556" s="64" t="s">
        <v>77</v>
      </c>
      <c r="BB556" s="15" t="s">
        <v>77</v>
      </c>
      <c r="BC556" s="74">
        <v>550</v>
      </c>
      <c r="BD556" s="70"/>
      <c r="BE556" s="67"/>
      <c r="BF556" s="71"/>
      <c r="BG556" s="15"/>
      <c r="BH556" s="72" t="s">
        <v>77</v>
      </c>
      <c r="BI556" s="72" t="s">
        <v>77</v>
      </c>
    </row>
    <row r="557" spans="1:63" s="16" customFormat="1" ht="42" customHeight="1" x14ac:dyDescent="0.3">
      <c r="A557" s="26">
        <v>551</v>
      </c>
      <c r="B557" s="62">
        <v>248818</v>
      </c>
      <c r="C557" s="62">
        <v>551</v>
      </c>
      <c r="D557" s="63">
        <v>46126</v>
      </c>
      <c r="E557" s="63">
        <f t="shared" si="67"/>
        <v>46125</v>
      </c>
      <c r="F557" s="63">
        <f t="shared" si="70"/>
        <v>46136</v>
      </c>
      <c r="G557" s="63">
        <v>46217</v>
      </c>
      <c r="H557" s="63">
        <f ca="1">TODAY()</f>
        <v>46277</v>
      </c>
      <c r="I557" s="63" t="s">
        <v>321</v>
      </c>
      <c r="J557" s="64" t="s">
        <v>1213</v>
      </c>
      <c r="K557" s="65">
        <f t="shared" si="72"/>
        <v>81</v>
      </c>
      <c r="L557" s="65">
        <v>1217248</v>
      </c>
      <c r="M557" s="64" t="s">
        <v>77</v>
      </c>
      <c r="N557" s="64">
        <v>843432</v>
      </c>
      <c r="O557" s="64" t="s">
        <v>1335</v>
      </c>
      <c r="P557" s="103" t="s">
        <v>77</v>
      </c>
      <c r="Q557" s="103" t="s">
        <v>77</v>
      </c>
      <c r="R557" s="73" t="s">
        <v>211</v>
      </c>
      <c r="S557" s="66" t="s">
        <v>864</v>
      </c>
      <c r="T557" s="67">
        <v>1</v>
      </c>
      <c r="U557" s="75" t="s">
        <v>82</v>
      </c>
      <c r="V557" s="68">
        <v>83</v>
      </c>
      <c r="W557" s="68"/>
      <c r="X557" s="69">
        <v>0</v>
      </c>
      <c r="Y557" s="68">
        <v>0</v>
      </c>
      <c r="Z557" s="68">
        <v>0</v>
      </c>
      <c r="AA557" s="68">
        <v>0</v>
      </c>
      <c r="AB557" s="68">
        <v>0</v>
      </c>
      <c r="AC557" s="68"/>
      <c r="AD557" s="68">
        <v>0</v>
      </c>
      <c r="AE557" s="68">
        <v>0</v>
      </c>
      <c r="AF557" s="68">
        <v>0</v>
      </c>
      <c r="AG557" s="68">
        <v>0</v>
      </c>
      <c r="AH557" s="68">
        <v>0</v>
      </c>
      <c r="AI557" s="68"/>
      <c r="AJ557" s="68">
        <v>0</v>
      </c>
      <c r="AK557" s="68">
        <v>0</v>
      </c>
      <c r="AL557" s="68">
        <v>1</v>
      </c>
      <c r="AM557" s="68"/>
      <c r="AN557" s="68">
        <v>1</v>
      </c>
      <c r="AO557" s="68"/>
      <c r="AP557" s="68">
        <v>1</v>
      </c>
      <c r="AQ557" s="68"/>
      <c r="AR557" s="68">
        <v>0</v>
      </c>
      <c r="AS557" s="68">
        <v>0</v>
      </c>
      <c r="AT557" s="68">
        <v>0</v>
      </c>
      <c r="AU557" s="68"/>
      <c r="AV557" s="68">
        <v>0</v>
      </c>
      <c r="AW557" s="68">
        <v>0</v>
      </c>
      <c r="AX557" s="170">
        <f t="shared" si="68"/>
        <v>6260</v>
      </c>
      <c r="AY557" s="170"/>
      <c r="AZ557" s="64" t="s">
        <v>77</v>
      </c>
      <c r="BA557" s="64" t="s">
        <v>77</v>
      </c>
      <c r="BB557" s="15" t="s">
        <v>77</v>
      </c>
      <c r="BC557" s="74">
        <v>551</v>
      </c>
      <c r="BD557" s="70"/>
      <c r="BE557" s="67"/>
      <c r="BF557" s="71"/>
      <c r="BG557" s="15"/>
      <c r="BH557" s="72" t="s">
        <v>77</v>
      </c>
      <c r="BI557" s="72" t="s">
        <v>77</v>
      </c>
    </row>
    <row r="558" spans="1:63" s="16" customFormat="1" ht="42" hidden="1" customHeight="1" x14ac:dyDescent="0.3">
      <c r="A558" s="26">
        <v>552</v>
      </c>
      <c r="B558" s="138">
        <v>248895</v>
      </c>
      <c r="C558" s="138">
        <v>552</v>
      </c>
      <c r="D558" s="139">
        <v>46127</v>
      </c>
      <c r="E558" s="139">
        <f t="shared" si="67"/>
        <v>46126</v>
      </c>
      <c r="F558" s="139">
        <f t="shared" si="70"/>
        <v>46137</v>
      </c>
      <c r="G558" s="139">
        <v>46188</v>
      </c>
      <c r="H558" s="139">
        <v>46149</v>
      </c>
      <c r="I558" s="139" t="s">
        <v>123</v>
      </c>
      <c r="J558" s="140" t="s">
        <v>1214</v>
      </c>
      <c r="K558" s="141">
        <f t="shared" si="72"/>
        <v>51</v>
      </c>
      <c r="L558" s="141">
        <v>1217688</v>
      </c>
      <c r="M558" s="140" t="s">
        <v>15</v>
      </c>
      <c r="N558" s="140">
        <v>824703</v>
      </c>
      <c r="O558" s="140" t="s">
        <v>246</v>
      </c>
      <c r="P558" s="143">
        <v>46137</v>
      </c>
      <c r="Q558" s="143">
        <v>46317</v>
      </c>
      <c r="R558" s="185" t="s">
        <v>211</v>
      </c>
      <c r="S558" s="144" t="s">
        <v>1215</v>
      </c>
      <c r="T558" s="145">
        <v>1</v>
      </c>
      <c r="U558" s="186" t="s">
        <v>82</v>
      </c>
      <c r="V558" s="146">
        <v>35</v>
      </c>
      <c r="W558" s="146">
        <v>35</v>
      </c>
      <c r="X558" s="147">
        <v>0</v>
      </c>
      <c r="Y558" s="146">
        <v>0</v>
      </c>
      <c r="Z558" s="146">
        <v>0</v>
      </c>
      <c r="AA558" s="146">
        <v>0</v>
      </c>
      <c r="AB558" s="146">
        <v>0</v>
      </c>
      <c r="AC558" s="146">
        <v>0</v>
      </c>
      <c r="AD558" s="146">
        <v>0</v>
      </c>
      <c r="AE558" s="146">
        <v>0</v>
      </c>
      <c r="AF558" s="146">
        <v>0</v>
      </c>
      <c r="AG558" s="146">
        <v>0</v>
      </c>
      <c r="AH558" s="146">
        <v>1</v>
      </c>
      <c r="AI558" s="146">
        <v>1</v>
      </c>
      <c r="AJ558" s="146">
        <v>0</v>
      </c>
      <c r="AK558" s="146">
        <v>0</v>
      </c>
      <c r="AL558" s="146">
        <v>0</v>
      </c>
      <c r="AM558" s="146">
        <v>0</v>
      </c>
      <c r="AN558" s="146">
        <v>1</v>
      </c>
      <c r="AO558" s="146">
        <v>1</v>
      </c>
      <c r="AP558" s="146">
        <v>2</v>
      </c>
      <c r="AQ558" s="146">
        <v>2</v>
      </c>
      <c r="AR558" s="146">
        <v>0</v>
      </c>
      <c r="AS558" s="146">
        <v>0</v>
      </c>
      <c r="AT558" s="146">
        <v>1</v>
      </c>
      <c r="AU558" s="146">
        <v>1</v>
      </c>
      <c r="AV558" s="146">
        <v>0</v>
      </c>
      <c r="AW558" s="146">
        <v>0</v>
      </c>
      <c r="AX558" s="146">
        <f t="shared" si="68"/>
        <v>3940</v>
      </c>
      <c r="AY558" s="146">
        <f>(W558*60)+(Y558*80)+(AA558*38)+(AC558*57)+(AE558*75)+(AG558*155)+(AI558*170)+(AK558*375)+(AM558*590)+(AO558*60)+(AQ558*630)+(AS558*400)+(AU558*350)+(AW558*950)</f>
        <v>3940</v>
      </c>
      <c r="AZ558" s="137" t="s">
        <v>562</v>
      </c>
      <c r="BA558" s="137" t="s">
        <v>562</v>
      </c>
      <c r="BB558" s="137">
        <v>11</v>
      </c>
      <c r="BC558" s="187">
        <v>552</v>
      </c>
      <c r="BD558" s="149"/>
      <c r="BE558" s="145"/>
      <c r="BF558" s="150"/>
      <c r="BG558" s="188">
        <v>46145</v>
      </c>
      <c r="BH558" s="153" t="s">
        <v>15</v>
      </c>
      <c r="BI558" s="153" t="s">
        <v>562</v>
      </c>
      <c r="BK558" s="238"/>
    </row>
    <row r="559" spans="1:63" s="16" customFormat="1" ht="42" customHeight="1" x14ac:dyDescent="0.3">
      <c r="A559" s="26">
        <v>553</v>
      </c>
      <c r="B559" s="163">
        <v>249033</v>
      </c>
      <c r="C559" s="163">
        <v>553</v>
      </c>
      <c r="D559" s="164">
        <v>46163</v>
      </c>
      <c r="E559" s="164">
        <f t="shared" si="67"/>
        <v>46162</v>
      </c>
      <c r="F559" s="164">
        <f t="shared" si="70"/>
        <v>46173</v>
      </c>
      <c r="G559" s="164">
        <v>46224</v>
      </c>
      <c r="H559" s="164">
        <v>46204</v>
      </c>
      <c r="I559" s="164" t="s">
        <v>123</v>
      </c>
      <c r="J559" s="165" t="s">
        <v>1254</v>
      </c>
      <c r="K559" s="166">
        <f t="shared" si="72"/>
        <v>51</v>
      </c>
      <c r="L559" s="166">
        <v>1218960</v>
      </c>
      <c r="M559" s="165" t="s">
        <v>15</v>
      </c>
      <c r="N559" s="165">
        <v>831253</v>
      </c>
      <c r="O559" s="165" t="s">
        <v>246</v>
      </c>
      <c r="P559" s="167">
        <v>46196</v>
      </c>
      <c r="Q559" s="167">
        <v>46371</v>
      </c>
      <c r="R559" s="179" t="s">
        <v>211</v>
      </c>
      <c r="S559" s="168" t="s">
        <v>1216</v>
      </c>
      <c r="T559" s="169">
        <v>1</v>
      </c>
      <c r="U559" s="180" t="s">
        <v>82</v>
      </c>
      <c r="V559" s="170">
        <v>75</v>
      </c>
      <c r="W559" s="170">
        <v>75</v>
      </c>
      <c r="X559" s="171">
        <v>0</v>
      </c>
      <c r="Y559" s="170">
        <v>0</v>
      </c>
      <c r="Z559" s="170">
        <v>0</v>
      </c>
      <c r="AA559" s="170">
        <v>0</v>
      </c>
      <c r="AB559" s="170">
        <v>22</v>
      </c>
      <c r="AC559" s="170">
        <v>22</v>
      </c>
      <c r="AD559" s="170">
        <v>0</v>
      </c>
      <c r="AE559" s="170">
        <v>0</v>
      </c>
      <c r="AF559" s="170">
        <v>0</v>
      </c>
      <c r="AG559" s="170">
        <v>0</v>
      </c>
      <c r="AH559" s="170">
        <v>1</v>
      </c>
      <c r="AI559" s="170">
        <v>1</v>
      </c>
      <c r="AJ559" s="170">
        <v>0</v>
      </c>
      <c r="AK559" s="170">
        <v>0</v>
      </c>
      <c r="AL559" s="170">
        <v>0</v>
      </c>
      <c r="AM559" s="170">
        <v>0</v>
      </c>
      <c r="AN559" s="170">
        <v>1</v>
      </c>
      <c r="AO559" s="170">
        <v>1</v>
      </c>
      <c r="AP559" s="170">
        <v>2</v>
      </c>
      <c r="AQ559" s="170">
        <v>2</v>
      </c>
      <c r="AR559" s="170">
        <v>0</v>
      </c>
      <c r="AS559" s="170">
        <v>0</v>
      </c>
      <c r="AT559" s="170">
        <v>1</v>
      </c>
      <c r="AU559" s="170">
        <v>1</v>
      </c>
      <c r="AV559" s="170">
        <v>0</v>
      </c>
      <c r="AW559" s="170">
        <v>0</v>
      </c>
      <c r="AX559" s="170">
        <f t="shared" si="68"/>
        <v>7594</v>
      </c>
      <c r="AY559" s="170">
        <f>(W559*60)+(Y559*80)+(AA559*38)+(AC559*57)+(AE559*75)+(AG559*155)+(AI559*170)+(AK559*375)+(AM559*590)+(AO559*60)+(AQ559*630)+(AS559*400)+(AU559*350)+(AW559*950)</f>
        <v>7594</v>
      </c>
      <c r="AZ559" s="165" t="s">
        <v>15</v>
      </c>
      <c r="BA559" s="165" t="s">
        <v>77</v>
      </c>
      <c r="BB559" s="162" t="s">
        <v>77</v>
      </c>
      <c r="BC559" s="181">
        <v>553</v>
      </c>
      <c r="BD559" s="173"/>
      <c r="BE559" s="169"/>
      <c r="BF559" s="174"/>
      <c r="BG559" s="178">
        <v>46201</v>
      </c>
      <c r="BH559" s="175" t="s">
        <v>77</v>
      </c>
      <c r="BI559" s="175" t="s">
        <v>77</v>
      </c>
    </row>
    <row r="560" spans="1:63" s="16" customFormat="1" ht="42" customHeight="1" x14ac:dyDescent="0.3">
      <c r="A560" s="26">
        <v>553</v>
      </c>
      <c r="B560" s="163">
        <v>249033</v>
      </c>
      <c r="C560" s="163" t="s">
        <v>1384</v>
      </c>
      <c r="D560" s="164">
        <v>46163</v>
      </c>
      <c r="E560" s="164">
        <v>46162</v>
      </c>
      <c r="F560" s="164">
        <v>46173</v>
      </c>
      <c r="G560" s="164">
        <v>46224</v>
      </c>
      <c r="H560" s="164">
        <v>46204</v>
      </c>
      <c r="I560" s="164" t="s">
        <v>123</v>
      </c>
      <c r="J560" s="165" t="s">
        <v>1254</v>
      </c>
      <c r="K560" s="166">
        <v>51</v>
      </c>
      <c r="L560" s="166">
        <v>1218960</v>
      </c>
      <c r="M560" s="165" t="s">
        <v>15</v>
      </c>
      <c r="N560" s="165">
        <v>831253</v>
      </c>
      <c r="O560" s="165" t="s">
        <v>246</v>
      </c>
      <c r="P560" s="167">
        <v>46196</v>
      </c>
      <c r="Q560" s="167">
        <v>46371</v>
      </c>
      <c r="R560" s="179" t="s">
        <v>211</v>
      </c>
      <c r="S560" s="168" t="s">
        <v>1216</v>
      </c>
      <c r="T560" s="169">
        <v>1</v>
      </c>
      <c r="U560" s="180" t="s">
        <v>82</v>
      </c>
      <c r="V560" s="170">
        <v>23</v>
      </c>
      <c r="W560" s="170">
        <v>23</v>
      </c>
      <c r="X560" s="171"/>
      <c r="Y560" s="170"/>
      <c r="Z560" s="170"/>
      <c r="AA560" s="170"/>
      <c r="AB560" s="170">
        <v>21</v>
      </c>
      <c r="AC560" s="170">
        <v>21</v>
      </c>
      <c r="AD560" s="170">
        <v>0</v>
      </c>
      <c r="AE560" s="170">
        <v>0</v>
      </c>
      <c r="AF560" s="170">
        <v>0</v>
      </c>
      <c r="AG560" s="170">
        <v>0</v>
      </c>
      <c r="AH560" s="170">
        <v>0</v>
      </c>
      <c r="AI560" s="170">
        <v>0</v>
      </c>
      <c r="AJ560" s="170">
        <v>0</v>
      </c>
      <c r="AK560" s="170">
        <v>0</v>
      </c>
      <c r="AL560" s="170">
        <v>0</v>
      </c>
      <c r="AM560" s="170">
        <v>0</v>
      </c>
      <c r="AN560" s="170">
        <v>0</v>
      </c>
      <c r="AO560" s="170">
        <v>0</v>
      </c>
      <c r="AP560" s="170">
        <v>0</v>
      </c>
      <c r="AQ560" s="170">
        <v>0</v>
      </c>
      <c r="AR560" s="170">
        <v>0</v>
      </c>
      <c r="AS560" s="170">
        <v>0</v>
      </c>
      <c r="AT560" s="170">
        <v>0</v>
      </c>
      <c r="AU560" s="170">
        <v>0</v>
      </c>
      <c r="AV560" s="170">
        <v>0</v>
      </c>
      <c r="AW560" s="170">
        <v>0</v>
      </c>
      <c r="AX560" s="170">
        <f t="shared" si="68"/>
        <v>2577</v>
      </c>
      <c r="AY560" s="170">
        <f>(W560*60)+(Y560*80)+(AA560*38)+(AC560*57)+(AE560*75)+(AG560*155)+(AI560*170)+(AK560*375)+(AM560*590)+(AO560*60)+(AQ560*630)+(AS560*400)+(AU560*350)+(AW560*950)</f>
        <v>2577</v>
      </c>
      <c r="AZ560" s="165" t="s">
        <v>15</v>
      </c>
      <c r="BA560" s="165" t="s">
        <v>77</v>
      </c>
      <c r="BB560" s="162" t="s">
        <v>77</v>
      </c>
      <c r="BC560" s="181">
        <v>553</v>
      </c>
      <c r="BD560" s="173"/>
      <c r="BE560" s="169"/>
      <c r="BF560" s="174"/>
      <c r="BG560" s="178">
        <v>46203</v>
      </c>
      <c r="BH560" s="175" t="s">
        <v>77</v>
      </c>
      <c r="BI560" s="175" t="s">
        <v>77</v>
      </c>
    </row>
    <row r="561" spans="1:63" s="16" customFormat="1" ht="42" customHeight="1" x14ac:dyDescent="0.3">
      <c r="A561" s="26">
        <v>554</v>
      </c>
      <c r="B561" s="62">
        <v>249034</v>
      </c>
      <c r="C561" s="62">
        <v>554</v>
      </c>
      <c r="D561" s="63">
        <v>46131</v>
      </c>
      <c r="E561" s="63">
        <f t="shared" ref="E561:E592" si="74">D561-1</f>
        <v>46130</v>
      </c>
      <c r="F561" s="63">
        <f t="shared" ref="F561:F592" si="75">D561+10</f>
        <v>46141</v>
      </c>
      <c r="G561" s="63">
        <v>46222</v>
      </c>
      <c r="H561" s="63">
        <f ca="1">TODAY()</f>
        <v>46277</v>
      </c>
      <c r="I561" s="63" t="s">
        <v>321</v>
      </c>
      <c r="J561" s="64" t="s">
        <v>1217</v>
      </c>
      <c r="K561" s="65">
        <f t="shared" ref="K561:K592" si="76">G561-F561</f>
        <v>81</v>
      </c>
      <c r="L561" s="65">
        <v>1218970</v>
      </c>
      <c r="M561" s="64" t="s">
        <v>77</v>
      </c>
      <c r="N561" s="64">
        <v>838760</v>
      </c>
      <c r="O561" s="80" t="s">
        <v>246</v>
      </c>
      <c r="P561" s="103">
        <v>46265</v>
      </c>
      <c r="Q561" s="103">
        <v>46441</v>
      </c>
      <c r="R561" s="73" t="s">
        <v>211</v>
      </c>
      <c r="S561" s="66" t="s">
        <v>1218</v>
      </c>
      <c r="T561" s="67">
        <v>1</v>
      </c>
      <c r="U561" s="75" t="s">
        <v>102</v>
      </c>
      <c r="V561" s="68">
        <v>200</v>
      </c>
      <c r="W561" s="68"/>
      <c r="X561" s="69">
        <v>0</v>
      </c>
      <c r="Y561" s="68">
        <v>0</v>
      </c>
      <c r="Z561" s="68">
        <v>0</v>
      </c>
      <c r="AA561" s="68">
        <v>0</v>
      </c>
      <c r="AB561" s="68">
        <v>0</v>
      </c>
      <c r="AC561" s="68"/>
      <c r="AD561" s="68">
        <v>0</v>
      </c>
      <c r="AE561" s="68">
        <v>0</v>
      </c>
      <c r="AF561" s="68">
        <v>0</v>
      </c>
      <c r="AG561" s="68">
        <v>0</v>
      </c>
      <c r="AH561" s="68">
        <v>0</v>
      </c>
      <c r="AI561" s="68"/>
      <c r="AJ561" s="68">
        <v>0</v>
      </c>
      <c r="AK561" s="68">
        <v>0</v>
      </c>
      <c r="AL561" s="68">
        <v>1</v>
      </c>
      <c r="AM561" s="68"/>
      <c r="AN561" s="68">
        <v>1</v>
      </c>
      <c r="AO561" s="68"/>
      <c r="AP561" s="68">
        <v>1</v>
      </c>
      <c r="AQ561" s="68"/>
      <c r="AR561" s="68">
        <v>0</v>
      </c>
      <c r="AS561" s="68">
        <v>0</v>
      </c>
      <c r="AT561" s="68">
        <v>0</v>
      </c>
      <c r="AU561" s="68"/>
      <c r="AV561" s="68">
        <v>0</v>
      </c>
      <c r="AW561" s="68">
        <v>0</v>
      </c>
      <c r="AX561" s="170">
        <f t="shared" si="68"/>
        <v>13280</v>
      </c>
      <c r="AY561" s="170"/>
      <c r="AZ561" s="64" t="s">
        <v>77</v>
      </c>
      <c r="BA561" s="64" t="s">
        <v>77</v>
      </c>
      <c r="BB561" s="15" t="s">
        <v>77</v>
      </c>
      <c r="BC561" s="74">
        <v>554</v>
      </c>
      <c r="BD561" s="70"/>
      <c r="BE561" s="67"/>
      <c r="BF561" s="71"/>
      <c r="BG561" s="15"/>
      <c r="BH561" s="72" t="s">
        <v>77</v>
      </c>
      <c r="BI561" s="72" t="s">
        <v>77</v>
      </c>
    </row>
    <row r="562" spans="1:63" s="16" customFormat="1" ht="42" customHeight="1" x14ac:dyDescent="0.3">
      <c r="A562" s="26">
        <v>555</v>
      </c>
      <c r="B562" s="62">
        <v>249035</v>
      </c>
      <c r="C562" s="62">
        <v>555</v>
      </c>
      <c r="D562" s="63">
        <v>46131</v>
      </c>
      <c r="E562" s="63">
        <f t="shared" si="74"/>
        <v>46130</v>
      </c>
      <c r="F562" s="63">
        <f t="shared" si="75"/>
        <v>46141</v>
      </c>
      <c r="G562" s="63">
        <v>46222</v>
      </c>
      <c r="H562" s="63">
        <f ca="1">TODAY()</f>
        <v>46277</v>
      </c>
      <c r="I562" s="63" t="s">
        <v>321</v>
      </c>
      <c r="J562" s="64" t="s">
        <v>1219</v>
      </c>
      <c r="K562" s="65">
        <f t="shared" si="76"/>
        <v>81</v>
      </c>
      <c r="L562" s="65">
        <v>1218971</v>
      </c>
      <c r="M562" s="64" t="s">
        <v>77</v>
      </c>
      <c r="N562" s="64">
        <v>843432</v>
      </c>
      <c r="O562" s="64" t="s">
        <v>1335</v>
      </c>
      <c r="P562" s="103" t="s">
        <v>77</v>
      </c>
      <c r="Q562" s="103" t="s">
        <v>77</v>
      </c>
      <c r="R562" s="73" t="s">
        <v>211</v>
      </c>
      <c r="S562" s="66" t="s">
        <v>1220</v>
      </c>
      <c r="T562" s="67">
        <v>1</v>
      </c>
      <c r="U562" s="75" t="s">
        <v>82</v>
      </c>
      <c r="V562" s="68">
        <v>64</v>
      </c>
      <c r="W562" s="68"/>
      <c r="X562" s="69">
        <v>0</v>
      </c>
      <c r="Y562" s="68">
        <v>0</v>
      </c>
      <c r="Z562" s="68">
        <v>0</v>
      </c>
      <c r="AA562" s="68">
        <v>0</v>
      </c>
      <c r="AB562" s="68">
        <v>0</v>
      </c>
      <c r="AC562" s="68"/>
      <c r="AD562" s="68">
        <v>0</v>
      </c>
      <c r="AE562" s="68">
        <v>0</v>
      </c>
      <c r="AF562" s="68">
        <v>0</v>
      </c>
      <c r="AG562" s="68">
        <v>0</v>
      </c>
      <c r="AH562" s="68">
        <v>0</v>
      </c>
      <c r="AI562" s="68"/>
      <c r="AJ562" s="68">
        <v>0</v>
      </c>
      <c r="AK562" s="68">
        <v>0</v>
      </c>
      <c r="AL562" s="68">
        <v>1</v>
      </c>
      <c r="AM562" s="68"/>
      <c r="AN562" s="68">
        <v>1</v>
      </c>
      <c r="AO562" s="68"/>
      <c r="AP562" s="68">
        <v>1</v>
      </c>
      <c r="AQ562" s="68"/>
      <c r="AR562" s="68">
        <v>0</v>
      </c>
      <c r="AS562" s="68">
        <v>0</v>
      </c>
      <c r="AT562" s="68">
        <v>0</v>
      </c>
      <c r="AU562" s="68"/>
      <c r="AV562" s="68">
        <v>0</v>
      </c>
      <c r="AW562" s="68">
        <v>0</v>
      </c>
      <c r="AX562" s="170">
        <f t="shared" si="68"/>
        <v>5120</v>
      </c>
      <c r="AY562" s="170"/>
      <c r="AZ562" s="64" t="s">
        <v>77</v>
      </c>
      <c r="BA562" s="64" t="s">
        <v>77</v>
      </c>
      <c r="BB562" s="15" t="s">
        <v>77</v>
      </c>
      <c r="BC562" s="74">
        <v>555</v>
      </c>
      <c r="BD562" s="70"/>
      <c r="BE562" s="67"/>
      <c r="BF562" s="71"/>
      <c r="BG562" s="15"/>
      <c r="BH562" s="72" t="s">
        <v>77</v>
      </c>
      <c r="BI562" s="72" t="s">
        <v>77</v>
      </c>
    </row>
    <row r="563" spans="1:63" s="16" customFormat="1" ht="42" customHeight="1" x14ac:dyDescent="0.3">
      <c r="A563" s="201">
        <v>556</v>
      </c>
      <c r="B563" s="62">
        <v>249036</v>
      </c>
      <c r="C563" s="62">
        <v>556</v>
      </c>
      <c r="D563" s="63">
        <v>46131</v>
      </c>
      <c r="E563" s="63">
        <f t="shared" si="74"/>
        <v>46130</v>
      </c>
      <c r="F563" s="63">
        <f t="shared" si="75"/>
        <v>46141</v>
      </c>
      <c r="G563" s="63">
        <v>46222</v>
      </c>
      <c r="H563" s="63">
        <f ca="1">TODAY()</f>
        <v>46277</v>
      </c>
      <c r="I563" s="63" t="s">
        <v>321</v>
      </c>
      <c r="J563" s="64" t="s">
        <v>1221</v>
      </c>
      <c r="K563" s="65">
        <f t="shared" si="76"/>
        <v>81</v>
      </c>
      <c r="L563" s="65">
        <v>1218972</v>
      </c>
      <c r="M563" s="64" t="s">
        <v>77</v>
      </c>
      <c r="N563" s="64">
        <v>843432</v>
      </c>
      <c r="O563" s="64" t="s">
        <v>1335</v>
      </c>
      <c r="P563" s="103" t="s">
        <v>77</v>
      </c>
      <c r="Q563" s="103" t="s">
        <v>77</v>
      </c>
      <c r="R563" s="73" t="s">
        <v>211</v>
      </c>
      <c r="S563" s="66" t="s">
        <v>956</v>
      </c>
      <c r="T563" s="67">
        <v>1</v>
      </c>
      <c r="U563" s="75" t="s">
        <v>82</v>
      </c>
      <c r="V563" s="68">
        <v>150</v>
      </c>
      <c r="W563" s="68"/>
      <c r="X563" s="69">
        <v>0</v>
      </c>
      <c r="Y563" s="68">
        <v>0</v>
      </c>
      <c r="Z563" s="68">
        <v>0</v>
      </c>
      <c r="AA563" s="68">
        <v>0</v>
      </c>
      <c r="AB563" s="68">
        <v>1</v>
      </c>
      <c r="AC563" s="68"/>
      <c r="AD563" s="68">
        <v>0</v>
      </c>
      <c r="AE563" s="68">
        <v>0</v>
      </c>
      <c r="AF563" s="68">
        <v>0</v>
      </c>
      <c r="AG563" s="68">
        <v>0</v>
      </c>
      <c r="AH563" s="68">
        <v>1</v>
      </c>
      <c r="AI563" s="68"/>
      <c r="AJ563" s="68">
        <v>0</v>
      </c>
      <c r="AK563" s="68">
        <v>0</v>
      </c>
      <c r="AL563" s="68">
        <v>1</v>
      </c>
      <c r="AM563" s="68"/>
      <c r="AN563" s="68">
        <v>1</v>
      </c>
      <c r="AO563" s="68"/>
      <c r="AP563" s="68">
        <v>1</v>
      </c>
      <c r="AQ563" s="68"/>
      <c r="AR563" s="68">
        <v>0</v>
      </c>
      <c r="AS563" s="68">
        <v>0</v>
      </c>
      <c r="AT563" s="68">
        <v>1</v>
      </c>
      <c r="AU563" s="68"/>
      <c r="AV563" s="68">
        <v>0</v>
      </c>
      <c r="AW563" s="68">
        <v>0</v>
      </c>
      <c r="AX563" s="68">
        <f t="shared" si="68"/>
        <v>10857</v>
      </c>
      <c r="AY563" s="68"/>
      <c r="AZ563" s="64" t="s">
        <v>77</v>
      </c>
      <c r="BA563" s="64" t="s">
        <v>77</v>
      </c>
      <c r="BB563" s="15" t="s">
        <v>77</v>
      </c>
      <c r="BC563" s="74">
        <v>556</v>
      </c>
      <c r="BD563" s="70"/>
      <c r="BE563" s="67"/>
      <c r="BF563" s="71"/>
      <c r="BG563" s="15"/>
      <c r="BH563" s="72" t="s">
        <v>77</v>
      </c>
      <c r="BI563" s="72" t="s">
        <v>77</v>
      </c>
    </row>
    <row r="564" spans="1:63" s="16" customFormat="1" ht="42" customHeight="1" x14ac:dyDescent="0.3">
      <c r="A564" s="26">
        <v>557</v>
      </c>
      <c r="B564" s="62">
        <v>249037</v>
      </c>
      <c r="C564" s="62">
        <v>557</v>
      </c>
      <c r="D564" s="63">
        <v>46131</v>
      </c>
      <c r="E564" s="63">
        <f t="shared" si="74"/>
        <v>46130</v>
      </c>
      <c r="F564" s="63">
        <f t="shared" si="75"/>
        <v>46141</v>
      </c>
      <c r="G564" s="63">
        <v>46222</v>
      </c>
      <c r="H564" s="63">
        <f ca="1">TODAY()</f>
        <v>46277</v>
      </c>
      <c r="I564" s="63" t="s">
        <v>321</v>
      </c>
      <c r="J564" s="64" t="s">
        <v>1222</v>
      </c>
      <c r="K564" s="65">
        <f t="shared" si="76"/>
        <v>81</v>
      </c>
      <c r="L564" s="65">
        <v>1218973</v>
      </c>
      <c r="M564" s="64" t="s">
        <v>77</v>
      </c>
      <c r="N564" s="64">
        <v>834116</v>
      </c>
      <c r="O564" s="79" t="s">
        <v>246</v>
      </c>
      <c r="P564" s="103">
        <v>46238</v>
      </c>
      <c r="Q564" s="103">
        <v>46396</v>
      </c>
      <c r="R564" s="73" t="s">
        <v>211</v>
      </c>
      <c r="S564" s="66" t="s">
        <v>1223</v>
      </c>
      <c r="T564" s="67">
        <v>1</v>
      </c>
      <c r="U564" s="75" t="s">
        <v>81</v>
      </c>
      <c r="V564" s="68">
        <v>119</v>
      </c>
      <c r="W564" s="68"/>
      <c r="X564" s="69">
        <v>0</v>
      </c>
      <c r="Y564" s="68">
        <v>0</v>
      </c>
      <c r="Z564" s="68">
        <v>0</v>
      </c>
      <c r="AA564" s="68">
        <v>0</v>
      </c>
      <c r="AB564" s="68">
        <v>0</v>
      </c>
      <c r="AC564" s="68"/>
      <c r="AD564" s="68">
        <v>0</v>
      </c>
      <c r="AE564" s="68">
        <v>0</v>
      </c>
      <c r="AF564" s="68">
        <v>0</v>
      </c>
      <c r="AG564" s="68">
        <v>0</v>
      </c>
      <c r="AH564" s="68">
        <v>0</v>
      </c>
      <c r="AI564" s="68"/>
      <c r="AJ564" s="68">
        <v>0</v>
      </c>
      <c r="AK564" s="68">
        <v>0</v>
      </c>
      <c r="AL564" s="68">
        <v>1</v>
      </c>
      <c r="AM564" s="68"/>
      <c r="AN564" s="68">
        <v>1</v>
      </c>
      <c r="AO564" s="68"/>
      <c r="AP564" s="68">
        <v>1</v>
      </c>
      <c r="AQ564" s="68"/>
      <c r="AR564" s="68">
        <v>0</v>
      </c>
      <c r="AS564" s="68">
        <v>0</v>
      </c>
      <c r="AT564" s="68">
        <v>0</v>
      </c>
      <c r="AU564" s="68"/>
      <c r="AV564" s="68">
        <v>0</v>
      </c>
      <c r="AW564" s="68">
        <v>0</v>
      </c>
      <c r="AX564" s="170">
        <f t="shared" si="68"/>
        <v>8420</v>
      </c>
      <c r="AY564" s="170"/>
      <c r="AZ564" s="64" t="s">
        <v>77</v>
      </c>
      <c r="BA564" s="64" t="s">
        <v>77</v>
      </c>
      <c r="BB564" s="15" t="s">
        <v>77</v>
      </c>
      <c r="BC564" s="74">
        <v>557</v>
      </c>
      <c r="BD564" s="70"/>
      <c r="BE564" s="67"/>
      <c r="BF564" s="71"/>
      <c r="BG564" s="15"/>
      <c r="BH564" s="72" t="s">
        <v>77</v>
      </c>
      <c r="BI564" s="72" t="s">
        <v>77</v>
      </c>
    </row>
    <row r="565" spans="1:63" s="16" customFormat="1" ht="42" customHeight="1" x14ac:dyDescent="0.3">
      <c r="A565" s="26">
        <v>558</v>
      </c>
      <c r="B565" s="62">
        <v>249038</v>
      </c>
      <c r="C565" s="62">
        <v>558</v>
      </c>
      <c r="D565" s="63">
        <v>46131</v>
      </c>
      <c r="E565" s="63">
        <f t="shared" si="74"/>
        <v>46130</v>
      </c>
      <c r="F565" s="63">
        <f t="shared" si="75"/>
        <v>46141</v>
      </c>
      <c r="G565" s="63">
        <v>46222</v>
      </c>
      <c r="H565" s="63">
        <f ca="1">TODAY()</f>
        <v>46277</v>
      </c>
      <c r="I565" s="63" t="s">
        <v>321</v>
      </c>
      <c r="J565" s="64" t="s">
        <v>1224</v>
      </c>
      <c r="K565" s="65">
        <f t="shared" si="76"/>
        <v>81</v>
      </c>
      <c r="L565" s="65">
        <v>1218975</v>
      </c>
      <c r="M565" s="64" t="s">
        <v>77</v>
      </c>
      <c r="N565" s="64" t="s">
        <v>77</v>
      </c>
      <c r="O565" s="64" t="s">
        <v>77</v>
      </c>
      <c r="P565" s="103" t="s">
        <v>77</v>
      </c>
      <c r="Q565" s="103" t="s">
        <v>77</v>
      </c>
      <c r="R565" s="73" t="s">
        <v>211</v>
      </c>
      <c r="S565" s="66" t="s">
        <v>1225</v>
      </c>
      <c r="T565" s="67">
        <v>1</v>
      </c>
      <c r="U565" s="75" t="s">
        <v>1226</v>
      </c>
      <c r="V565" s="68">
        <v>204</v>
      </c>
      <c r="W565" s="68"/>
      <c r="X565" s="69">
        <v>0</v>
      </c>
      <c r="Y565" s="68">
        <v>0</v>
      </c>
      <c r="Z565" s="68">
        <v>0</v>
      </c>
      <c r="AA565" s="68">
        <v>0</v>
      </c>
      <c r="AB565" s="68">
        <v>0</v>
      </c>
      <c r="AC565" s="68"/>
      <c r="AD565" s="68">
        <v>0</v>
      </c>
      <c r="AE565" s="68">
        <v>0</v>
      </c>
      <c r="AF565" s="68">
        <v>0</v>
      </c>
      <c r="AG565" s="68">
        <v>0</v>
      </c>
      <c r="AH565" s="68">
        <v>0</v>
      </c>
      <c r="AI565" s="68"/>
      <c r="AJ565" s="68">
        <v>0</v>
      </c>
      <c r="AK565" s="68">
        <v>0</v>
      </c>
      <c r="AL565" s="68">
        <v>1</v>
      </c>
      <c r="AM565" s="68"/>
      <c r="AN565" s="68">
        <v>1</v>
      </c>
      <c r="AO565" s="68"/>
      <c r="AP565" s="68">
        <v>1</v>
      </c>
      <c r="AQ565" s="68"/>
      <c r="AR565" s="68">
        <v>0</v>
      </c>
      <c r="AS565" s="68">
        <v>0</v>
      </c>
      <c r="AT565" s="68">
        <v>0</v>
      </c>
      <c r="AU565" s="68"/>
      <c r="AV565" s="68">
        <v>0</v>
      </c>
      <c r="AW565" s="68">
        <v>0</v>
      </c>
      <c r="AX565" s="170">
        <f t="shared" si="68"/>
        <v>13520</v>
      </c>
      <c r="AY565" s="170"/>
      <c r="AZ565" s="64" t="s">
        <v>77</v>
      </c>
      <c r="BA565" s="64" t="s">
        <v>77</v>
      </c>
      <c r="BB565" s="15" t="s">
        <v>77</v>
      </c>
      <c r="BC565" s="74">
        <v>558</v>
      </c>
      <c r="BD565" s="70"/>
      <c r="BE565" s="67"/>
      <c r="BF565" s="71"/>
      <c r="BG565" s="15"/>
      <c r="BH565" s="72" t="s">
        <v>77</v>
      </c>
      <c r="BI565" s="72" t="s">
        <v>77</v>
      </c>
    </row>
    <row r="566" spans="1:63" s="16" customFormat="1" ht="42" hidden="1" customHeight="1" x14ac:dyDescent="0.3">
      <c r="A566" s="26">
        <v>559</v>
      </c>
      <c r="B566" s="138">
        <v>249300</v>
      </c>
      <c r="C566" s="138">
        <v>559</v>
      </c>
      <c r="D566" s="139">
        <v>46135</v>
      </c>
      <c r="E566" s="139">
        <f t="shared" si="74"/>
        <v>46134</v>
      </c>
      <c r="F566" s="139">
        <f t="shared" si="75"/>
        <v>46145</v>
      </c>
      <c r="G566" s="139">
        <v>46196</v>
      </c>
      <c r="H566" s="139">
        <v>46205</v>
      </c>
      <c r="I566" s="139" t="s">
        <v>1054</v>
      </c>
      <c r="J566" s="140" t="s">
        <v>1227</v>
      </c>
      <c r="K566" s="141">
        <f t="shared" si="76"/>
        <v>51</v>
      </c>
      <c r="L566" s="141">
        <v>1220657</v>
      </c>
      <c r="M566" s="140" t="s">
        <v>15</v>
      </c>
      <c r="N566" s="140">
        <v>826621</v>
      </c>
      <c r="O566" s="140" t="s">
        <v>246</v>
      </c>
      <c r="P566" s="143">
        <v>46160</v>
      </c>
      <c r="Q566" s="143">
        <v>46291</v>
      </c>
      <c r="R566" s="185" t="s">
        <v>211</v>
      </c>
      <c r="S566" s="144" t="s">
        <v>1228</v>
      </c>
      <c r="T566" s="145">
        <v>1</v>
      </c>
      <c r="U566" s="186" t="s">
        <v>840</v>
      </c>
      <c r="V566" s="146">
        <v>150</v>
      </c>
      <c r="W566" s="146">
        <v>150</v>
      </c>
      <c r="X566" s="147">
        <v>20</v>
      </c>
      <c r="Y566" s="146">
        <v>20</v>
      </c>
      <c r="Z566" s="146">
        <v>0</v>
      </c>
      <c r="AA566" s="146">
        <v>0</v>
      </c>
      <c r="AB566" s="146">
        <v>150</v>
      </c>
      <c r="AC566" s="146">
        <v>150</v>
      </c>
      <c r="AD566" s="146">
        <v>0</v>
      </c>
      <c r="AE566" s="146">
        <v>0</v>
      </c>
      <c r="AF566" s="146">
        <v>25</v>
      </c>
      <c r="AG566" s="146">
        <v>25</v>
      </c>
      <c r="AH566" s="146">
        <v>1</v>
      </c>
      <c r="AI566" s="146">
        <v>1</v>
      </c>
      <c r="AJ566" s="146">
        <v>0</v>
      </c>
      <c r="AK566" s="146">
        <v>0</v>
      </c>
      <c r="AL566" s="146">
        <v>2</v>
      </c>
      <c r="AM566" s="146">
        <v>2</v>
      </c>
      <c r="AN566" s="146">
        <v>3</v>
      </c>
      <c r="AO566" s="146">
        <v>3</v>
      </c>
      <c r="AP566" s="146">
        <v>2</v>
      </c>
      <c r="AQ566" s="146">
        <v>2</v>
      </c>
      <c r="AR566" s="146">
        <v>0</v>
      </c>
      <c r="AS566" s="146">
        <v>0</v>
      </c>
      <c r="AT566" s="146">
        <v>0</v>
      </c>
      <c r="AU566" s="146">
        <v>0</v>
      </c>
      <c r="AV566" s="146">
        <v>1</v>
      </c>
      <c r="AW566" s="146">
        <v>1</v>
      </c>
      <c r="AX566" s="146">
        <f t="shared" si="68"/>
        <v>26765</v>
      </c>
      <c r="AY566" s="146">
        <f t="shared" ref="AY566:AY574" si="77">(W566*60)+(Y566*80)+(AA566*38)+(AC566*57)+(AE566*75)+(AG566*155)+(AI566*170)+(AK566*375)+(AM566*590)+(AO566*60)+(AQ566*630)+(AS566*400)+(AU566*350)+(AW566*950)</f>
        <v>26765</v>
      </c>
      <c r="AZ566" s="140" t="s">
        <v>562</v>
      </c>
      <c r="BA566" s="140" t="s">
        <v>562</v>
      </c>
      <c r="BB566" s="137">
        <v>13</v>
      </c>
      <c r="BC566" s="187">
        <v>559</v>
      </c>
      <c r="BD566" s="149"/>
      <c r="BE566" s="145"/>
      <c r="BF566" s="150"/>
      <c r="BG566" s="188">
        <v>46191</v>
      </c>
      <c r="BH566" s="153" t="s">
        <v>15</v>
      </c>
      <c r="BI566" s="153" t="s">
        <v>562</v>
      </c>
    </row>
    <row r="567" spans="1:63" s="16" customFormat="1" ht="42" hidden="1" customHeight="1" x14ac:dyDescent="0.3">
      <c r="A567" s="26">
        <v>560</v>
      </c>
      <c r="B567" s="138">
        <v>249405</v>
      </c>
      <c r="C567" s="138">
        <v>560</v>
      </c>
      <c r="D567" s="139">
        <v>46138</v>
      </c>
      <c r="E567" s="139">
        <f t="shared" si="74"/>
        <v>46137</v>
      </c>
      <c r="F567" s="139">
        <f t="shared" si="75"/>
        <v>46148</v>
      </c>
      <c r="G567" s="139">
        <v>46199</v>
      </c>
      <c r="H567" s="139">
        <v>46166</v>
      </c>
      <c r="I567" s="139" t="s">
        <v>123</v>
      </c>
      <c r="J567" s="140" t="s">
        <v>1231</v>
      </c>
      <c r="K567" s="141">
        <f t="shared" si="76"/>
        <v>51</v>
      </c>
      <c r="L567" s="141">
        <v>1221490</v>
      </c>
      <c r="M567" s="140" t="s">
        <v>15</v>
      </c>
      <c r="N567" s="140">
        <v>825624</v>
      </c>
      <c r="O567" s="140" t="s">
        <v>246</v>
      </c>
      <c r="P567" s="143">
        <v>46149</v>
      </c>
      <c r="Q567" s="143">
        <v>46324</v>
      </c>
      <c r="R567" s="185" t="s">
        <v>211</v>
      </c>
      <c r="S567" s="144" t="s">
        <v>1232</v>
      </c>
      <c r="T567" s="145">
        <v>1</v>
      </c>
      <c r="U567" s="186" t="s">
        <v>81</v>
      </c>
      <c r="V567" s="146">
        <v>143</v>
      </c>
      <c r="W567" s="146">
        <v>143</v>
      </c>
      <c r="X567" s="147">
        <v>0</v>
      </c>
      <c r="Y567" s="146">
        <v>0</v>
      </c>
      <c r="Z567" s="146">
        <v>0</v>
      </c>
      <c r="AA567" s="146">
        <v>0</v>
      </c>
      <c r="AB567" s="146">
        <v>143</v>
      </c>
      <c r="AC567" s="146">
        <v>143</v>
      </c>
      <c r="AD567" s="146">
        <v>0</v>
      </c>
      <c r="AE567" s="146">
        <v>0</v>
      </c>
      <c r="AF567" s="146">
        <v>0</v>
      </c>
      <c r="AG567" s="146">
        <v>0</v>
      </c>
      <c r="AH567" s="146">
        <v>1</v>
      </c>
      <c r="AI567" s="146">
        <v>1</v>
      </c>
      <c r="AJ567" s="146">
        <v>0</v>
      </c>
      <c r="AK567" s="146">
        <v>0</v>
      </c>
      <c r="AL567" s="146">
        <v>0</v>
      </c>
      <c r="AM567" s="146">
        <v>0</v>
      </c>
      <c r="AN567" s="146">
        <v>1</v>
      </c>
      <c r="AO567" s="146">
        <v>1</v>
      </c>
      <c r="AP567" s="146">
        <v>2</v>
      </c>
      <c r="AQ567" s="146">
        <v>2</v>
      </c>
      <c r="AR567" s="146">
        <v>0</v>
      </c>
      <c r="AS567" s="146">
        <v>0</v>
      </c>
      <c r="AT567" s="146">
        <v>1</v>
      </c>
      <c r="AU567" s="146">
        <v>1</v>
      </c>
      <c r="AV567" s="146">
        <v>0</v>
      </c>
      <c r="AW567" s="146">
        <v>0</v>
      </c>
      <c r="AX567" s="146">
        <f t="shared" si="68"/>
        <v>18571</v>
      </c>
      <c r="AY567" s="146">
        <f t="shared" si="77"/>
        <v>18571</v>
      </c>
      <c r="AZ567" s="140" t="s">
        <v>562</v>
      </c>
      <c r="BA567" s="140" t="s">
        <v>562</v>
      </c>
      <c r="BB567" s="137">
        <v>12</v>
      </c>
      <c r="BC567" s="187">
        <v>560</v>
      </c>
      <c r="BD567" s="149"/>
      <c r="BE567" s="145"/>
      <c r="BF567" s="150"/>
      <c r="BG567" s="188">
        <v>46159</v>
      </c>
      <c r="BH567" s="153" t="s">
        <v>15</v>
      </c>
      <c r="BI567" s="153" t="s">
        <v>562</v>
      </c>
      <c r="BK567" s="238"/>
    </row>
    <row r="568" spans="1:63" s="16" customFormat="1" ht="42" hidden="1" customHeight="1" x14ac:dyDescent="0.3">
      <c r="A568" s="26">
        <v>561</v>
      </c>
      <c r="B568" s="138">
        <v>249635</v>
      </c>
      <c r="C568" s="138">
        <v>561</v>
      </c>
      <c r="D568" s="139">
        <v>46142</v>
      </c>
      <c r="E568" s="139">
        <f t="shared" si="74"/>
        <v>46141</v>
      </c>
      <c r="F568" s="139">
        <f t="shared" si="75"/>
        <v>46152</v>
      </c>
      <c r="G568" s="139">
        <v>46203</v>
      </c>
      <c r="H568" s="139">
        <v>46162</v>
      </c>
      <c r="I568" s="139" t="s">
        <v>123</v>
      </c>
      <c r="J568" s="140" t="s">
        <v>1238</v>
      </c>
      <c r="K568" s="141">
        <f t="shared" si="76"/>
        <v>51</v>
      </c>
      <c r="L568" s="141">
        <v>1223165</v>
      </c>
      <c r="M568" s="140" t="s">
        <v>15</v>
      </c>
      <c r="N568" s="140">
        <v>826282</v>
      </c>
      <c r="O568" s="140" t="s">
        <v>246</v>
      </c>
      <c r="P568" s="143">
        <v>46151</v>
      </c>
      <c r="Q568" s="143">
        <v>46331</v>
      </c>
      <c r="R568" s="185" t="s">
        <v>211</v>
      </c>
      <c r="S568" s="144" t="s">
        <v>1239</v>
      </c>
      <c r="T568" s="145">
        <v>1</v>
      </c>
      <c r="U568" s="186" t="s">
        <v>81</v>
      </c>
      <c r="V568" s="146">
        <v>68</v>
      </c>
      <c r="W568" s="146">
        <v>68</v>
      </c>
      <c r="X568" s="147">
        <v>0</v>
      </c>
      <c r="Y568" s="146">
        <v>0</v>
      </c>
      <c r="Z568" s="146">
        <v>0</v>
      </c>
      <c r="AA568" s="146">
        <v>0</v>
      </c>
      <c r="AB568" s="146">
        <v>68</v>
      </c>
      <c r="AC568" s="146">
        <v>68</v>
      </c>
      <c r="AD568" s="146">
        <v>0</v>
      </c>
      <c r="AE568" s="146">
        <v>0</v>
      </c>
      <c r="AF568" s="146">
        <v>0</v>
      </c>
      <c r="AG568" s="146">
        <v>0</v>
      </c>
      <c r="AH568" s="146">
        <v>2</v>
      </c>
      <c r="AI568" s="146">
        <v>2</v>
      </c>
      <c r="AJ568" s="146">
        <v>0</v>
      </c>
      <c r="AK568" s="146">
        <v>0</v>
      </c>
      <c r="AL568" s="146">
        <v>1</v>
      </c>
      <c r="AM568" s="146">
        <v>1</v>
      </c>
      <c r="AN568" s="146">
        <v>4</v>
      </c>
      <c r="AO568" s="146">
        <v>4</v>
      </c>
      <c r="AP568" s="146">
        <v>3</v>
      </c>
      <c r="AQ568" s="146">
        <v>3</v>
      </c>
      <c r="AR568" s="146">
        <v>0</v>
      </c>
      <c r="AS568" s="146">
        <v>0</v>
      </c>
      <c r="AT568" s="146">
        <v>1</v>
      </c>
      <c r="AU568" s="146">
        <v>1</v>
      </c>
      <c r="AV568" s="146">
        <v>0</v>
      </c>
      <c r="AW568" s="146">
        <v>0</v>
      </c>
      <c r="AX568" s="146">
        <f t="shared" si="68"/>
        <v>11366</v>
      </c>
      <c r="AY568" s="146">
        <f t="shared" si="77"/>
        <v>11366</v>
      </c>
      <c r="AZ568" s="137" t="s">
        <v>562</v>
      </c>
      <c r="BA568" s="137" t="s">
        <v>562</v>
      </c>
      <c r="BB568" s="137">
        <v>11</v>
      </c>
      <c r="BC568" s="187">
        <v>561</v>
      </c>
      <c r="BD568" s="149"/>
      <c r="BE568" s="145"/>
      <c r="BF568" s="150"/>
      <c r="BG568" s="188">
        <v>46154</v>
      </c>
      <c r="BH568" s="153" t="s">
        <v>15</v>
      </c>
      <c r="BI568" s="153" t="s">
        <v>562</v>
      </c>
      <c r="BK568" s="238"/>
    </row>
    <row r="569" spans="1:63" s="16" customFormat="1" ht="42" hidden="1" customHeight="1" x14ac:dyDescent="0.3">
      <c r="A569" s="26">
        <v>562</v>
      </c>
      <c r="B569" s="138">
        <v>249647</v>
      </c>
      <c r="C569" s="138">
        <v>562</v>
      </c>
      <c r="D569" s="139">
        <v>46145</v>
      </c>
      <c r="E569" s="139">
        <f t="shared" si="74"/>
        <v>46144</v>
      </c>
      <c r="F569" s="139">
        <f t="shared" si="75"/>
        <v>46155</v>
      </c>
      <c r="G569" s="139">
        <v>46206</v>
      </c>
      <c r="H569" s="139">
        <v>46182</v>
      </c>
      <c r="I569" s="139" t="s">
        <v>123</v>
      </c>
      <c r="J569" s="140" t="s">
        <v>1240</v>
      </c>
      <c r="K569" s="141">
        <f t="shared" si="76"/>
        <v>51</v>
      </c>
      <c r="L569" s="141">
        <v>1223816</v>
      </c>
      <c r="M569" s="140" t="s">
        <v>15</v>
      </c>
      <c r="N569" s="140">
        <v>826441</v>
      </c>
      <c r="O569" s="140" t="s">
        <v>246</v>
      </c>
      <c r="P569" s="143">
        <v>46159</v>
      </c>
      <c r="Q569" s="143">
        <v>46331</v>
      </c>
      <c r="R569" s="185" t="s">
        <v>211</v>
      </c>
      <c r="S569" s="144" t="s">
        <v>704</v>
      </c>
      <c r="T569" s="145">
        <v>1</v>
      </c>
      <c r="U569" s="186" t="s">
        <v>173</v>
      </c>
      <c r="V569" s="146">
        <v>103</v>
      </c>
      <c r="W569" s="146">
        <v>103</v>
      </c>
      <c r="X569" s="147">
        <v>0</v>
      </c>
      <c r="Y569" s="146">
        <v>0</v>
      </c>
      <c r="Z569" s="146">
        <v>0</v>
      </c>
      <c r="AA569" s="146">
        <v>0</v>
      </c>
      <c r="AB569" s="146">
        <v>49</v>
      </c>
      <c r="AC569" s="146">
        <v>49</v>
      </c>
      <c r="AD569" s="146">
        <v>0</v>
      </c>
      <c r="AE569" s="146">
        <v>0</v>
      </c>
      <c r="AF569" s="146">
        <v>0</v>
      </c>
      <c r="AG569" s="146">
        <v>0</v>
      </c>
      <c r="AH569" s="146">
        <v>3</v>
      </c>
      <c r="AI569" s="146">
        <v>3</v>
      </c>
      <c r="AJ569" s="146">
        <v>0</v>
      </c>
      <c r="AK569" s="146">
        <v>0</v>
      </c>
      <c r="AL569" s="146">
        <v>0</v>
      </c>
      <c r="AM569" s="146">
        <v>0</v>
      </c>
      <c r="AN569" s="146">
        <v>4</v>
      </c>
      <c r="AO569" s="146">
        <v>4</v>
      </c>
      <c r="AP569" s="146">
        <v>4</v>
      </c>
      <c r="AQ569" s="146">
        <v>4</v>
      </c>
      <c r="AR569" s="146">
        <v>0</v>
      </c>
      <c r="AS569" s="146">
        <v>0</v>
      </c>
      <c r="AT569" s="146">
        <v>1</v>
      </c>
      <c r="AU569" s="146">
        <v>1</v>
      </c>
      <c r="AV569" s="146">
        <v>0</v>
      </c>
      <c r="AW569" s="146">
        <v>0</v>
      </c>
      <c r="AX569" s="146">
        <f t="shared" si="68"/>
        <v>12593</v>
      </c>
      <c r="AY569" s="146">
        <f t="shared" si="77"/>
        <v>12593</v>
      </c>
      <c r="AZ569" s="140" t="s">
        <v>562</v>
      </c>
      <c r="BA569" s="140" t="s">
        <v>562</v>
      </c>
      <c r="BB569" s="137">
        <v>12</v>
      </c>
      <c r="BC569" s="187">
        <v>562</v>
      </c>
      <c r="BD569" s="149"/>
      <c r="BE569" s="145"/>
      <c r="BF569" s="150"/>
      <c r="BG569" s="188">
        <v>46180</v>
      </c>
      <c r="BH569" s="153" t="s">
        <v>15</v>
      </c>
      <c r="BI569" s="153" t="s">
        <v>562</v>
      </c>
    </row>
    <row r="570" spans="1:63" s="16" customFormat="1" ht="42" hidden="1" customHeight="1" x14ac:dyDescent="0.3">
      <c r="A570" s="26">
        <v>563</v>
      </c>
      <c r="B570" s="138">
        <v>249783</v>
      </c>
      <c r="C570" s="138">
        <v>563</v>
      </c>
      <c r="D570" s="139">
        <v>46147</v>
      </c>
      <c r="E570" s="139">
        <f t="shared" si="74"/>
        <v>46146</v>
      </c>
      <c r="F570" s="139">
        <f t="shared" si="75"/>
        <v>46157</v>
      </c>
      <c r="G570" s="139">
        <v>46157</v>
      </c>
      <c r="H570" s="139">
        <v>46166</v>
      </c>
      <c r="I570" s="139" t="s">
        <v>75</v>
      </c>
      <c r="J570" s="140" t="s">
        <v>1241</v>
      </c>
      <c r="K570" s="141">
        <f t="shared" si="76"/>
        <v>0</v>
      </c>
      <c r="L570" s="141">
        <v>1224722</v>
      </c>
      <c r="M570" s="140" t="s">
        <v>15</v>
      </c>
      <c r="N570" s="140">
        <v>826925</v>
      </c>
      <c r="O570" s="140" t="s">
        <v>246</v>
      </c>
      <c r="P570" s="143">
        <v>46160</v>
      </c>
      <c r="Q570" s="143">
        <v>46334</v>
      </c>
      <c r="R570" s="185" t="s">
        <v>211</v>
      </c>
      <c r="S570" s="144" t="s">
        <v>1242</v>
      </c>
      <c r="T570" s="145">
        <v>1</v>
      </c>
      <c r="U570" s="186" t="s">
        <v>450</v>
      </c>
      <c r="V570" s="146">
        <v>33</v>
      </c>
      <c r="W570" s="146">
        <v>33</v>
      </c>
      <c r="X570" s="147">
        <v>0</v>
      </c>
      <c r="Y570" s="146">
        <v>0</v>
      </c>
      <c r="Z570" s="146">
        <v>0</v>
      </c>
      <c r="AA570" s="146">
        <v>0</v>
      </c>
      <c r="AB570" s="146">
        <v>0</v>
      </c>
      <c r="AC570" s="146">
        <v>0</v>
      </c>
      <c r="AD570" s="146">
        <v>0</v>
      </c>
      <c r="AE570" s="146">
        <v>0</v>
      </c>
      <c r="AF570" s="146">
        <v>0</v>
      </c>
      <c r="AG570" s="146">
        <v>0</v>
      </c>
      <c r="AH570" s="146">
        <v>1</v>
      </c>
      <c r="AI570" s="146">
        <v>1</v>
      </c>
      <c r="AJ570" s="146">
        <v>0</v>
      </c>
      <c r="AK570" s="146">
        <v>0</v>
      </c>
      <c r="AL570" s="146">
        <v>1</v>
      </c>
      <c r="AM570" s="146">
        <v>1</v>
      </c>
      <c r="AN570" s="146">
        <v>1</v>
      </c>
      <c r="AO570" s="146">
        <v>1</v>
      </c>
      <c r="AP570" s="146">
        <v>1</v>
      </c>
      <c r="AQ570" s="146">
        <v>1</v>
      </c>
      <c r="AR570" s="146">
        <v>0</v>
      </c>
      <c r="AS570" s="146">
        <v>0</v>
      </c>
      <c r="AT570" s="146">
        <v>1</v>
      </c>
      <c r="AU570" s="146">
        <v>1</v>
      </c>
      <c r="AV570" s="146">
        <v>0</v>
      </c>
      <c r="AW570" s="146">
        <v>0</v>
      </c>
      <c r="AX570" s="146">
        <f t="shared" si="68"/>
        <v>3780</v>
      </c>
      <c r="AY570" s="146">
        <f t="shared" si="77"/>
        <v>3780</v>
      </c>
      <c r="AZ570" s="137" t="s">
        <v>562</v>
      </c>
      <c r="BA570" s="137" t="s">
        <v>562</v>
      </c>
      <c r="BB570" s="137">
        <v>11</v>
      </c>
      <c r="BC570" s="187">
        <v>563</v>
      </c>
      <c r="BD570" s="149"/>
      <c r="BE570" s="145"/>
      <c r="BF570" s="150"/>
      <c r="BG570" s="188">
        <v>46166</v>
      </c>
      <c r="BH570" s="153" t="s">
        <v>15</v>
      </c>
      <c r="BI570" s="153" t="s">
        <v>562</v>
      </c>
      <c r="BK570" s="238"/>
    </row>
    <row r="571" spans="1:63" s="16" customFormat="1" ht="42" hidden="1" customHeight="1" x14ac:dyDescent="0.3">
      <c r="A571" s="26">
        <v>564</v>
      </c>
      <c r="B571" s="138">
        <v>249890</v>
      </c>
      <c r="C571" s="138">
        <v>564</v>
      </c>
      <c r="D571" s="139">
        <v>46148</v>
      </c>
      <c r="E571" s="139">
        <f t="shared" si="74"/>
        <v>46147</v>
      </c>
      <c r="F571" s="139">
        <f t="shared" si="75"/>
        <v>46158</v>
      </c>
      <c r="G571" s="139">
        <v>46209</v>
      </c>
      <c r="H571" s="139">
        <v>46194</v>
      </c>
      <c r="I571" s="139" t="s">
        <v>123</v>
      </c>
      <c r="J571" s="140" t="s">
        <v>1247</v>
      </c>
      <c r="K571" s="141">
        <f t="shared" si="76"/>
        <v>51</v>
      </c>
      <c r="L571" s="141">
        <v>1225254</v>
      </c>
      <c r="M571" s="140" t="s">
        <v>15</v>
      </c>
      <c r="N571" s="140">
        <v>827165</v>
      </c>
      <c r="O571" s="140" t="s">
        <v>246</v>
      </c>
      <c r="P571" s="143">
        <v>46163</v>
      </c>
      <c r="Q571" s="143">
        <v>46338</v>
      </c>
      <c r="R571" s="185" t="s">
        <v>211</v>
      </c>
      <c r="S571" s="144" t="s">
        <v>1248</v>
      </c>
      <c r="T571" s="145">
        <v>1</v>
      </c>
      <c r="U571" s="186" t="s">
        <v>81</v>
      </c>
      <c r="V571" s="146">
        <v>50</v>
      </c>
      <c r="W571" s="146">
        <v>50</v>
      </c>
      <c r="X571" s="147">
        <v>0</v>
      </c>
      <c r="Y571" s="146">
        <v>0</v>
      </c>
      <c r="Z571" s="146">
        <v>0</v>
      </c>
      <c r="AA571" s="146">
        <v>0</v>
      </c>
      <c r="AB571" s="146">
        <v>50</v>
      </c>
      <c r="AC571" s="146">
        <v>50</v>
      </c>
      <c r="AD571" s="146">
        <v>0</v>
      </c>
      <c r="AE571" s="146">
        <v>0</v>
      </c>
      <c r="AF571" s="146">
        <v>0</v>
      </c>
      <c r="AG571" s="146">
        <v>0</v>
      </c>
      <c r="AH571" s="146">
        <v>1</v>
      </c>
      <c r="AI571" s="146">
        <v>1</v>
      </c>
      <c r="AJ571" s="146">
        <v>0</v>
      </c>
      <c r="AK571" s="146">
        <v>0</v>
      </c>
      <c r="AL571" s="146">
        <v>0</v>
      </c>
      <c r="AM571" s="146">
        <v>0</v>
      </c>
      <c r="AN571" s="146">
        <v>1</v>
      </c>
      <c r="AO571" s="146">
        <v>1</v>
      </c>
      <c r="AP571" s="146">
        <v>2</v>
      </c>
      <c r="AQ571" s="146">
        <v>2</v>
      </c>
      <c r="AR571" s="146">
        <v>0</v>
      </c>
      <c r="AS571" s="146">
        <v>0</v>
      </c>
      <c r="AT571" s="146">
        <v>1</v>
      </c>
      <c r="AU571" s="146">
        <v>1</v>
      </c>
      <c r="AV571" s="146">
        <v>0</v>
      </c>
      <c r="AW571" s="146">
        <v>0</v>
      </c>
      <c r="AX571" s="146">
        <f t="shared" si="68"/>
        <v>7690</v>
      </c>
      <c r="AY571" s="146">
        <f t="shared" si="77"/>
        <v>7690</v>
      </c>
      <c r="AZ571" s="140" t="s">
        <v>562</v>
      </c>
      <c r="BA571" s="140" t="s">
        <v>562</v>
      </c>
      <c r="BB571" s="137">
        <v>13</v>
      </c>
      <c r="BC571" s="187">
        <v>564</v>
      </c>
      <c r="BD571" s="149"/>
      <c r="BE571" s="145"/>
      <c r="BF571" s="150"/>
      <c r="BG571" s="188">
        <v>46189</v>
      </c>
      <c r="BH571" s="153" t="s">
        <v>15</v>
      </c>
      <c r="BI571" s="153" t="s">
        <v>562</v>
      </c>
    </row>
    <row r="572" spans="1:63" s="16" customFormat="1" ht="42" hidden="1" customHeight="1" x14ac:dyDescent="0.3">
      <c r="A572" s="26">
        <v>565</v>
      </c>
      <c r="B572" s="138">
        <v>250169</v>
      </c>
      <c r="C572" s="138">
        <v>565</v>
      </c>
      <c r="D572" s="139">
        <v>46154</v>
      </c>
      <c r="E572" s="139">
        <f t="shared" si="74"/>
        <v>46153</v>
      </c>
      <c r="F572" s="139">
        <f t="shared" si="75"/>
        <v>46164</v>
      </c>
      <c r="G572" s="139">
        <v>46215</v>
      </c>
      <c r="H572" s="139">
        <v>46162</v>
      </c>
      <c r="I572" s="139" t="s">
        <v>123</v>
      </c>
      <c r="J572" s="140" t="s">
        <v>1249</v>
      </c>
      <c r="K572" s="141">
        <f t="shared" si="76"/>
        <v>51</v>
      </c>
      <c r="L572" s="141">
        <v>1227602</v>
      </c>
      <c r="M572" s="140" t="s">
        <v>15</v>
      </c>
      <c r="N572" s="140">
        <v>828127</v>
      </c>
      <c r="O572" s="140" t="s">
        <v>246</v>
      </c>
      <c r="P572" s="143">
        <v>46161</v>
      </c>
      <c r="Q572" s="143">
        <v>46176</v>
      </c>
      <c r="R572" s="185" t="s">
        <v>211</v>
      </c>
      <c r="S572" s="144" t="s">
        <v>398</v>
      </c>
      <c r="T572" s="145">
        <v>1</v>
      </c>
      <c r="U572" s="186" t="s">
        <v>82</v>
      </c>
      <c r="V572" s="146">
        <v>22</v>
      </c>
      <c r="W572" s="146">
        <v>22</v>
      </c>
      <c r="X572" s="147">
        <v>0</v>
      </c>
      <c r="Y572" s="146">
        <v>0</v>
      </c>
      <c r="Z572" s="146">
        <v>0</v>
      </c>
      <c r="AA572" s="146">
        <v>0</v>
      </c>
      <c r="AB572" s="146">
        <v>0</v>
      </c>
      <c r="AC572" s="146">
        <v>0</v>
      </c>
      <c r="AD572" s="146">
        <v>0</v>
      </c>
      <c r="AE572" s="146">
        <v>0</v>
      </c>
      <c r="AF572" s="146">
        <v>0</v>
      </c>
      <c r="AG572" s="146">
        <v>0</v>
      </c>
      <c r="AH572" s="146">
        <v>1</v>
      </c>
      <c r="AI572" s="146">
        <v>1</v>
      </c>
      <c r="AJ572" s="146">
        <v>0</v>
      </c>
      <c r="AK572" s="146">
        <v>0</v>
      </c>
      <c r="AL572" s="146">
        <v>2</v>
      </c>
      <c r="AM572" s="146">
        <v>2</v>
      </c>
      <c r="AN572" s="146">
        <v>2</v>
      </c>
      <c r="AO572" s="146">
        <v>2</v>
      </c>
      <c r="AP572" s="146">
        <v>1</v>
      </c>
      <c r="AQ572" s="146">
        <v>1</v>
      </c>
      <c r="AR572" s="146">
        <v>0</v>
      </c>
      <c r="AS572" s="146">
        <v>0</v>
      </c>
      <c r="AT572" s="146">
        <v>1</v>
      </c>
      <c r="AU572" s="146">
        <v>1</v>
      </c>
      <c r="AV572" s="146">
        <v>0</v>
      </c>
      <c r="AW572" s="146">
        <v>0</v>
      </c>
      <c r="AX572" s="146">
        <f t="shared" ref="AX572:AY637" si="78">(V572*60)+(X572*80)+(Z572*38)+(AB572*57)+(AD572*75)+(AF572*155)+(AH572*170)+(AJ572*375)+(AL572*590)+(AN572*60)+(AP572*630)+(AR572*400)+(AT572*350)+(AV572*950)</f>
        <v>3770</v>
      </c>
      <c r="AY572" s="146">
        <f t="shared" si="77"/>
        <v>3770</v>
      </c>
      <c r="AZ572" s="137" t="s">
        <v>562</v>
      </c>
      <c r="BA572" s="137" t="s">
        <v>562</v>
      </c>
      <c r="BB572" s="137">
        <v>11</v>
      </c>
      <c r="BC572" s="187">
        <v>565</v>
      </c>
      <c r="BD572" s="149"/>
      <c r="BE572" s="145"/>
      <c r="BF572" s="150"/>
      <c r="BG572" s="188">
        <v>46162</v>
      </c>
      <c r="BH572" s="153" t="s">
        <v>15</v>
      </c>
      <c r="BI572" s="153" t="s">
        <v>562</v>
      </c>
      <c r="BK572" s="238"/>
    </row>
    <row r="573" spans="1:63" s="16" customFormat="1" ht="42" hidden="1" customHeight="1" x14ac:dyDescent="0.3">
      <c r="A573" s="26">
        <v>566</v>
      </c>
      <c r="B573" s="138">
        <v>250649</v>
      </c>
      <c r="C573" s="138">
        <v>566</v>
      </c>
      <c r="D573" s="139">
        <v>46163</v>
      </c>
      <c r="E573" s="139">
        <f t="shared" si="74"/>
        <v>46162</v>
      </c>
      <c r="F573" s="139">
        <f t="shared" si="75"/>
        <v>46173</v>
      </c>
      <c r="G573" s="139">
        <v>46224</v>
      </c>
      <c r="H573" s="139">
        <v>46193</v>
      </c>
      <c r="I573" s="139" t="s">
        <v>123</v>
      </c>
      <c r="J573" s="140" t="s">
        <v>1255</v>
      </c>
      <c r="K573" s="141">
        <f t="shared" si="76"/>
        <v>51</v>
      </c>
      <c r="L573" s="141">
        <v>1230814</v>
      </c>
      <c r="M573" s="140" t="s">
        <v>15</v>
      </c>
      <c r="N573" s="140">
        <v>831950</v>
      </c>
      <c r="O573" s="140" t="s">
        <v>246</v>
      </c>
      <c r="P573" s="143">
        <v>46190</v>
      </c>
      <c r="Q573" s="143">
        <v>46205</v>
      </c>
      <c r="R573" s="185" t="s">
        <v>211</v>
      </c>
      <c r="S573" s="144" t="s">
        <v>1256</v>
      </c>
      <c r="T573" s="145">
        <v>1</v>
      </c>
      <c r="U573" s="186" t="s">
        <v>82</v>
      </c>
      <c r="V573" s="146">
        <v>131</v>
      </c>
      <c r="W573" s="146">
        <v>131</v>
      </c>
      <c r="X573" s="147">
        <v>0</v>
      </c>
      <c r="Y573" s="146">
        <v>0</v>
      </c>
      <c r="Z573" s="146">
        <v>0</v>
      </c>
      <c r="AA573" s="146">
        <v>0</v>
      </c>
      <c r="AB573" s="146">
        <v>131</v>
      </c>
      <c r="AC573" s="146">
        <v>131</v>
      </c>
      <c r="AD573" s="146">
        <v>0</v>
      </c>
      <c r="AE573" s="146">
        <v>0</v>
      </c>
      <c r="AF573" s="146">
        <v>0</v>
      </c>
      <c r="AG573" s="146">
        <v>0</v>
      </c>
      <c r="AH573" s="146">
        <v>2</v>
      </c>
      <c r="AI573" s="146">
        <v>2</v>
      </c>
      <c r="AJ573" s="146">
        <v>0</v>
      </c>
      <c r="AK573" s="146">
        <v>0</v>
      </c>
      <c r="AL573" s="146">
        <v>3</v>
      </c>
      <c r="AM573" s="146">
        <v>3</v>
      </c>
      <c r="AN573" s="146">
        <v>2</v>
      </c>
      <c r="AO573" s="146">
        <v>2</v>
      </c>
      <c r="AP573" s="146">
        <v>3</v>
      </c>
      <c r="AQ573" s="146">
        <v>3</v>
      </c>
      <c r="AR573" s="146">
        <v>0</v>
      </c>
      <c r="AS573" s="146">
        <v>0</v>
      </c>
      <c r="AT573" s="146">
        <v>0</v>
      </c>
      <c r="AU573" s="146">
        <v>0</v>
      </c>
      <c r="AV573" s="146">
        <v>2</v>
      </c>
      <c r="AW573" s="146">
        <v>2</v>
      </c>
      <c r="AX573" s="146">
        <f t="shared" si="78"/>
        <v>21347</v>
      </c>
      <c r="AY573" s="146">
        <f t="shared" si="77"/>
        <v>21347</v>
      </c>
      <c r="AZ573" s="140" t="s">
        <v>562</v>
      </c>
      <c r="BA573" s="140" t="s">
        <v>562</v>
      </c>
      <c r="BB573" s="137">
        <v>12</v>
      </c>
      <c r="BC573" s="187">
        <v>566</v>
      </c>
      <c r="BD573" s="149"/>
      <c r="BE573" s="145"/>
      <c r="BF573" s="150"/>
      <c r="BG573" s="188">
        <v>46188</v>
      </c>
      <c r="BH573" s="153" t="s">
        <v>15</v>
      </c>
      <c r="BI573" s="153" t="s">
        <v>562</v>
      </c>
    </row>
    <row r="574" spans="1:63" s="16" customFormat="1" ht="42" customHeight="1" x14ac:dyDescent="0.3">
      <c r="A574" s="26">
        <v>567</v>
      </c>
      <c r="B574" s="163">
        <v>250706</v>
      </c>
      <c r="C574" s="163">
        <v>567</v>
      </c>
      <c r="D574" s="164">
        <v>46166</v>
      </c>
      <c r="E574" s="164">
        <f t="shared" si="74"/>
        <v>46165</v>
      </c>
      <c r="F574" s="164">
        <f t="shared" si="75"/>
        <v>46176</v>
      </c>
      <c r="G574" s="164">
        <v>46227</v>
      </c>
      <c r="H574" s="164">
        <v>46198</v>
      </c>
      <c r="I574" s="164" t="s">
        <v>123</v>
      </c>
      <c r="J574" s="165" t="s">
        <v>1257</v>
      </c>
      <c r="K574" s="166">
        <f t="shared" si="76"/>
        <v>51</v>
      </c>
      <c r="L574" s="166">
        <v>1231369</v>
      </c>
      <c r="M574" s="165" t="s">
        <v>15</v>
      </c>
      <c r="N574" s="165">
        <v>830037</v>
      </c>
      <c r="O574" s="165" t="s">
        <v>246</v>
      </c>
      <c r="P574" s="167">
        <v>46183</v>
      </c>
      <c r="Q574" s="167">
        <v>46333</v>
      </c>
      <c r="R574" s="179" t="s">
        <v>211</v>
      </c>
      <c r="S574" s="168" t="s">
        <v>483</v>
      </c>
      <c r="T574" s="169">
        <v>1</v>
      </c>
      <c r="U574" s="180" t="s">
        <v>484</v>
      </c>
      <c r="V574" s="170">
        <v>6</v>
      </c>
      <c r="W574" s="170">
        <v>6</v>
      </c>
      <c r="X574" s="171">
        <v>0</v>
      </c>
      <c r="Y574" s="170">
        <v>0</v>
      </c>
      <c r="Z574" s="170">
        <v>0</v>
      </c>
      <c r="AA574" s="170">
        <v>0</v>
      </c>
      <c r="AB574" s="170">
        <v>0</v>
      </c>
      <c r="AC574" s="170">
        <v>0</v>
      </c>
      <c r="AD574" s="170">
        <v>2</v>
      </c>
      <c r="AE574" s="170">
        <v>2</v>
      </c>
      <c r="AF574" s="170">
        <v>15</v>
      </c>
      <c r="AG574" s="170">
        <v>15</v>
      </c>
      <c r="AH574" s="170">
        <v>1</v>
      </c>
      <c r="AI574" s="170">
        <v>1</v>
      </c>
      <c r="AJ574" s="170">
        <v>0</v>
      </c>
      <c r="AK574" s="170">
        <v>0</v>
      </c>
      <c r="AL574" s="170">
        <v>0</v>
      </c>
      <c r="AM574" s="170">
        <v>0</v>
      </c>
      <c r="AN574" s="170">
        <v>1</v>
      </c>
      <c r="AO574" s="170">
        <v>1</v>
      </c>
      <c r="AP574" s="170">
        <v>1</v>
      </c>
      <c r="AQ574" s="170">
        <v>1</v>
      </c>
      <c r="AR574" s="170">
        <v>0</v>
      </c>
      <c r="AS574" s="170">
        <v>0</v>
      </c>
      <c r="AT574" s="170">
        <v>1</v>
      </c>
      <c r="AU574" s="170">
        <v>1</v>
      </c>
      <c r="AV574" s="170">
        <v>0</v>
      </c>
      <c r="AW574" s="170">
        <v>0</v>
      </c>
      <c r="AX574" s="170">
        <f t="shared" si="78"/>
        <v>4045</v>
      </c>
      <c r="AY574" s="170">
        <f t="shared" si="77"/>
        <v>4045</v>
      </c>
      <c r="AZ574" s="165" t="s">
        <v>15</v>
      </c>
      <c r="BA574" s="165" t="s">
        <v>77</v>
      </c>
      <c r="BB574" s="162" t="s">
        <v>77</v>
      </c>
      <c r="BC574" s="181">
        <v>567</v>
      </c>
      <c r="BD574" s="173"/>
      <c r="BE574" s="169"/>
      <c r="BF574" s="174"/>
      <c r="BG574" s="178">
        <v>46196</v>
      </c>
      <c r="BH574" s="175" t="s">
        <v>77</v>
      </c>
      <c r="BI574" s="175" t="s">
        <v>77</v>
      </c>
    </row>
    <row r="575" spans="1:63" s="16" customFormat="1" ht="42" hidden="1" customHeight="1" x14ac:dyDescent="0.3">
      <c r="A575" s="26">
        <v>568</v>
      </c>
      <c r="B575" s="90">
        <v>250840</v>
      </c>
      <c r="C575" s="90">
        <v>568</v>
      </c>
      <c r="D575" s="91">
        <v>46183</v>
      </c>
      <c r="E575" s="91">
        <f t="shared" si="74"/>
        <v>46182</v>
      </c>
      <c r="F575" s="91">
        <f t="shared" si="75"/>
        <v>46193</v>
      </c>
      <c r="G575" s="91">
        <v>46244</v>
      </c>
      <c r="H575" s="91">
        <f ca="1">TODAY()</f>
        <v>46277</v>
      </c>
      <c r="I575" s="91" t="s">
        <v>123</v>
      </c>
      <c r="J575" s="92" t="s">
        <v>1289</v>
      </c>
      <c r="K575" s="93">
        <f t="shared" si="76"/>
        <v>51</v>
      </c>
      <c r="L575" s="93">
        <v>1232817</v>
      </c>
      <c r="M575" s="92" t="s">
        <v>212</v>
      </c>
      <c r="N575" s="92">
        <v>830617</v>
      </c>
      <c r="O575" s="92" t="s">
        <v>212</v>
      </c>
      <c r="P575" s="126" t="s">
        <v>212</v>
      </c>
      <c r="Q575" s="126" t="s">
        <v>212</v>
      </c>
      <c r="R575" s="158" t="s">
        <v>211</v>
      </c>
      <c r="S575" s="94" t="s">
        <v>1258</v>
      </c>
      <c r="T575" s="95">
        <v>1</v>
      </c>
      <c r="U575" s="159" t="s">
        <v>81</v>
      </c>
      <c r="V575" s="96">
        <v>351</v>
      </c>
      <c r="W575" s="96"/>
      <c r="X575" s="97">
        <v>0</v>
      </c>
      <c r="Y575" s="96">
        <v>0</v>
      </c>
      <c r="Z575" s="96">
        <v>0</v>
      </c>
      <c r="AA575" s="96">
        <v>0</v>
      </c>
      <c r="AB575" s="96">
        <v>2</v>
      </c>
      <c r="AC575" s="96"/>
      <c r="AD575" s="96">
        <v>0</v>
      </c>
      <c r="AE575" s="96">
        <v>0</v>
      </c>
      <c r="AF575" s="96">
        <v>0</v>
      </c>
      <c r="AG575" s="96">
        <v>0</v>
      </c>
      <c r="AH575" s="96">
        <v>2</v>
      </c>
      <c r="AI575" s="96"/>
      <c r="AJ575" s="96">
        <v>0</v>
      </c>
      <c r="AK575" s="96">
        <v>0</v>
      </c>
      <c r="AL575" s="96">
        <v>2</v>
      </c>
      <c r="AM575" s="96"/>
      <c r="AN575" s="96">
        <v>2</v>
      </c>
      <c r="AO575" s="96"/>
      <c r="AP575" s="96">
        <v>2</v>
      </c>
      <c r="AQ575" s="96"/>
      <c r="AR575" s="96">
        <v>0</v>
      </c>
      <c r="AS575" s="96">
        <v>0</v>
      </c>
      <c r="AT575" s="96">
        <v>2</v>
      </c>
      <c r="AU575" s="96"/>
      <c r="AV575" s="96">
        <v>0</v>
      </c>
      <c r="AW575" s="96">
        <v>0</v>
      </c>
      <c r="AX575" s="96">
        <f t="shared" si="78"/>
        <v>24774</v>
      </c>
      <c r="AY575" s="96"/>
      <c r="AZ575" s="92" t="s">
        <v>212</v>
      </c>
      <c r="BA575" s="92" t="s">
        <v>77</v>
      </c>
      <c r="BB575" s="89" t="s">
        <v>77</v>
      </c>
      <c r="BC575" s="160">
        <v>568</v>
      </c>
      <c r="BD575" s="100"/>
      <c r="BE575" s="95"/>
      <c r="BF575" s="101"/>
      <c r="BG575" s="89"/>
      <c r="BH575" s="102" t="s">
        <v>212</v>
      </c>
      <c r="BI575" s="102" t="s">
        <v>212</v>
      </c>
    </row>
    <row r="576" spans="1:63" s="16" customFormat="1" ht="42" customHeight="1" x14ac:dyDescent="0.3">
      <c r="A576" s="26">
        <v>569</v>
      </c>
      <c r="B576" s="163">
        <v>251076</v>
      </c>
      <c r="C576" s="163">
        <v>569</v>
      </c>
      <c r="D576" s="164">
        <v>46180</v>
      </c>
      <c r="E576" s="164">
        <f t="shared" si="74"/>
        <v>46179</v>
      </c>
      <c r="F576" s="164">
        <f t="shared" si="75"/>
        <v>46190</v>
      </c>
      <c r="G576" s="164">
        <v>46241</v>
      </c>
      <c r="H576" s="164">
        <v>46205</v>
      </c>
      <c r="I576" s="164" t="s">
        <v>123</v>
      </c>
      <c r="J576" s="165" t="s">
        <v>1261</v>
      </c>
      <c r="K576" s="166">
        <f t="shared" si="76"/>
        <v>51</v>
      </c>
      <c r="L576" s="166">
        <v>1234789</v>
      </c>
      <c r="M576" s="165" t="s">
        <v>15</v>
      </c>
      <c r="N576" s="165">
        <v>831472</v>
      </c>
      <c r="O576" s="165" t="s">
        <v>246</v>
      </c>
      <c r="P576" s="167">
        <v>46194</v>
      </c>
      <c r="Q576" s="167">
        <v>46374</v>
      </c>
      <c r="R576" s="179" t="s">
        <v>211</v>
      </c>
      <c r="S576" s="168" t="s">
        <v>1262</v>
      </c>
      <c r="T576" s="169">
        <v>1</v>
      </c>
      <c r="U576" s="180" t="s">
        <v>81</v>
      </c>
      <c r="V576" s="170">
        <v>66</v>
      </c>
      <c r="W576" s="170">
        <v>66</v>
      </c>
      <c r="X576" s="171">
        <v>0</v>
      </c>
      <c r="Y576" s="170">
        <v>0</v>
      </c>
      <c r="Z576" s="170">
        <v>0</v>
      </c>
      <c r="AA576" s="170">
        <v>0</v>
      </c>
      <c r="AB576" s="170">
        <v>31</v>
      </c>
      <c r="AC576" s="170">
        <v>31</v>
      </c>
      <c r="AD576" s="170">
        <v>0</v>
      </c>
      <c r="AE576" s="170">
        <v>0</v>
      </c>
      <c r="AF576" s="170">
        <v>0</v>
      </c>
      <c r="AG576" s="170">
        <v>0</v>
      </c>
      <c r="AH576" s="170">
        <v>2</v>
      </c>
      <c r="AI576" s="170">
        <v>2</v>
      </c>
      <c r="AJ576" s="170">
        <v>0</v>
      </c>
      <c r="AK576" s="170">
        <v>0</v>
      </c>
      <c r="AL576" s="170">
        <v>1</v>
      </c>
      <c r="AM576" s="170">
        <v>1</v>
      </c>
      <c r="AN576" s="170">
        <v>3</v>
      </c>
      <c r="AO576" s="170">
        <v>3</v>
      </c>
      <c r="AP576" s="170">
        <v>2</v>
      </c>
      <c r="AQ576" s="170">
        <v>2</v>
      </c>
      <c r="AR576" s="170">
        <v>0</v>
      </c>
      <c r="AS576" s="170">
        <v>0</v>
      </c>
      <c r="AT576" s="170">
        <v>1</v>
      </c>
      <c r="AU576" s="170">
        <v>1</v>
      </c>
      <c r="AV576" s="170">
        <v>0</v>
      </c>
      <c r="AW576" s="170">
        <v>0</v>
      </c>
      <c r="AX576" s="170">
        <f t="shared" si="78"/>
        <v>8447</v>
      </c>
      <c r="AY576" s="170">
        <f>(W576*60)+(Y576*80)+(AA576*38)+(AC576*57)+(AE576*75)+(AG576*155)+(AI576*170)+(AK576*375)+(AM576*590)+(AO576*60)+(AQ576*630)+(AS576*400)+(AU576*350)+(AW576*950)</f>
        <v>8447</v>
      </c>
      <c r="AZ576" s="165" t="s">
        <v>15</v>
      </c>
      <c r="BA576" s="165" t="s">
        <v>77</v>
      </c>
      <c r="BB576" s="162" t="s">
        <v>77</v>
      </c>
      <c r="BC576" s="181">
        <v>569</v>
      </c>
      <c r="BD576" s="173"/>
      <c r="BE576" s="169"/>
      <c r="BF576" s="174"/>
      <c r="BG576" s="178">
        <v>46201</v>
      </c>
      <c r="BH576" s="175" t="s">
        <v>77</v>
      </c>
      <c r="BI576" s="175" t="s">
        <v>77</v>
      </c>
    </row>
    <row r="577" spans="1:61" s="16" customFormat="1" ht="42" customHeight="1" x14ac:dyDescent="0.3">
      <c r="A577" s="26">
        <v>570</v>
      </c>
      <c r="B577" s="163">
        <v>251127</v>
      </c>
      <c r="C577" s="163">
        <v>570</v>
      </c>
      <c r="D577" s="164">
        <v>46181</v>
      </c>
      <c r="E577" s="164">
        <f t="shared" si="74"/>
        <v>46180</v>
      </c>
      <c r="F577" s="164">
        <f t="shared" si="75"/>
        <v>46191</v>
      </c>
      <c r="G577" s="164">
        <v>46273</v>
      </c>
      <c r="H577" s="164">
        <v>46259</v>
      </c>
      <c r="I577" s="164" t="s">
        <v>321</v>
      </c>
      <c r="J577" s="165" t="s">
        <v>1264</v>
      </c>
      <c r="K577" s="166">
        <f t="shared" si="76"/>
        <v>82</v>
      </c>
      <c r="L577" s="166">
        <v>1235212</v>
      </c>
      <c r="M577" s="165" t="s">
        <v>15</v>
      </c>
      <c r="N577" s="165" t="s">
        <v>1458</v>
      </c>
      <c r="O577" s="165" t="s">
        <v>246</v>
      </c>
      <c r="P577" s="167">
        <v>46194</v>
      </c>
      <c r="Q577" s="167">
        <v>46370</v>
      </c>
      <c r="R577" s="179" t="s">
        <v>211</v>
      </c>
      <c r="S577" s="168" t="s">
        <v>1265</v>
      </c>
      <c r="T577" s="169">
        <v>1</v>
      </c>
      <c r="U577" s="180" t="s">
        <v>82</v>
      </c>
      <c r="V577" s="170">
        <v>593</v>
      </c>
      <c r="W577" s="170">
        <v>593</v>
      </c>
      <c r="X577" s="171">
        <v>32</v>
      </c>
      <c r="Y577" s="170">
        <v>32</v>
      </c>
      <c r="Z577" s="170">
        <v>0</v>
      </c>
      <c r="AA577" s="170">
        <v>0</v>
      </c>
      <c r="AB577" s="170">
        <v>150</v>
      </c>
      <c r="AC577" s="170">
        <v>150</v>
      </c>
      <c r="AD577" s="170">
        <v>0</v>
      </c>
      <c r="AE577" s="170">
        <v>0</v>
      </c>
      <c r="AF577" s="170">
        <v>40</v>
      </c>
      <c r="AG577" s="170">
        <v>40</v>
      </c>
      <c r="AH577" s="170">
        <v>0</v>
      </c>
      <c r="AI577" s="170">
        <v>0</v>
      </c>
      <c r="AJ577" s="170">
        <v>0</v>
      </c>
      <c r="AK577" s="170">
        <v>0</v>
      </c>
      <c r="AL577" s="170">
        <v>2</v>
      </c>
      <c r="AM577" s="170">
        <v>2</v>
      </c>
      <c r="AN577" s="170">
        <v>2</v>
      </c>
      <c r="AO577" s="170">
        <v>2</v>
      </c>
      <c r="AP577" s="170">
        <v>0</v>
      </c>
      <c r="AQ577" s="170">
        <v>0</v>
      </c>
      <c r="AR577" s="170">
        <v>0</v>
      </c>
      <c r="AS577" s="170">
        <v>0</v>
      </c>
      <c r="AT577" s="170">
        <v>0</v>
      </c>
      <c r="AU577" s="170">
        <v>0</v>
      </c>
      <c r="AV577" s="170">
        <v>0</v>
      </c>
      <c r="AW577" s="170">
        <v>0</v>
      </c>
      <c r="AX577" s="170">
        <f t="shared" si="78"/>
        <v>54190</v>
      </c>
      <c r="AY577" s="170">
        <f>(W577*60)+(Y577*80)+(AA577*38)+(AC577*57)+(AE577*75)+(AG577*155)+(AI577*170)+(AK577*375)+(AM577*590)+(AO577*60)+(AQ577*630)+(AS577*400)+(AU577*350)+(AW577*950)</f>
        <v>54190</v>
      </c>
      <c r="AZ577" s="165" t="s">
        <v>15</v>
      </c>
      <c r="BA577" s="165" t="s">
        <v>77</v>
      </c>
      <c r="BB577" s="162" t="s">
        <v>77</v>
      </c>
      <c r="BC577" s="181">
        <v>570</v>
      </c>
      <c r="BD577" s="173"/>
      <c r="BE577" s="169"/>
      <c r="BF577" s="174"/>
      <c r="BG577" s="178">
        <v>46209</v>
      </c>
      <c r="BH577" s="175" t="s">
        <v>77</v>
      </c>
      <c r="BI577" s="175" t="s">
        <v>77</v>
      </c>
    </row>
    <row r="578" spans="1:61" s="16" customFormat="1" ht="42" customHeight="1" x14ac:dyDescent="0.3">
      <c r="A578" s="26">
        <v>571</v>
      </c>
      <c r="B578" s="62">
        <v>251133</v>
      </c>
      <c r="C578" s="62">
        <v>571</v>
      </c>
      <c r="D578" s="63">
        <v>46182</v>
      </c>
      <c r="E578" s="63">
        <f t="shared" si="74"/>
        <v>46181</v>
      </c>
      <c r="F578" s="63">
        <f t="shared" si="75"/>
        <v>46192</v>
      </c>
      <c r="G578" s="63">
        <v>46274</v>
      </c>
      <c r="H578" s="63">
        <f t="shared" ref="H578:H583" ca="1" si="79">TODAY()</f>
        <v>46277</v>
      </c>
      <c r="I578" s="63" t="s">
        <v>321</v>
      </c>
      <c r="J578" s="64" t="s">
        <v>1266</v>
      </c>
      <c r="K578" s="65">
        <f t="shared" si="76"/>
        <v>82</v>
      </c>
      <c r="L578" s="65">
        <v>1235429</v>
      </c>
      <c r="M578" s="64" t="s">
        <v>77</v>
      </c>
      <c r="N578" s="64">
        <v>839315</v>
      </c>
      <c r="O578" s="80" t="s">
        <v>246</v>
      </c>
      <c r="P578" s="103">
        <v>46266</v>
      </c>
      <c r="Q578" s="103">
        <v>46436</v>
      </c>
      <c r="R578" s="73" t="s">
        <v>211</v>
      </c>
      <c r="S578" s="66" t="s">
        <v>1272</v>
      </c>
      <c r="T578" s="67">
        <v>1</v>
      </c>
      <c r="U578" s="75" t="s">
        <v>128</v>
      </c>
      <c r="V578" s="68">
        <v>158</v>
      </c>
      <c r="W578" s="68"/>
      <c r="X578" s="69">
        <v>0</v>
      </c>
      <c r="Y578" s="68">
        <v>0</v>
      </c>
      <c r="Z578" s="68">
        <v>0</v>
      </c>
      <c r="AA578" s="68">
        <v>0</v>
      </c>
      <c r="AB578" s="68">
        <v>0</v>
      </c>
      <c r="AC578" s="68"/>
      <c r="AD578" s="68">
        <v>0</v>
      </c>
      <c r="AE578" s="68">
        <v>0</v>
      </c>
      <c r="AF578" s="68">
        <v>0</v>
      </c>
      <c r="AG578" s="68">
        <v>0</v>
      </c>
      <c r="AH578" s="68">
        <v>0</v>
      </c>
      <c r="AI578" s="68"/>
      <c r="AJ578" s="68">
        <v>0</v>
      </c>
      <c r="AK578" s="68">
        <v>0</v>
      </c>
      <c r="AL578" s="68">
        <v>1</v>
      </c>
      <c r="AM578" s="68"/>
      <c r="AN578" s="68">
        <v>1</v>
      </c>
      <c r="AO578" s="68"/>
      <c r="AP578" s="68">
        <v>1</v>
      </c>
      <c r="AQ578" s="68"/>
      <c r="AR578" s="68">
        <v>0</v>
      </c>
      <c r="AS578" s="68">
        <v>0</v>
      </c>
      <c r="AT578" s="68">
        <v>0</v>
      </c>
      <c r="AU578" s="68"/>
      <c r="AV578" s="68">
        <v>0</v>
      </c>
      <c r="AW578" s="68">
        <v>0</v>
      </c>
      <c r="AX578" s="170">
        <f t="shared" si="78"/>
        <v>10760</v>
      </c>
      <c r="AY578" s="170"/>
      <c r="AZ578" s="64" t="s">
        <v>77</v>
      </c>
      <c r="BA578" s="64" t="s">
        <v>77</v>
      </c>
      <c r="BB578" s="15" t="s">
        <v>77</v>
      </c>
      <c r="BC578" s="74">
        <v>571</v>
      </c>
      <c r="BD578" s="70"/>
      <c r="BE578" s="67"/>
      <c r="BF578" s="71"/>
      <c r="BG578" s="15"/>
      <c r="BH578" s="72" t="s">
        <v>77</v>
      </c>
      <c r="BI578" s="72" t="s">
        <v>77</v>
      </c>
    </row>
    <row r="579" spans="1:61" s="16" customFormat="1" ht="42" customHeight="1" x14ac:dyDescent="0.3">
      <c r="A579" s="26">
        <v>572</v>
      </c>
      <c r="B579" s="62">
        <v>251150</v>
      </c>
      <c r="C579" s="62">
        <v>572</v>
      </c>
      <c r="D579" s="63">
        <v>46182</v>
      </c>
      <c r="E579" s="63">
        <f t="shared" si="74"/>
        <v>46181</v>
      </c>
      <c r="F579" s="63">
        <f t="shared" si="75"/>
        <v>46192</v>
      </c>
      <c r="G579" s="63">
        <v>46274</v>
      </c>
      <c r="H579" s="63">
        <f t="shared" ca="1" si="79"/>
        <v>46277</v>
      </c>
      <c r="I579" s="63" t="s">
        <v>321</v>
      </c>
      <c r="J579" s="64" t="s">
        <v>1267</v>
      </c>
      <c r="K579" s="65">
        <f t="shared" si="76"/>
        <v>82</v>
      </c>
      <c r="L579" s="65">
        <v>1235517</v>
      </c>
      <c r="M579" s="64" t="s">
        <v>77</v>
      </c>
      <c r="N579" s="64">
        <v>834116</v>
      </c>
      <c r="O579" s="79" t="s">
        <v>246</v>
      </c>
      <c r="P579" s="103">
        <v>46238</v>
      </c>
      <c r="Q579" s="103">
        <v>46396</v>
      </c>
      <c r="R579" s="73" t="s">
        <v>211</v>
      </c>
      <c r="S579" s="66" t="s">
        <v>1273</v>
      </c>
      <c r="T579" s="67">
        <v>1</v>
      </c>
      <c r="U579" s="75" t="s">
        <v>81</v>
      </c>
      <c r="V579" s="68">
        <v>189</v>
      </c>
      <c r="W579" s="68"/>
      <c r="X579" s="69">
        <v>0</v>
      </c>
      <c r="Y579" s="68">
        <v>0</v>
      </c>
      <c r="Z579" s="68">
        <v>0</v>
      </c>
      <c r="AA579" s="68">
        <v>0</v>
      </c>
      <c r="AB579" s="68">
        <v>0</v>
      </c>
      <c r="AC579" s="68"/>
      <c r="AD579" s="68">
        <v>0</v>
      </c>
      <c r="AE579" s="68">
        <v>0</v>
      </c>
      <c r="AF579" s="68">
        <v>0</v>
      </c>
      <c r="AG579" s="68">
        <v>0</v>
      </c>
      <c r="AH579" s="68">
        <v>0</v>
      </c>
      <c r="AI579" s="68"/>
      <c r="AJ579" s="68">
        <v>0</v>
      </c>
      <c r="AK579" s="68">
        <v>0</v>
      </c>
      <c r="AL579" s="68">
        <v>1</v>
      </c>
      <c r="AM579" s="68"/>
      <c r="AN579" s="68">
        <v>1</v>
      </c>
      <c r="AO579" s="68"/>
      <c r="AP579" s="68">
        <v>1</v>
      </c>
      <c r="AQ579" s="68"/>
      <c r="AR579" s="68">
        <v>0</v>
      </c>
      <c r="AS579" s="68">
        <v>0</v>
      </c>
      <c r="AT579" s="68">
        <v>0</v>
      </c>
      <c r="AU579" s="68"/>
      <c r="AV579" s="68">
        <v>0</v>
      </c>
      <c r="AW579" s="68">
        <v>0</v>
      </c>
      <c r="AX579" s="170">
        <f t="shared" si="78"/>
        <v>12620</v>
      </c>
      <c r="AY579" s="170"/>
      <c r="AZ579" s="64" t="s">
        <v>77</v>
      </c>
      <c r="BA579" s="64" t="s">
        <v>77</v>
      </c>
      <c r="BB579" s="15" t="s">
        <v>77</v>
      </c>
      <c r="BC579" s="74">
        <v>572</v>
      </c>
      <c r="BD579" s="70"/>
      <c r="BE579" s="67"/>
      <c r="BF579" s="71"/>
      <c r="BG579" s="15"/>
      <c r="BH579" s="72" t="s">
        <v>77</v>
      </c>
      <c r="BI579" s="72" t="s">
        <v>77</v>
      </c>
    </row>
    <row r="580" spans="1:61" s="16" customFormat="1" ht="42" customHeight="1" x14ac:dyDescent="0.3">
      <c r="A580" s="26">
        <v>573</v>
      </c>
      <c r="B580" s="77">
        <v>251157</v>
      </c>
      <c r="C580" s="77">
        <v>573</v>
      </c>
      <c r="D580" s="78">
        <v>46182</v>
      </c>
      <c r="E580" s="78">
        <f t="shared" si="74"/>
        <v>46181</v>
      </c>
      <c r="F580" s="78">
        <f t="shared" si="75"/>
        <v>46192</v>
      </c>
      <c r="G580" s="78">
        <v>46274</v>
      </c>
      <c r="H580" s="78">
        <f t="shared" ca="1" si="79"/>
        <v>46277</v>
      </c>
      <c r="I580" s="78" t="s">
        <v>321</v>
      </c>
      <c r="J580" s="79" t="s">
        <v>1268</v>
      </c>
      <c r="K580" s="76">
        <f t="shared" si="76"/>
        <v>82</v>
      </c>
      <c r="L580" s="76">
        <v>1235571</v>
      </c>
      <c r="M580" s="79" t="s">
        <v>210</v>
      </c>
      <c r="N580" s="79">
        <v>832431</v>
      </c>
      <c r="O580" s="79" t="s">
        <v>246</v>
      </c>
      <c r="P580" s="104">
        <v>46223</v>
      </c>
      <c r="Q580" s="104">
        <v>46381</v>
      </c>
      <c r="R580" s="194" t="s">
        <v>211</v>
      </c>
      <c r="S580" s="81" t="s">
        <v>1274</v>
      </c>
      <c r="T580" s="82">
        <v>1</v>
      </c>
      <c r="U580" s="195" t="s">
        <v>81</v>
      </c>
      <c r="V580" s="83">
        <v>114</v>
      </c>
      <c r="W580" s="83">
        <v>114</v>
      </c>
      <c r="X580" s="84">
        <v>0</v>
      </c>
      <c r="Y580" s="83">
        <v>0</v>
      </c>
      <c r="Z580" s="83">
        <v>0</v>
      </c>
      <c r="AA580" s="83">
        <v>0</v>
      </c>
      <c r="AB580" s="83">
        <v>0</v>
      </c>
      <c r="AC580" s="83"/>
      <c r="AD580" s="83">
        <v>0</v>
      </c>
      <c r="AE580" s="83">
        <v>0</v>
      </c>
      <c r="AF580" s="83">
        <v>0</v>
      </c>
      <c r="AG580" s="83">
        <v>0</v>
      </c>
      <c r="AH580" s="83">
        <v>0</v>
      </c>
      <c r="AI580" s="83"/>
      <c r="AJ580" s="83">
        <v>0</v>
      </c>
      <c r="AK580" s="83">
        <v>0</v>
      </c>
      <c r="AL580" s="83">
        <v>0</v>
      </c>
      <c r="AM580" s="83"/>
      <c r="AN580" s="83">
        <v>1</v>
      </c>
      <c r="AO580" s="83">
        <v>1</v>
      </c>
      <c r="AP580" s="83">
        <v>1</v>
      </c>
      <c r="AQ580" s="83">
        <v>1</v>
      </c>
      <c r="AR580" s="83">
        <v>0</v>
      </c>
      <c r="AS580" s="83">
        <v>0</v>
      </c>
      <c r="AT580" s="83">
        <v>0</v>
      </c>
      <c r="AU580" s="83"/>
      <c r="AV580" s="83">
        <v>0</v>
      </c>
      <c r="AW580" s="83">
        <v>0</v>
      </c>
      <c r="AX580" s="83">
        <f t="shared" si="78"/>
        <v>7530</v>
      </c>
      <c r="AY580" s="83">
        <f t="shared" si="78"/>
        <v>7530</v>
      </c>
      <c r="AZ580" s="79" t="s">
        <v>210</v>
      </c>
      <c r="BA580" s="79" t="s">
        <v>77</v>
      </c>
      <c r="BB580" s="80" t="s">
        <v>77</v>
      </c>
      <c r="BC580" s="196">
        <v>573</v>
      </c>
      <c r="BD580" s="85"/>
      <c r="BE580" s="82"/>
      <c r="BF580" s="86"/>
      <c r="BG580" s="237">
        <v>46257</v>
      </c>
      <c r="BH580" s="87" t="s">
        <v>77</v>
      </c>
      <c r="BI580" s="87" t="s">
        <v>77</v>
      </c>
    </row>
    <row r="581" spans="1:61" s="16" customFormat="1" ht="42" customHeight="1" x14ac:dyDescent="0.3">
      <c r="A581" s="26">
        <v>574</v>
      </c>
      <c r="B581" s="62">
        <v>251165</v>
      </c>
      <c r="C581" s="62">
        <v>574</v>
      </c>
      <c r="D581" s="63">
        <v>46182</v>
      </c>
      <c r="E581" s="63">
        <f t="shared" si="74"/>
        <v>46181</v>
      </c>
      <c r="F581" s="63">
        <f t="shared" si="75"/>
        <v>46192</v>
      </c>
      <c r="G581" s="63">
        <v>46274</v>
      </c>
      <c r="H581" s="63">
        <f t="shared" ca="1" si="79"/>
        <v>46277</v>
      </c>
      <c r="I581" s="63" t="s">
        <v>321</v>
      </c>
      <c r="J581" s="64" t="s">
        <v>1269</v>
      </c>
      <c r="K581" s="65">
        <f t="shared" si="76"/>
        <v>82</v>
      </c>
      <c r="L581" s="65">
        <v>1235596</v>
      </c>
      <c r="M581" s="64" t="s">
        <v>77</v>
      </c>
      <c r="N581" s="64">
        <v>843435</v>
      </c>
      <c r="O581" s="64" t="s">
        <v>1335</v>
      </c>
      <c r="P581" s="103" t="s">
        <v>77</v>
      </c>
      <c r="Q581" s="103" t="s">
        <v>77</v>
      </c>
      <c r="R581" s="73" t="s">
        <v>211</v>
      </c>
      <c r="S581" s="66" t="s">
        <v>1275</v>
      </c>
      <c r="T581" s="67">
        <v>2</v>
      </c>
      <c r="U581" s="75" t="s">
        <v>82</v>
      </c>
      <c r="V581" s="68">
        <v>254</v>
      </c>
      <c r="W581" s="68"/>
      <c r="X581" s="69">
        <v>0</v>
      </c>
      <c r="Y581" s="68">
        <v>0</v>
      </c>
      <c r="Z581" s="68">
        <v>0</v>
      </c>
      <c r="AA581" s="68">
        <v>0</v>
      </c>
      <c r="AB581" s="68">
        <v>0</v>
      </c>
      <c r="AC581" s="68"/>
      <c r="AD581" s="68">
        <v>0</v>
      </c>
      <c r="AE581" s="68">
        <v>0</v>
      </c>
      <c r="AF581" s="68">
        <v>0</v>
      </c>
      <c r="AG581" s="68">
        <v>0</v>
      </c>
      <c r="AH581" s="68">
        <v>0</v>
      </c>
      <c r="AI581" s="68"/>
      <c r="AJ581" s="68">
        <v>0</v>
      </c>
      <c r="AK581" s="68">
        <v>0</v>
      </c>
      <c r="AL581" s="68">
        <v>1</v>
      </c>
      <c r="AM581" s="68"/>
      <c r="AN581" s="68">
        <v>1</v>
      </c>
      <c r="AO581" s="68"/>
      <c r="AP581" s="68">
        <v>1</v>
      </c>
      <c r="AQ581" s="68"/>
      <c r="AR581" s="68">
        <v>0</v>
      </c>
      <c r="AS581" s="68">
        <v>0</v>
      </c>
      <c r="AT581" s="68">
        <v>0</v>
      </c>
      <c r="AU581" s="68"/>
      <c r="AV581" s="68">
        <v>0</v>
      </c>
      <c r="AW581" s="68">
        <v>0</v>
      </c>
      <c r="AX581" s="170">
        <f t="shared" si="78"/>
        <v>16520</v>
      </c>
      <c r="AY581" s="170"/>
      <c r="AZ581" s="64" t="s">
        <v>77</v>
      </c>
      <c r="BA581" s="64" t="s">
        <v>77</v>
      </c>
      <c r="BB581" s="15" t="s">
        <v>77</v>
      </c>
      <c r="BC581" s="74">
        <v>574</v>
      </c>
      <c r="BD581" s="70"/>
      <c r="BE581" s="67"/>
      <c r="BF581" s="71"/>
      <c r="BG581" s="15"/>
      <c r="BH581" s="72" t="s">
        <v>77</v>
      </c>
      <c r="BI581" s="72" t="s">
        <v>77</v>
      </c>
    </row>
    <row r="582" spans="1:61" s="16" customFormat="1" ht="42" customHeight="1" x14ac:dyDescent="0.3">
      <c r="A582" s="26">
        <v>575</v>
      </c>
      <c r="B582" s="62">
        <v>251174</v>
      </c>
      <c r="C582" s="62">
        <v>575</v>
      </c>
      <c r="D582" s="63">
        <v>46182</v>
      </c>
      <c r="E582" s="63">
        <f t="shared" si="74"/>
        <v>46181</v>
      </c>
      <c r="F582" s="63">
        <f t="shared" si="75"/>
        <v>46192</v>
      </c>
      <c r="G582" s="63">
        <v>46274</v>
      </c>
      <c r="H582" s="63">
        <f t="shared" ca="1" si="79"/>
        <v>46277</v>
      </c>
      <c r="I582" s="63" t="s">
        <v>321</v>
      </c>
      <c r="J582" s="64" t="s">
        <v>1270</v>
      </c>
      <c r="K582" s="65">
        <f t="shared" si="76"/>
        <v>82</v>
      </c>
      <c r="L582" s="65">
        <v>1235608</v>
      </c>
      <c r="M582" s="64" t="s">
        <v>77</v>
      </c>
      <c r="N582" s="64">
        <v>832431</v>
      </c>
      <c r="O582" s="79" t="s">
        <v>246</v>
      </c>
      <c r="P582" s="103">
        <v>46223</v>
      </c>
      <c r="Q582" s="103">
        <v>46381</v>
      </c>
      <c r="R582" s="73" t="s">
        <v>211</v>
      </c>
      <c r="S582" s="66" t="s">
        <v>1276</v>
      </c>
      <c r="T582" s="67">
        <v>1</v>
      </c>
      <c r="U582" s="75" t="s">
        <v>81</v>
      </c>
      <c r="V582" s="68">
        <v>51</v>
      </c>
      <c r="W582" s="68"/>
      <c r="X582" s="69">
        <v>0</v>
      </c>
      <c r="Y582" s="68">
        <v>0</v>
      </c>
      <c r="Z582" s="68">
        <v>0</v>
      </c>
      <c r="AA582" s="68">
        <v>0</v>
      </c>
      <c r="AB582" s="68">
        <v>0</v>
      </c>
      <c r="AC582" s="68"/>
      <c r="AD582" s="68">
        <v>0</v>
      </c>
      <c r="AE582" s="68">
        <v>0</v>
      </c>
      <c r="AF582" s="68">
        <v>0</v>
      </c>
      <c r="AG582" s="68">
        <v>0</v>
      </c>
      <c r="AH582" s="68">
        <v>0</v>
      </c>
      <c r="AI582" s="68"/>
      <c r="AJ582" s="68">
        <v>0</v>
      </c>
      <c r="AK582" s="68">
        <v>0</v>
      </c>
      <c r="AL582" s="68">
        <v>1</v>
      </c>
      <c r="AM582" s="68"/>
      <c r="AN582" s="68">
        <v>1</v>
      </c>
      <c r="AO582" s="68"/>
      <c r="AP582" s="68">
        <v>1</v>
      </c>
      <c r="AQ582" s="68"/>
      <c r="AR582" s="68">
        <v>0</v>
      </c>
      <c r="AS582" s="68">
        <v>0</v>
      </c>
      <c r="AT582" s="68">
        <v>0</v>
      </c>
      <c r="AU582" s="68"/>
      <c r="AV582" s="68">
        <v>0</v>
      </c>
      <c r="AW582" s="68">
        <v>0</v>
      </c>
      <c r="AX582" s="170">
        <f t="shared" si="78"/>
        <v>4340</v>
      </c>
      <c r="AY582" s="170"/>
      <c r="AZ582" s="64" t="s">
        <v>77</v>
      </c>
      <c r="BA582" s="64" t="s">
        <v>77</v>
      </c>
      <c r="BB582" s="15" t="s">
        <v>77</v>
      </c>
      <c r="BC582" s="74">
        <v>575</v>
      </c>
      <c r="BD582" s="70"/>
      <c r="BE582" s="67"/>
      <c r="BF582" s="71"/>
      <c r="BG582" s="15"/>
      <c r="BH582" s="72" t="s">
        <v>77</v>
      </c>
      <c r="BI582" s="72" t="s">
        <v>77</v>
      </c>
    </row>
    <row r="583" spans="1:61" s="16" customFormat="1" ht="42" customHeight="1" x14ac:dyDescent="0.3">
      <c r="A583" s="26">
        <v>576</v>
      </c>
      <c r="B583" s="62">
        <v>251188</v>
      </c>
      <c r="C583" s="62">
        <v>576</v>
      </c>
      <c r="D583" s="63">
        <v>46182</v>
      </c>
      <c r="E583" s="63">
        <f t="shared" si="74"/>
        <v>46181</v>
      </c>
      <c r="F583" s="63">
        <f t="shared" si="75"/>
        <v>46192</v>
      </c>
      <c r="G583" s="63">
        <v>46274</v>
      </c>
      <c r="H583" s="63">
        <f t="shared" ca="1" si="79"/>
        <v>46277</v>
      </c>
      <c r="I583" s="63" t="s">
        <v>321</v>
      </c>
      <c r="J583" s="64" t="s">
        <v>1271</v>
      </c>
      <c r="K583" s="65">
        <f t="shared" si="76"/>
        <v>82</v>
      </c>
      <c r="L583" s="65">
        <v>1235622</v>
      </c>
      <c r="M583" s="64" t="s">
        <v>77</v>
      </c>
      <c r="N583" s="64">
        <v>832431</v>
      </c>
      <c r="O583" s="79" t="s">
        <v>246</v>
      </c>
      <c r="P583" s="103">
        <v>46223</v>
      </c>
      <c r="Q583" s="103">
        <v>46381</v>
      </c>
      <c r="R583" s="73" t="s">
        <v>211</v>
      </c>
      <c r="S583" s="66" t="s">
        <v>551</v>
      </c>
      <c r="T583" s="67">
        <v>1</v>
      </c>
      <c r="U583" s="75" t="s">
        <v>81</v>
      </c>
      <c r="V583" s="68">
        <v>142</v>
      </c>
      <c r="W583" s="68"/>
      <c r="X583" s="69">
        <v>0</v>
      </c>
      <c r="Y583" s="68">
        <v>0</v>
      </c>
      <c r="Z583" s="68">
        <v>0</v>
      </c>
      <c r="AA583" s="68">
        <v>0</v>
      </c>
      <c r="AB583" s="68">
        <v>0</v>
      </c>
      <c r="AC583" s="68"/>
      <c r="AD583" s="68">
        <v>0</v>
      </c>
      <c r="AE583" s="68">
        <v>0</v>
      </c>
      <c r="AF583" s="68">
        <v>0</v>
      </c>
      <c r="AG583" s="68">
        <v>0</v>
      </c>
      <c r="AH583" s="68">
        <v>0</v>
      </c>
      <c r="AI583" s="68"/>
      <c r="AJ583" s="68">
        <v>0</v>
      </c>
      <c r="AK583" s="68">
        <v>0</v>
      </c>
      <c r="AL583" s="68">
        <v>1</v>
      </c>
      <c r="AM583" s="68"/>
      <c r="AN583" s="68">
        <v>1</v>
      </c>
      <c r="AO583" s="68"/>
      <c r="AP583" s="68">
        <v>1</v>
      </c>
      <c r="AQ583" s="68"/>
      <c r="AR583" s="68">
        <v>0</v>
      </c>
      <c r="AS583" s="68">
        <v>0</v>
      </c>
      <c r="AT583" s="68">
        <v>0</v>
      </c>
      <c r="AU583" s="68"/>
      <c r="AV583" s="68">
        <v>0</v>
      </c>
      <c r="AW583" s="68">
        <v>0</v>
      </c>
      <c r="AX583" s="170">
        <f t="shared" si="78"/>
        <v>9800</v>
      </c>
      <c r="AY583" s="170"/>
      <c r="AZ583" s="64" t="s">
        <v>77</v>
      </c>
      <c r="BA583" s="64" t="s">
        <v>77</v>
      </c>
      <c r="BB583" s="15" t="s">
        <v>77</v>
      </c>
      <c r="BC583" s="74">
        <v>576</v>
      </c>
      <c r="BD583" s="70"/>
      <c r="BE583" s="67"/>
      <c r="BF583" s="71"/>
      <c r="BG583" s="15"/>
      <c r="BH583" s="72" t="s">
        <v>77</v>
      </c>
      <c r="BI583" s="72" t="s">
        <v>77</v>
      </c>
    </row>
    <row r="584" spans="1:61" s="16" customFormat="1" ht="42" customHeight="1" x14ac:dyDescent="0.3">
      <c r="A584" s="26">
        <v>577</v>
      </c>
      <c r="B584" s="163">
        <v>251191</v>
      </c>
      <c r="C584" s="163">
        <v>577</v>
      </c>
      <c r="D584" s="164">
        <v>46226</v>
      </c>
      <c r="E584" s="164">
        <f t="shared" si="74"/>
        <v>46225</v>
      </c>
      <c r="F584" s="164">
        <f t="shared" si="75"/>
        <v>46236</v>
      </c>
      <c r="G584" s="164">
        <v>46288</v>
      </c>
      <c r="H584" s="164">
        <v>46251</v>
      </c>
      <c r="I584" s="164" t="s">
        <v>123</v>
      </c>
      <c r="J584" s="165" t="s">
        <v>1494</v>
      </c>
      <c r="K584" s="166">
        <f t="shared" si="76"/>
        <v>52</v>
      </c>
      <c r="L584" s="166">
        <v>1235632</v>
      </c>
      <c r="M584" s="165" t="s">
        <v>15</v>
      </c>
      <c r="N584" s="165">
        <v>837356</v>
      </c>
      <c r="O584" s="165" t="s">
        <v>246</v>
      </c>
      <c r="P584" s="167">
        <v>46238</v>
      </c>
      <c r="Q584" s="167">
        <v>46415</v>
      </c>
      <c r="R584" s="179" t="s">
        <v>211</v>
      </c>
      <c r="S584" s="168" t="s">
        <v>396</v>
      </c>
      <c r="T584" s="169">
        <v>1</v>
      </c>
      <c r="U584" s="180" t="s">
        <v>128</v>
      </c>
      <c r="V584" s="170">
        <v>30</v>
      </c>
      <c r="W584" s="170">
        <v>30</v>
      </c>
      <c r="X584" s="171">
        <v>0</v>
      </c>
      <c r="Y584" s="170">
        <v>0</v>
      </c>
      <c r="Z584" s="170">
        <v>0</v>
      </c>
      <c r="AA584" s="170">
        <v>0</v>
      </c>
      <c r="AB584" s="170">
        <v>0</v>
      </c>
      <c r="AC584" s="170"/>
      <c r="AD584" s="170">
        <v>0</v>
      </c>
      <c r="AE584" s="170">
        <v>0</v>
      </c>
      <c r="AF584" s="170">
        <v>0</v>
      </c>
      <c r="AG584" s="170">
        <v>0</v>
      </c>
      <c r="AH584" s="170">
        <v>1</v>
      </c>
      <c r="AI584" s="170">
        <v>1</v>
      </c>
      <c r="AJ584" s="170">
        <v>0</v>
      </c>
      <c r="AK584" s="170">
        <v>0</v>
      </c>
      <c r="AL584" s="170">
        <v>0</v>
      </c>
      <c r="AM584" s="170">
        <v>0</v>
      </c>
      <c r="AN584" s="170">
        <v>1</v>
      </c>
      <c r="AO584" s="170">
        <v>1</v>
      </c>
      <c r="AP584" s="170">
        <v>2</v>
      </c>
      <c r="AQ584" s="170">
        <v>2</v>
      </c>
      <c r="AR584" s="170">
        <v>0</v>
      </c>
      <c r="AS584" s="170">
        <v>0</v>
      </c>
      <c r="AT584" s="170">
        <v>1</v>
      </c>
      <c r="AU584" s="170">
        <v>1</v>
      </c>
      <c r="AV584" s="170">
        <v>0</v>
      </c>
      <c r="AW584" s="170">
        <v>0</v>
      </c>
      <c r="AX584" s="170">
        <f t="shared" si="78"/>
        <v>3640</v>
      </c>
      <c r="AY584" s="170">
        <f>(W584*60)+(Y584*80)+(AA584*38)+(AC584*57)+(AE584*75)+(AG584*155)+(AI584*170)+(AK584*375)+(AM584*590)+(AO584*60)+(AQ584*630)+(AS584*400)+(AU584*350)+(AW584*950)</f>
        <v>3640</v>
      </c>
      <c r="AZ584" s="165" t="s">
        <v>15</v>
      </c>
      <c r="BA584" s="165" t="s">
        <v>77</v>
      </c>
      <c r="BB584" s="162" t="s">
        <v>77</v>
      </c>
      <c r="BC584" s="181">
        <v>577</v>
      </c>
      <c r="BD584" s="173"/>
      <c r="BE584" s="169"/>
      <c r="BF584" s="174"/>
      <c r="BG584" s="178">
        <v>46251</v>
      </c>
      <c r="BH584" s="175" t="s">
        <v>15</v>
      </c>
      <c r="BI584" s="175" t="s">
        <v>77</v>
      </c>
    </row>
    <row r="585" spans="1:61" s="16" customFormat="1" ht="42" customHeight="1" x14ac:dyDescent="0.3">
      <c r="A585" s="26">
        <v>578</v>
      </c>
      <c r="B585" s="62">
        <v>251234</v>
      </c>
      <c r="C585" s="62">
        <v>578</v>
      </c>
      <c r="D585" s="63">
        <v>46183</v>
      </c>
      <c r="E585" s="63">
        <f t="shared" si="74"/>
        <v>46182</v>
      </c>
      <c r="F585" s="63">
        <f t="shared" si="75"/>
        <v>46193</v>
      </c>
      <c r="G585" s="63">
        <v>46275</v>
      </c>
      <c r="H585" s="63">
        <f t="shared" ref="H585:H590" ca="1" si="80">TODAY()</f>
        <v>46277</v>
      </c>
      <c r="I585" s="63" t="s">
        <v>321</v>
      </c>
      <c r="J585" s="64" t="s">
        <v>1277</v>
      </c>
      <c r="K585" s="65">
        <f t="shared" si="76"/>
        <v>82</v>
      </c>
      <c r="L585" s="65">
        <v>1235985</v>
      </c>
      <c r="M585" s="64" t="s">
        <v>77</v>
      </c>
      <c r="N585" s="64" t="s">
        <v>77</v>
      </c>
      <c r="O585" s="64" t="s">
        <v>77</v>
      </c>
      <c r="P585" s="103" t="s">
        <v>77</v>
      </c>
      <c r="Q585" s="103" t="s">
        <v>77</v>
      </c>
      <c r="R585" s="73" t="s">
        <v>211</v>
      </c>
      <c r="S585" s="66" t="s">
        <v>1282</v>
      </c>
      <c r="T585" s="67">
        <v>1</v>
      </c>
      <c r="U585" s="75" t="s">
        <v>684</v>
      </c>
      <c r="V585" s="68">
        <v>290</v>
      </c>
      <c r="W585" s="68"/>
      <c r="X585" s="69">
        <v>0</v>
      </c>
      <c r="Y585" s="68">
        <v>0</v>
      </c>
      <c r="Z585" s="68">
        <v>0</v>
      </c>
      <c r="AA585" s="68">
        <v>0</v>
      </c>
      <c r="AB585" s="68">
        <v>0</v>
      </c>
      <c r="AC585" s="68"/>
      <c r="AD585" s="68">
        <v>0</v>
      </c>
      <c r="AE585" s="68">
        <v>0</v>
      </c>
      <c r="AF585" s="68">
        <v>0</v>
      </c>
      <c r="AG585" s="68">
        <v>0</v>
      </c>
      <c r="AH585" s="68">
        <v>0</v>
      </c>
      <c r="AI585" s="68"/>
      <c r="AJ585" s="68">
        <v>0</v>
      </c>
      <c r="AK585" s="68">
        <v>0</v>
      </c>
      <c r="AL585" s="68">
        <v>1</v>
      </c>
      <c r="AM585" s="68"/>
      <c r="AN585" s="68">
        <v>1</v>
      </c>
      <c r="AO585" s="68"/>
      <c r="AP585" s="68">
        <v>1</v>
      </c>
      <c r="AQ585" s="68"/>
      <c r="AR585" s="68">
        <v>0</v>
      </c>
      <c r="AS585" s="68">
        <v>0</v>
      </c>
      <c r="AT585" s="68">
        <v>0</v>
      </c>
      <c r="AU585" s="68"/>
      <c r="AV585" s="68">
        <v>0</v>
      </c>
      <c r="AW585" s="68">
        <v>0</v>
      </c>
      <c r="AX585" s="170">
        <f t="shared" si="78"/>
        <v>18680</v>
      </c>
      <c r="AY585" s="170"/>
      <c r="AZ585" s="64" t="s">
        <v>77</v>
      </c>
      <c r="BA585" s="64" t="s">
        <v>77</v>
      </c>
      <c r="BB585" s="15" t="s">
        <v>77</v>
      </c>
      <c r="BC585" s="74">
        <v>578</v>
      </c>
      <c r="BD585" s="70"/>
      <c r="BE585" s="67"/>
      <c r="BF585" s="71"/>
      <c r="BG585" s="15"/>
      <c r="BH585" s="72" t="s">
        <v>77</v>
      </c>
      <c r="BI585" s="72" t="s">
        <v>77</v>
      </c>
    </row>
    <row r="586" spans="1:61" s="16" customFormat="1" ht="42" customHeight="1" x14ac:dyDescent="0.3">
      <c r="A586" s="26">
        <v>579</v>
      </c>
      <c r="B586" s="62">
        <v>251241</v>
      </c>
      <c r="C586" s="62">
        <v>579</v>
      </c>
      <c r="D586" s="63">
        <v>46183</v>
      </c>
      <c r="E586" s="63">
        <f t="shared" si="74"/>
        <v>46182</v>
      </c>
      <c r="F586" s="63">
        <f t="shared" si="75"/>
        <v>46193</v>
      </c>
      <c r="G586" s="63">
        <v>46275</v>
      </c>
      <c r="H586" s="63">
        <f t="shared" ca="1" si="80"/>
        <v>46277</v>
      </c>
      <c r="I586" s="63" t="s">
        <v>321</v>
      </c>
      <c r="J586" s="64" t="s">
        <v>1278</v>
      </c>
      <c r="K586" s="65">
        <f t="shared" si="76"/>
        <v>82</v>
      </c>
      <c r="L586" s="65">
        <v>1236019</v>
      </c>
      <c r="M586" s="64" t="s">
        <v>77</v>
      </c>
      <c r="N586" s="64">
        <v>843435</v>
      </c>
      <c r="O586" s="64" t="s">
        <v>1335</v>
      </c>
      <c r="P586" s="103" t="s">
        <v>77</v>
      </c>
      <c r="Q586" s="103" t="s">
        <v>77</v>
      </c>
      <c r="R586" s="73" t="s">
        <v>211</v>
      </c>
      <c r="S586" s="66" t="s">
        <v>1283</v>
      </c>
      <c r="T586" s="67">
        <v>1</v>
      </c>
      <c r="U586" s="75" t="s">
        <v>82</v>
      </c>
      <c r="V586" s="68">
        <v>154</v>
      </c>
      <c r="W586" s="68"/>
      <c r="X586" s="69">
        <v>0</v>
      </c>
      <c r="Y586" s="68">
        <v>0</v>
      </c>
      <c r="Z586" s="68">
        <v>0</v>
      </c>
      <c r="AA586" s="68">
        <v>0</v>
      </c>
      <c r="AB586" s="68">
        <v>0</v>
      </c>
      <c r="AC586" s="68"/>
      <c r="AD586" s="68">
        <v>0</v>
      </c>
      <c r="AE586" s="68">
        <v>0</v>
      </c>
      <c r="AF586" s="68">
        <v>0</v>
      </c>
      <c r="AG586" s="68">
        <v>0</v>
      </c>
      <c r="AH586" s="68">
        <v>0</v>
      </c>
      <c r="AI586" s="68"/>
      <c r="AJ586" s="68">
        <v>0</v>
      </c>
      <c r="AK586" s="68">
        <v>0</v>
      </c>
      <c r="AL586" s="68">
        <v>1</v>
      </c>
      <c r="AM586" s="68"/>
      <c r="AN586" s="68">
        <v>1</v>
      </c>
      <c r="AO586" s="68"/>
      <c r="AP586" s="68">
        <v>1</v>
      </c>
      <c r="AQ586" s="68"/>
      <c r="AR586" s="68">
        <v>0</v>
      </c>
      <c r="AS586" s="68">
        <v>0</v>
      </c>
      <c r="AT586" s="68">
        <v>0</v>
      </c>
      <c r="AU586" s="68"/>
      <c r="AV586" s="68">
        <v>0</v>
      </c>
      <c r="AW586" s="68">
        <v>0</v>
      </c>
      <c r="AX586" s="170">
        <f t="shared" si="78"/>
        <v>10520</v>
      </c>
      <c r="AY586" s="170"/>
      <c r="AZ586" s="64" t="s">
        <v>77</v>
      </c>
      <c r="BA586" s="64" t="s">
        <v>77</v>
      </c>
      <c r="BB586" s="15" t="s">
        <v>77</v>
      </c>
      <c r="BC586" s="74">
        <v>579</v>
      </c>
      <c r="BD586" s="70"/>
      <c r="BE586" s="67"/>
      <c r="BF586" s="71"/>
      <c r="BG586" s="15"/>
      <c r="BH586" s="72" t="s">
        <v>77</v>
      </c>
      <c r="BI586" s="72" t="s">
        <v>77</v>
      </c>
    </row>
    <row r="587" spans="1:61" s="16" customFormat="1" ht="42" customHeight="1" x14ac:dyDescent="0.3">
      <c r="A587" s="26">
        <v>580</v>
      </c>
      <c r="B587" s="62">
        <v>251250</v>
      </c>
      <c r="C587" s="62">
        <v>580</v>
      </c>
      <c r="D587" s="63">
        <v>46183</v>
      </c>
      <c r="E587" s="63">
        <f t="shared" si="74"/>
        <v>46182</v>
      </c>
      <c r="F587" s="63">
        <f t="shared" si="75"/>
        <v>46193</v>
      </c>
      <c r="G587" s="63">
        <v>46275</v>
      </c>
      <c r="H587" s="63">
        <f t="shared" ca="1" si="80"/>
        <v>46277</v>
      </c>
      <c r="I587" s="63" t="s">
        <v>321</v>
      </c>
      <c r="J587" s="64" t="s">
        <v>1279</v>
      </c>
      <c r="K587" s="65">
        <f t="shared" si="76"/>
        <v>82</v>
      </c>
      <c r="L587" s="65">
        <v>1236025</v>
      </c>
      <c r="M587" s="64" t="s">
        <v>77</v>
      </c>
      <c r="N587" s="64" t="s">
        <v>77</v>
      </c>
      <c r="O587" s="64" t="s">
        <v>77</v>
      </c>
      <c r="P587" s="103" t="s">
        <v>77</v>
      </c>
      <c r="Q587" s="103" t="s">
        <v>77</v>
      </c>
      <c r="R587" s="73" t="s">
        <v>211</v>
      </c>
      <c r="S587" s="66" t="s">
        <v>1284</v>
      </c>
      <c r="T587" s="67">
        <v>1</v>
      </c>
      <c r="U587" s="75" t="s">
        <v>369</v>
      </c>
      <c r="V587" s="68">
        <v>191</v>
      </c>
      <c r="W587" s="68"/>
      <c r="X587" s="69">
        <v>0</v>
      </c>
      <c r="Y587" s="68">
        <v>0</v>
      </c>
      <c r="Z587" s="68">
        <v>0</v>
      </c>
      <c r="AA587" s="68">
        <v>0</v>
      </c>
      <c r="AB587" s="68">
        <v>0</v>
      </c>
      <c r="AC587" s="68"/>
      <c r="AD587" s="68">
        <v>0</v>
      </c>
      <c r="AE587" s="68">
        <v>0</v>
      </c>
      <c r="AF587" s="68">
        <v>0</v>
      </c>
      <c r="AG587" s="68">
        <v>0</v>
      </c>
      <c r="AH587" s="68">
        <v>0</v>
      </c>
      <c r="AI587" s="68"/>
      <c r="AJ587" s="68">
        <v>0</v>
      </c>
      <c r="AK587" s="68">
        <v>0</v>
      </c>
      <c r="AL587" s="68">
        <v>1</v>
      </c>
      <c r="AM587" s="68"/>
      <c r="AN587" s="68">
        <v>1</v>
      </c>
      <c r="AO587" s="68"/>
      <c r="AP587" s="68">
        <v>1</v>
      </c>
      <c r="AQ587" s="68"/>
      <c r="AR587" s="68">
        <v>0</v>
      </c>
      <c r="AS587" s="68">
        <v>0</v>
      </c>
      <c r="AT587" s="68">
        <v>0</v>
      </c>
      <c r="AU587" s="68"/>
      <c r="AV587" s="68">
        <v>0</v>
      </c>
      <c r="AW587" s="68">
        <v>0</v>
      </c>
      <c r="AX587" s="170">
        <f t="shared" si="78"/>
        <v>12740</v>
      </c>
      <c r="AY587" s="170"/>
      <c r="AZ587" s="64" t="s">
        <v>77</v>
      </c>
      <c r="BA587" s="64" t="s">
        <v>77</v>
      </c>
      <c r="BB587" s="15" t="s">
        <v>77</v>
      </c>
      <c r="BC587" s="74">
        <v>580</v>
      </c>
      <c r="BD587" s="70"/>
      <c r="BE587" s="67"/>
      <c r="BF587" s="71"/>
      <c r="BG587" s="15"/>
      <c r="BH587" s="72" t="s">
        <v>77</v>
      </c>
      <c r="BI587" s="72" t="s">
        <v>77</v>
      </c>
    </row>
    <row r="588" spans="1:61" s="16" customFormat="1" ht="42" customHeight="1" x14ac:dyDescent="0.3">
      <c r="A588" s="26">
        <v>581</v>
      </c>
      <c r="B588" s="62">
        <v>251251</v>
      </c>
      <c r="C588" s="62">
        <v>581</v>
      </c>
      <c r="D588" s="63">
        <v>46183</v>
      </c>
      <c r="E588" s="63">
        <f t="shared" si="74"/>
        <v>46182</v>
      </c>
      <c r="F588" s="63">
        <f t="shared" si="75"/>
        <v>46193</v>
      </c>
      <c r="G588" s="63">
        <v>46275</v>
      </c>
      <c r="H588" s="63">
        <f t="shared" ca="1" si="80"/>
        <v>46277</v>
      </c>
      <c r="I588" s="63" t="s">
        <v>321</v>
      </c>
      <c r="J588" s="64" t="s">
        <v>1280</v>
      </c>
      <c r="K588" s="65">
        <f t="shared" si="76"/>
        <v>82</v>
      </c>
      <c r="L588" s="65">
        <v>1236026</v>
      </c>
      <c r="M588" s="64" t="s">
        <v>77</v>
      </c>
      <c r="N588" s="64">
        <v>843432</v>
      </c>
      <c r="O588" s="64" t="s">
        <v>1335</v>
      </c>
      <c r="P588" s="103" t="s">
        <v>77</v>
      </c>
      <c r="Q588" s="103" t="s">
        <v>77</v>
      </c>
      <c r="R588" s="73" t="s">
        <v>211</v>
      </c>
      <c r="S588" s="66" t="s">
        <v>1285</v>
      </c>
      <c r="T588" s="67">
        <v>1</v>
      </c>
      <c r="U588" s="75" t="s">
        <v>82</v>
      </c>
      <c r="V588" s="68">
        <v>5</v>
      </c>
      <c r="W588" s="68"/>
      <c r="X588" s="69">
        <v>0</v>
      </c>
      <c r="Y588" s="68">
        <v>0</v>
      </c>
      <c r="Z588" s="68">
        <v>0</v>
      </c>
      <c r="AA588" s="68">
        <v>0</v>
      </c>
      <c r="AB588" s="68">
        <v>0</v>
      </c>
      <c r="AC588" s="68"/>
      <c r="AD588" s="68">
        <v>0</v>
      </c>
      <c r="AE588" s="68">
        <v>0</v>
      </c>
      <c r="AF588" s="68">
        <v>0</v>
      </c>
      <c r="AG588" s="68">
        <v>0</v>
      </c>
      <c r="AH588" s="68">
        <v>0</v>
      </c>
      <c r="AI588" s="68"/>
      <c r="AJ588" s="68">
        <v>0</v>
      </c>
      <c r="AK588" s="68">
        <v>0</v>
      </c>
      <c r="AL588" s="68">
        <v>1</v>
      </c>
      <c r="AM588" s="68"/>
      <c r="AN588" s="68">
        <v>1</v>
      </c>
      <c r="AO588" s="68"/>
      <c r="AP588" s="68">
        <v>1</v>
      </c>
      <c r="AQ588" s="68"/>
      <c r="AR588" s="68">
        <v>0</v>
      </c>
      <c r="AS588" s="68">
        <v>0</v>
      </c>
      <c r="AT588" s="68">
        <v>0</v>
      </c>
      <c r="AU588" s="68"/>
      <c r="AV588" s="68">
        <v>0</v>
      </c>
      <c r="AW588" s="68">
        <v>0</v>
      </c>
      <c r="AX588" s="170">
        <f t="shared" si="78"/>
        <v>1580</v>
      </c>
      <c r="AY588" s="170"/>
      <c r="AZ588" s="64" t="s">
        <v>77</v>
      </c>
      <c r="BA588" s="64" t="s">
        <v>77</v>
      </c>
      <c r="BB588" s="15" t="s">
        <v>77</v>
      </c>
      <c r="BC588" s="74">
        <v>581</v>
      </c>
      <c r="BD588" s="70"/>
      <c r="BE588" s="67"/>
      <c r="BF588" s="71"/>
      <c r="BG588" s="15"/>
      <c r="BH588" s="72" t="s">
        <v>77</v>
      </c>
      <c r="BI588" s="72" t="s">
        <v>77</v>
      </c>
    </row>
    <row r="589" spans="1:61" s="16" customFormat="1" ht="42" customHeight="1" x14ac:dyDescent="0.3">
      <c r="A589" s="26">
        <v>582</v>
      </c>
      <c r="B589" s="62">
        <v>251253</v>
      </c>
      <c r="C589" s="62">
        <v>582</v>
      </c>
      <c r="D589" s="63">
        <v>46183</v>
      </c>
      <c r="E589" s="63">
        <f t="shared" si="74"/>
        <v>46182</v>
      </c>
      <c r="F589" s="63">
        <f t="shared" si="75"/>
        <v>46193</v>
      </c>
      <c r="G589" s="63">
        <v>46275</v>
      </c>
      <c r="H589" s="63">
        <f t="shared" ca="1" si="80"/>
        <v>46277</v>
      </c>
      <c r="I589" s="63" t="s">
        <v>321</v>
      </c>
      <c r="J589" s="64" t="s">
        <v>1281</v>
      </c>
      <c r="K589" s="65">
        <f t="shared" si="76"/>
        <v>82</v>
      </c>
      <c r="L589" s="65">
        <v>1236031</v>
      </c>
      <c r="M589" s="64" t="s">
        <v>77</v>
      </c>
      <c r="N589" s="64">
        <v>837399</v>
      </c>
      <c r="O589" s="79" t="s">
        <v>246</v>
      </c>
      <c r="P589" s="103">
        <v>46257</v>
      </c>
      <c r="Q589" s="103">
        <v>46433</v>
      </c>
      <c r="R589" s="73" t="s">
        <v>211</v>
      </c>
      <c r="S589" s="66" t="s">
        <v>846</v>
      </c>
      <c r="T589" s="67">
        <v>1</v>
      </c>
      <c r="U589" s="75" t="s">
        <v>840</v>
      </c>
      <c r="V589" s="68">
        <v>311</v>
      </c>
      <c r="W589" s="68"/>
      <c r="X589" s="69">
        <v>0</v>
      </c>
      <c r="Y589" s="68">
        <v>0</v>
      </c>
      <c r="Z589" s="68">
        <v>0</v>
      </c>
      <c r="AA589" s="68">
        <v>0</v>
      </c>
      <c r="AB589" s="68">
        <v>0</v>
      </c>
      <c r="AC589" s="68"/>
      <c r="AD589" s="68">
        <v>0</v>
      </c>
      <c r="AE589" s="68">
        <v>0</v>
      </c>
      <c r="AF589" s="68">
        <v>0</v>
      </c>
      <c r="AG589" s="68">
        <v>0</v>
      </c>
      <c r="AH589" s="68">
        <v>0</v>
      </c>
      <c r="AI589" s="68"/>
      <c r="AJ589" s="68">
        <v>0</v>
      </c>
      <c r="AK589" s="68">
        <v>0</v>
      </c>
      <c r="AL589" s="68">
        <v>1</v>
      </c>
      <c r="AM589" s="68"/>
      <c r="AN589" s="68">
        <v>1</v>
      </c>
      <c r="AO589" s="68"/>
      <c r="AP589" s="68">
        <v>1</v>
      </c>
      <c r="AQ589" s="68"/>
      <c r="AR589" s="68">
        <v>0</v>
      </c>
      <c r="AS589" s="68">
        <v>0</v>
      </c>
      <c r="AT589" s="68">
        <v>0</v>
      </c>
      <c r="AU589" s="68"/>
      <c r="AV589" s="68">
        <v>0</v>
      </c>
      <c r="AW589" s="68">
        <v>0</v>
      </c>
      <c r="AX589" s="170">
        <f t="shared" si="78"/>
        <v>19940</v>
      </c>
      <c r="AY589" s="170"/>
      <c r="AZ589" s="64" t="s">
        <v>77</v>
      </c>
      <c r="BA589" s="64" t="s">
        <v>77</v>
      </c>
      <c r="BB589" s="15" t="s">
        <v>77</v>
      </c>
      <c r="BC589" s="74">
        <v>582</v>
      </c>
      <c r="BD589" s="70"/>
      <c r="BE589" s="67"/>
      <c r="BF589" s="71"/>
      <c r="BG589" s="15"/>
      <c r="BH589" s="72" t="s">
        <v>77</v>
      </c>
      <c r="BI589" s="72" t="s">
        <v>77</v>
      </c>
    </row>
    <row r="590" spans="1:61" s="16" customFormat="1" ht="42" customHeight="1" x14ac:dyDescent="0.3">
      <c r="A590" s="26">
        <v>583</v>
      </c>
      <c r="B590" s="62">
        <v>251254</v>
      </c>
      <c r="C590" s="62">
        <v>583</v>
      </c>
      <c r="D590" s="63">
        <v>46273</v>
      </c>
      <c r="E590" s="63">
        <f t="shared" si="74"/>
        <v>46272</v>
      </c>
      <c r="F590" s="63">
        <f t="shared" si="75"/>
        <v>46283</v>
      </c>
      <c r="G590" s="63">
        <v>46334</v>
      </c>
      <c r="H590" s="63">
        <f t="shared" ca="1" si="80"/>
        <v>46277</v>
      </c>
      <c r="I590" s="63" t="s">
        <v>123</v>
      </c>
      <c r="J590" s="64" t="s">
        <v>1570</v>
      </c>
      <c r="K590" s="65">
        <f t="shared" si="76"/>
        <v>51</v>
      </c>
      <c r="L590" s="65">
        <v>1236032</v>
      </c>
      <c r="M590" s="64" t="s">
        <v>77</v>
      </c>
      <c r="N590" s="64">
        <v>838762</v>
      </c>
      <c r="O590" s="79" t="s">
        <v>246</v>
      </c>
      <c r="P590" s="103">
        <v>46273</v>
      </c>
      <c r="Q590" s="103">
        <v>46445</v>
      </c>
      <c r="R590" s="73" t="s">
        <v>211</v>
      </c>
      <c r="S590" s="66" t="s">
        <v>1286</v>
      </c>
      <c r="T590" s="67">
        <v>1</v>
      </c>
      <c r="U590" s="75" t="s">
        <v>82</v>
      </c>
      <c r="V590" s="68">
        <v>54</v>
      </c>
      <c r="W590" s="68"/>
      <c r="X590" s="69">
        <v>0</v>
      </c>
      <c r="Y590" s="68">
        <v>0</v>
      </c>
      <c r="Z590" s="68">
        <v>0</v>
      </c>
      <c r="AA590" s="68">
        <v>0</v>
      </c>
      <c r="AB590" s="68">
        <v>0</v>
      </c>
      <c r="AC590" s="68"/>
      <c r="AD590" s="68">
        <v>0</v>
      </c>
      <c r="AE590" s="68">
        <v>0</v>
      </c>
      <c r="AF590" s="68">
        <v>0</v>
      </c>
      <c r="AG590" s="68">
        <v>0</v>
      </c>
      <c r="AH590" s="68">
        <v>1</v>
      </c>
      <c r="AI590" s="68">
        <v>0</v>
      </c>
      <c r="AJ590" s="68">
        <v>0</v>
      </c>
      <c r="AK590" s="68">
        <v>0</v>
      </c>
      <c r="AL590" s="68">
        <v>1</v>
      </c>
      <c r="AM590" s="68"/>
      <c r="AN590" s="68">
        <v>1</v>
      </c>
      <c r="AO590" s="68"/>
      <c r="AP590" s="68">
        <v>1</v>
      </c>
      <c r="AQ590" s="68"/>
      <c r="AR590" s="68">
        <v>0</v>
      </c>
      <c r="AS590" s="68">
        <v>0</v>
      </c>
      <c r="AT590" s="68">
        <v>0</v>
      </c>
      <c r="AU590" s="68"/>
      <c r="AV590" s="68">
        <v>0</v>
      </c>
      <c r="AW590" s="68">
        <v>0</v>
      </c>
      <c r="AX590" s="170">
        <f t="shared" si="78"/>
        <v>4690</v>
      </c>
      <c r="AY590" s="170"/>
      <c r="AZ590" s="64" t="s">
        <v>77</v>
      </c>
      <c r="BA590" s="64" t="s">
        <v>77</v>
      </c>
      <c r="BB590" s="15" t="s">
        <v>77</v>
      </c>
      <c r="BC590" s="74">
        <v>583</v>
      </c>
      <c r="BD590" s="70"/>
      <c r="BE590" s="67"/>
      <c r="BF590" s="71"/>
      <c r="BG590" s="15"/>
      <c r="BH590" s="72" t="s">
        <v>77</v>
      </c>
      <c r="BI590" s="72" t="s">
        <v>77</v>
      </c>
    </row>
    <row r="591" spans="1:61" s="16" customFormat="1" ht="42" hidden="1" customHeight="1" x14ac:dyDescent="0.3">
      <c r="A591" s="26">
        <v>584</v>
      </c>
      <c r="B591" s="138">
        <v>251258</v>
      </c>
      <c r="C591" s="138">
        <v>584</v>
      </c>
      <c r="D591" s="139">
        <v>46183</v>
      </c>
      <c r="E591" s="139">
        <f t="shared" si="74"/>
        <v>46182</v>
      </c>
      <c r="F591" s="139">
        <f t="shared" si="75"/>
        <v>46193</v>
      </c>
      <c r="G591" s="139">
        <v>46244</v>
      </c>
      <c r="H591" s="139">
        <v>46209</v>
      </c>
      <c r="I591" s="139" t="s">
        <v>123</v>
      </c>
      <c r="J591" s="140" t="s">
        <v>1287</v>
      </c>
      <c r="K591" s="141">
        <f t="shared" si="76"/>
        <v>51</v>
      </c>
      <c r="L591" s="141">
        <v>1236072</v>
      </c>
      <c r="M591" s="140" t="s">
        <v>15</v>
      </c>
      <c r="N591" s="140">
        <v>831507</v>
      </c>
      <c r="O591" s="140" t="s">
        <v>246</v>
      </c>
      <c r="P591" s="143">
        <v>46204</v>
      </c>
      <c r="Q591" s="143">
        <v>46219</v>
      </c>
      <c r="R591" s="185" t="s">
        <v>211</v>
      </c>
      <c r="S591" s="144" t="s">
        <v>1288</v>
      </c>
      <c r="T591" s="145">
        <v>1</v>
      </c>
      <c r="U591" s="186" t="s">
        <v>82</v>
      </c>
      <c r="V591" s="146">
        <v>32</v>
      </c>
      <c r="W591" s="146">
        <v>32</v>
      </c>
      <c r="X591" s="147">
        <v>0</v>
      </c>
      <c r="Y591" s="146">
        <v>0</v>
      </c>
      <c r="Z591" s="146">
        <v>0</v>
      </c>
      <c r="AA591" s="146">
        <v>0</v>
      </c>
      <c r="AB591" s="146">
        <v>32</v>
      </c>
      <c r="AC591" s="146">
        <v>32</v>
      </c>
      <c r="AD591" s="146">
        <v>0</v>
      </c>
      <c r="AE591" s="146">
        <v>0</v>
      </c>
      <c r="AF591" s="146">
        <v>0</v>
      </c>
      <c r="AG591" s="146">
        <v>0</v>
      </c>
      <c r="AH591" s="146">
        <v>1</v>
      </c>
      <c r="AI591" s="146">
        <v>1</v>
      </c>
      <c r="AJ591" s="146">
        <v>0</v>
      </c>
      <c r="AK591" s="146">
        <v>0</v>
      </c>
      <c r="AL591" s="146">
        <v>1</v>
      </c>
      <c r="AM591" s="146">
        <v>1</v>
      </c>
      <c r="AN591" s="146">
        <v>0</v>
      </c>
      <c r="AO591" s="146">
        <v>0</v>
      </c>
      <c r="AP591" s="146">
        <v>0</v>
      </c>
      <c r="AQ591" s="146">
        <v>0</v>
      </c>
      <c r="AR591" s="146">
        <v>0</v>
      </c>
      <c r="AS591" s="146">
        <v>0</v>
      </c>
      <c r="AT591" s="146">
        <v>0</v>
      </c>
      <c r="AU591" s="146">
        <v>0</v>
      </c>
      <c r="AV591" s="146">
        <v>1</v>
      </c>
      <c r="AW591" s="146">
        <v>1</v>
      </c>
      <c r="AX591" s="146">
        <f t="shared" si="78"/>
        <v>5454</v>
      </c>
      <c r="AY591" s="146">
        <f>(W591*60)+(Y591*80)+(AA591*38)+(AC591*57)+(AE591*75)+(AG591*155)+(AI591*170)+(AK591*375)+(AM591*590)+(AO591*60)+(AQ591*630)+(AS591*400)+(AU591*350)+(AW591*950)</f>
        <v>5454</v>
      </c>
      <c r="AZ591" s="140" t="s">
        <v>562</v>
      </c>
      <c r="BA591" s="140" t="s">
        <v>562</v>
      </c>
      <c r="BB591" s="137">
        <v>13</v>
      </c>
      <c r="BC591" s="187">
        <v>584</v>
      </c>
      <c r="BD591" s="149"/>
      <c r="BE591" s="145"/>
      <c r="BF591" s="150"/>
      <c r="BG591" s="188">
        <v>46205</v>
      </c>
      <c r="BH591" s="153" t="s">
        <v>15</v>
      </c>
      <c r="BI591" s="153" t="s">
        <v>562</v>
      </c>
    </row>
    <row r="592" spans="1:61" s="16" customFormat="1" ht="42" customHeight="1" x14ac:dyDescent="0.3">
      <c r="A592" s="26">
        <v>585</v>
      </c>
      <c r="B592" s="62">
        <v>251305</v>
      </c>
      <c r="C592" s="62">
        <v>585</v>
      </c>
      <c r="D592" s="63">
        <v>46184</v>
      </c>
      <c r="E592" s="63">
        <f t="shared" si="74"/>
        <v>46183</v>
      </c>
      <c r="F592" s="63">
        <f t="shared" si="75"/>
        <v>46194</v>
      </c>
      <c r="G592" s="63">
        <v>46276</v>
      </c>
      <c r="H592" s="63">
        <f ca="1">TODAY()</f>
        <v>46277</v>
      </c>
      <c r="I592" s="63" t="s">
        <v>321</v>
      </c>
      <c r="J592" s="64" t="s">
        <v>1290</v>
      </c>
      <c r="K592" s="65">
        <f t="shared" si="76"/>
        <v>82</v>
      </c>
      <c r="L592" s="65">
        <v>1236407</v>
      </c>
      <c r="M592" s="64" t="s">
        <v>77</v>
      </c>
      <c r="N592" s="64">
        <v>834116</v>
      </c>
      <c r="O592" s="79" t="s">
        <v>246</v>
      </c>
      <c r="P592" s="103">
        <v>46238</v>
      </c>
      <c r="Q592" s="103">
        <v>46396</v>
      </c>
      <c r="R592" s="73" t="s">
        <v>211</v>
      </c>
      <c r="S592" s="66" t="s">
        <v>1294</v>
      </c>
      <c r="T592" s="67">
        <v>1</v>
      </c>
      <c r="U592" s="75" t="s">
        <v>81</v>
      </c>
      <c r="V592" s="68">
        <v>258</v>
      </c>
      <c r="W592" s="68"/>
      <c r="X592" s="69">
        <v>0</v>
      </c>
      <c r="Y592" s="68">
        <v>0</v>
      </c>
      <c r="Z592" s="68">
        <v>0</v>
      </c>
      <c r="AA592" s="68">
        <v>0</v>
      </c>
      <c r="AB592" s="68">
        <v>0</v>
      </c>
      <c r="AC592" s="68"/>
      <c r="AD592" s="68">
        <v>0</v>
      </c>
      <c r="AE592" s="68">
        <v>0</v>
      </c>
      <c r="AF592" s="68">
        <v>0</v>
      </c>
      <c r="AG592" s="68">
        <v>0</v>
      </c>
      <c r="AH592" s="68">
        <v>0</v>
      </c>
      <c r="AI592" s="68"/>
      <c r="AJ592" s="68">
        <v>0</v>
      </c>
      <c r="AK592" s="68">
        <v>0</v>
      </c>
      <c r="AL592" s="68">
        <v>1</v>
      </c>
      <c r="AM592" s="68"/>
      <c r="AN592" s="68">
        <v>1</v>
      </c>
      <c r="AO592" s="68"/>
      <c r="AP592" s="68">
        <v>1</v>
      </c>
      <c r="AQ592" s="68"/>
      <c r="AR592" s="68">
        <v>0</v>
      </c>
      <c r="AS592" s="68">
        <v>0</v>
      </c>
      <c r="AT592" s="68">
        <v>0</v>
      </c>
      <c r="AU592" s="68"/>
      <c r="AV592" s="68">
        <v>0</v>
      </c>
      <c r="AW592" s="68">
        <v>0</v>
      </c>
      <c r="AX592" s="170">
        <f t="shared" si="78"/>
        <v>16760</v>
      </c>
      <c r="AY592" s="170"/>
      <c r="AZ592" s="64" t="s">
        <v>77</v>
      </c>
      <c r="BA592" s="64" t="s">
        <v>77</v>
      </c>
      <c r="BB592" s="15" t="s">
        <v>77</v>
      </c>
      <c r="BC592" s="74">
        <v>585</v>
      </c>
      <c r="BD592" s="70"/>
      <c r="BE592" s="67"/>
      <c r="BF592" s="71"/>
      <c r="BG592" s="15"/>
      <c r="BH592" s="72" t="s">
        <v>77</v>
      </c>
      <c r="BI592" s="72" t="s">
        <v>77</v>
      </c>
    </row>
    <row r="593" spans="1:61" s="16" customFormat="1" ht="42" customHeight="1" x14ac:dyDescent="0.3">
      <c r="A593" s="26">
        <v>586</v>
      </c>
      <c r="B593" s="62">
        <v>251308</v>
      </c>
      <c r="C593" s="62">
        <v>586</v>
      </c>
      <c r="D593" s="63">
        <v>46184</v>
      </c>
      <c r="E593" s="63">
        <f t="shared" ref="E593:E626" si="81">D593-1</f>
        <v>46183</v>
      </c>
      <c r="F593" s="63">
        <f t="shared" ref="F593:F626" si="82">D593+10</f>
        <v>46194</v>
      </c>
      <c r="G593" s="63">
        <v>46276</v>
      </c>
      <c r="H593" s="63">
        <f ca="1">TODAY()</f>
        <v>46277</v>
      </c>
      <c r="I593" s="63" t="s">
        <v>321</v>
      </c>
      <c r="J593" s="64" t="s">
        <v>1291</v>
      </c>
      <c r="K593" s="65">
        <f t="shared" ref="K593:K626" si="83">G593-F593</f>
        <v>82</v>
      </c>
      <c r="L593" s="65">
        <v>1236415</v>
      </c>
      <c r="M593" s="64" t="s">
        <v>77</v>
      </c>
      <c r="N593" s="64">
        <v>839315</v>
      </c>
      <c r="O593" s="80" t="s">
        <v>246</v>
      </c>
      <c r="P593" s="103">
        <v>46266</v>
      </c>
      <c r="Q593" s="103">
        <v>46436</v>
      </c>
      <c r="R593" s="73" t="s">
        <v>211</v>
      </c>
      <c r="S593" s="66" t="s">
        <v>1295</v>
      </c>
      <c r="T593" s="67">
        <v>1</v>
      </c>
      <c r="U593" s="75" t="s">
        <v>128</v>
      </c>
      <c r="V593" s="68">
        <v>50</v>
      </c>
      <c r="W593" s="68"/>
      <c r="X593" s="69">
        <v>0</v>
      </c>
      <c r="Y593" s="68">
        <v>0</v>
      </c>
      <c r="Z593" s="68">
        <v>0</v>
      </c>
      <c r="AA593" s="68">
        <v>0</v>
      </c>
      <c r="AB593" s="68">
        <v>0</v>
      </c>
      <c r="AC593" s="68"/>
      <c r="AD593" s="68">
        <v>0</v>
      </c>
      <c r="AE593" s="68">
        <v>0</v>
      </c>
      <c r="AF593" s="68">
        <v>0</v>
      </c>
      <c r="AG593" s="68">
        <v>0</v>
      </c>
      <c r="AH593" s="68">
        <v>0</v>
      </c>
      <c r="AI593" s="68"/>
      <c r="AJ593" s="68">
        <v>0</v>
      </c>
      <c r="AK593" s="68">
        <v>0</v>
      </c>
      <c r="AL593" s="68">
        <v>1</v>
      </c>
      <c r="AM593" s="68"/>
      <c r="AN593" s="68">
        <v>1</v>
      </c>
      <c r="AO593" s="68"/>
      <c r="AP593" s="68">
        <v>1</v>
      </c>
      <c r="AQ593" s="68"/>
      <c r="AR593" s="68">
        <v>0</v>
      </c>
      <c r="AS593" s="68">
        <v>0</v>
      </c>
      <c r="AT593" s="68">
        <v>0</v>
      </c>
      <c r="AU593" s="68"/>
      <c r="AV593" s="68">
        <v>0</v>
      </c>
      <c r="AW593" s="68">
        <v>0</v>
      </c>
      <c r="AX593" s="170">
        <f t="shared" si="78"/>
        <v>4280</v>
      </c>
      <c r="AY593" s="170"/>
      <c r="AZ593" s="64" t="s">
        <v>77</v>
      </c>
      <c r="BA593" s="64" t="s">
        <v>77</v>
      </c>
      <c r="BB593" s="15" t="s">
        <v>77</v>
      </c>
      <c r="BC593" s="74">
        <v>586</v>
      </c>
      <c r="BD593" s="70"/>
      <c r="BE593" s="67"/>
      <c r="BF593" s="71"/>
      <c r="BG593" s="15"/>
      <c r="BH593" s="72" t="s">
        <v>77</v>
      </c>
      <c r="BI593" s="72" t="s">
        <v>77</v>
      </c>
    </row>
    <row r="594" spans="1:61" s="16" customFormat="1" ht="42" customHeight="1" x14ac:dyDescent="0.3">
      <c r="A594" s="26">
        <v>587</v>
      </c>
      <c r="B594" s="62">
        <v>251311</v>
      </c>
      <c r="C594" s="62">
        <v>587</v>
      </c>
      <c r="D594" s="63">
        <v>46184</v>
      </c>
      <c r="E594" s="63">
        <f t="shared" si="81"/>
        <v>46183</v>
      </c>
      <c r="F594" s="63">
        <f t="shared" si="82"/>
        <v>46194</v>
      </c>
      <c r="G594" s="63">
        <v>46276</v>
      </c>
      <c r="H594" s="63">
        <f ca="1">TODAY()</f>
        <v>46277</v>
      </c>
      <c r="I594" s="63" t="s">
        <v>321</v>
      </c>
      <c r="J594" s="64" t="s">
        <v>1292</v>
      </c>
      <c r="K594" s="65">
        <f t="shared" si="83"/>
        <v>82</v>
      </c>
      <c r="L594" s="65">
        <v>1236419</v>
      </c>
      <c r="M594" s="64" t="s">
        <v>77</v>
      </c>
      <c r="N594" s="64">
        <v>838762</v>
      </c>
      <c r="O594" s="79" t="s">
        <v>246</v>
      </c>
      <c r="P594" s="103">
        <v>46273</v>
      </c>
      <c r="Q594" s="103">
        <v>46445</v>
      </c>
      <c r="R594" s="73" t="s">
        <v>211</v>
      </c>
      <c r="S594" s="66" t="s">
        <v>1296</v>
      </c>
      <c r="T594" s="67">
        <v>1</v>
      </c>
      <c r="U594" s="75" t="s">
        <v>82</v>
      </c>
      <c r="V594" s="68">
        <v>85</v>
      </c>
      <c r="W594" s="68"/>
      <c r="X594" s="69">
        <v>0</v>
      </c>
      <c r="Y594" s="68">
        <v>0</v>
      </c>
      <c r="Z594" s="68">
        <v>0</v>
      </c>
      <c r="AA594" s="68">
        <v>0</v>
      </c>
      <c r="AB594" s="68">
        <v>0</v>
      </c>
      <c r="AC594" s="68"/>
      <c r="AD594" s="68">
        <v>0</v>
      </c>
      <c r="AE594" s="68">
        <v>0</v>
      </c>
      <c r="AF594" s="68">
        <v>0</v>
      </c>
      <c r="AG594" s="68">
        <v>0</v>
      </c>
      <c r="AH594" s="68">
        <v>0</v>
      </c>
      <c r="AI594" s="68"/>
      <c r="AJ594" s="68">
        <v>0</v>
      </c>
      <c r="AK594" s="68">
        <v>0</v>
      </c>
      <c r="AL594" s="68">
        <v>1</v>
      </c>
      <c r="AM594" s="68"/>
      <c r="AN594" s="68">
        <v>1</v>
      </c>
      <c r="AO594" s="68"/>
      <c r="AP594" s="68">
        <v>1</v>
      </c>
      <c r="AQ594" s="68"/>
      <c r="AR594" s="68">
        <v>0</v>
      </c>
      <c r="AS594" s="68">
        <v>0</v>
      </c>
      <c r="AT594" s="68">
        <v>0</v>
      </c>
      <c r="AU594" s="68"/>
      <c r="AV594" s="68">
        <v>0</v>
      </c>
      <c r="AW594" s="68">
        <v>0</v>
      </c>
      <c r="AX594" s="170">
        <f t="shared" si="78"/>
        <v>6380</v>
      </c>
      <c r="AY594" s="170"/>
      <c r="AZ594" s="64" t="s">
        <v>77</v>
      </c>
      <c r="BA594" s="64" t="s">
        <v>77</v>
      </c>
      <c r="BB594" s="15" t="s">
        <v>77</v>
      </c>
      <c r="BC594" s="74">
        <v>587</v>
      </c>
      <c r="BD594" s="70"/>
      <c r="BE594" s="67"/>
      <c r="BF594" s="71"/>
      <c r="BG594" s="15"/>
      <c r="BH594" s="72" t="s">
        <v>77</v>
      </c>
      <c r="BI594" s="72" t="s">
        <v>77</v>
      </c>
    </row>
    <row r="595" spans="1:61" s="16" customFormat="1" ht="42" customHeight="1" x14ac:dyDescent="0.3">
      <c r="A595" s="26">
        <v>588</v>
      </c>
      <c r="B595" s="62">
        <v>251312</v>
      </c>
      <c r="C595" s="62">
        <v>588</v>
      </c>
      <c r="D595" s="63">
        <v>46184</v>
      </c>
      <c r="E595" s="63">
        <f t="shared" si="81"/>
        <v>46183</v>
      </c>
      <c r="F595" s="63">
        <f t="shared" si="82"/>
        <v>46194</v>
      </c>
      <c r="G595" s="63">
        <v>46276</v>
      </c>
      <c r="H595" s="63">
        <f ca="1">TODAY()</f>
        <v>46277</v>
      </c>
      <c r="I595" s="63" t="s">
        <v>321</v>
      </c>
      <c r="J595" s="64" t="s">
        <v>1293</v>
      </c>
      <c r="K595" s="65">
        <f t="shared" si="83"/>
        <v>82</v>
      </c>
      <c r="L595" s="65">
        <v>1236420</v>
      </c>
      <c r="M595" s="64" t="s">
        <v>77</v>
      </c>
      <c r="N595" s="64" t="s">
        <v>77</v>
      </c>
      <c r="O595" s="64" t="s">
        <v>77</v>
      </c>
      <c r="P595" s="103" t="s">
        <v>77</v>
      </c>
      <c r="Q595" s="103" t="s">
        <v>77</v>
      </c>
      <c r="R595" s="73" t="s">
        <v>211</v>
      </c>
      <c r="S595" s="66" t="s">
        <v>1297</v>
      </c>
      <c r="T595" s="67">
        <v>1</v>
      </c>
      <c r="U595" s="75" t="s">
        <v>181</v>
      </c>
      <c r="V595" s="68">
        <v>129</v>
      </c>
      <c r="W595" s="68"/>
      <c r="X595" s="69">
        <v>0</v>
      </c>
      <c r="Y595" s="68">
        <v>0</v>
      </c>
      <c r="Z595" s="68">
        <v>0</v>
      </c>
      <c r="AA595" s="68">
        <v>0</v>
      </c>
      <c r="AB595" s="68">
        <v>0</v>
      </c>
      <c r="AC595" s="68"/>
      <c r="AD595" s="68">
        <v>0</v>
      </c>
      <c r="AE595" s="68">
        <v>0</v>
      </c>
      <c r="AF595" s="68">
        <v>0</v>
      </c>
      <c r="AG595" s="68">
        <v>0</v>
      </c>
      <c r="AH595" s="68">
        <v>0</v>
      </c>
      <c r="AI595" s="68"/>
      <c r="AJ595" s="68">
        <v>0</v>
      </c>
      <c r="AK595" s="68">
        <v>0</v>
      </c>
      <c r="AL595" s="68">
        <v>1</v>
      </c>
      <c r="AM595" s="68"/>
      <c r="AN595" s="68">
        <v>1</v>
      </c>
      <c r="AO595" s="68"/>
      <c r="AP595" s="68">
        <v>1</v>
      </c>
      <c r="AQ595" s="68"/>
      <c r="AR595" s="68">
        <v>0</v>
      </c>
      <c r="AS595" s="68">
        <v>0</v>
      </c>
      <c r="AT595" s="68">
        <v>0</v>
      </c>
      <c r="AU595" s="68"/>
      <c r="AV595" s="68">
        <v>0</v>
      </c>
      <c r="AW595" s="68">
        <v>0</v>
      </c>
      <c r="AX595" s="170">
        <f t="shared" si="78"/>
        <v>9020</v>
      </c>
      <c r="AY595" s="170"/>
      <c r="AZ595" s="64" t="s">
        <v>77</v>
      </c>
      <c r="BA595" s="64" t="s">
        <v>77</v>
      </c>
      <c r="BB595" s="15" t="s">
        <v>77</v>
      </c>
      <c r="BC595" s="74">
        <v>588</v>
      </c>
      <c r="BD595" s="70"/>
      <c r="BE595" s="67"/>
      <c r="BF595" s="71"/>
      <c r="BG595" s="15"/>
      <c r="BH595" s="72" t="s">
        <v>77</v>
      </c>
      <c r="BI595" s="72" t="s">
        <v>77</v>
      </c>
    </row>
    <row r="596" spans="1:61" s="16" customFormat="1" ht="42" customHeight="1" x14ac:dyDescent="0.3">
      <c r="A596" s="26">
        <v>589</v>
      </c>
      <c r="B596" s="163">
        <v>251384</v>
      </c>
      <c r="C596" s="163">
        <v>589</v>
      </c>
      <c r="D596" s="164">
        <v>46187</v>
      </c>
      <c r="E596" s="164">
        <f t="shared" si="81"/>
        <v>46186</v>
      </c>
      <c r="F596" s="164">
        <f t="shared" si="82"/>
        <v>46197</v>
      </c>
      <c r="G596" s="164">
        <v>46248</v>
      </c>
      <c r="H596" s="164">
        <v>46222</v>
      </c>
      <c r="I596" s="164" t="s">
        <v>123</v>
      </c>
      <c r="J596" s="165" t="s">
        <v>1298</v>
      </c>
      <c r="K596" s="166">
        <f t="shared" si="83"/>
        <v>51</v>
      </c>
      <c r="L596" s="166">
        <v>1236984</v>
      </c>
      <c r="M596" s="165" t="s">
        <v>15</v>
      </c>
      <c r="N596" s="165" t="s">
        <v>1453</v>
      </c>
      <c r="O596" s="165" t="s">
        <v>246</v>
      </c>
      <c r="P596" s="167">
        <v>46216</v>
      </c>
      <c r="Q596" s="167">
        <f>'[1]RO Tracking-GTC-1240'!$P$659</f>
        <v>46273</v>
      </c>
      <c r="R596" s="179" t="s">
        <v>211</v>
      </c>
      <c r="S596" s="168" t="s">
        <v>1299</v>
      </c>
      <c r="T596" s="169">
        <v>1</v>
      </c>
      <c r="U596" s="180" t="s">
        <v>840</v>
      </c>
      <c r="V596" s="170">
        <v>13</v>
      </c>
      <c r="W596" s="170">
        <v>13</v>
      </c>
      <c r="X596" s="171">
        <v>0</v>
      </c>
      <c r="Y596" s="170">
        <v>0</v>
      </c>
      <c r="Z596" s="170">
        <v>0</v>
      </c>
      <c r="AA596" s="170">
        <v>0</v>
      </c>
      <c r="AB596" s="170">
        <v>5</v>
      </c>
      <c r="AC596" s="170">
        <v>5</v>
      </c>
      <c r="AD596" s="170">
        <v>0</v>
      </c>
      <c r="AE596" s="170">
        <v>0</v>
      </c>
      <c r="AF596" s="170">
        <v>0</v>
      </c>
      <c r="AG596" s="170">
        <v>0</v>
      </c>
      <c r="AH596" s="170">
        <v>1</v>
      </c>
      <c r="AI596" s="170">
        <v>1</v>
      </c>
      <c r="AJ596" s="170">
        <v>0</v>
      </c>
      <c r="AK596" s="170">
        <v>0</v>
      </c>
      <c r="AL596" s="170">
        <v>1</v>
      </c>
      <c r="AM596" s="170">
        <v>1</v>
      </c>
      <c r="AN596" s="170">
        <v>2</v>
      </c>
      <c r="AO596" s="170">
        <v>2</v>
      </c>
      <c r="AP596" s="170">
        <v>2</v>
      </c>
      <c r="AQ596" s="170">
        <v>2</v>
      </c>
      <c r="AR596" s="170">
        <v>0</v>
      </c>
      <c r="AS596" s="170">
        <v>0</v>
      </c>
      <c r="AT596" s="170">
        <v>0</v>
      </c>
      <c r="AU596" s="170">
        <v>0</v>
      </c>
      <c r="AV596" s="170">
        <v>1</v>
      </c>
      <c r="AW596" s="170">
        <v>1</v>
      </c>
      <c r="AX596" s="170">
        <f t="shared" si="78"/>
        <v>4155</v>
      </c>
      <c r="AY596" s="170">
        <f>(W596*60)+(Y596*80)+(AA596*38)+(AC596*57)+(AE596*75)+(AG596*155)+(AI596*170)+(AK596*375)+(AM596*590)+(AO596*60)+(AQ596*630)+(AS596*400)+(AU596*350)+(AW596*950)</f>
        <v>4155</v>
      </c>
      <c r="AZ596" s="165" t="s">
        <v>15</v>
      </c>
      <c r="BA596" s="165" t="s">
        <v>77</v>
      </c>
      <c r="BB596" s="162" t="s">
        <v>77</v>
      </c>
      <c r="BC596" s="181">
        <v>589</v>
      </c>
      <c r="BD596" s="173"/>
      <c r="BE596" s="169"/>
      <c r="BF596" s="174"/>
      <c r="BG596" s="178">
        <v>46222</v>
      </c>
      <c r="BH596" s="175" t="s">
        <v>77</v>
      </c>
      <c r="BI596" s="175" t="s">
        <v>77</v>
      </c>
    </row>
    <row r="597" spans="1:61" s="16" customFormat="1" ht="42" customHeight="1" x14ac:dyDescent="0.3">
      <c r="A597" s="26">
        <v>590</v>
      </c>
      <c r="B597" s="163">
        <v>251445</v>
      </c>
      <c r="C597" s="163">
        <v>590</v>
      </c>
      <c r="D597" s="164">
        <v>46188</v>
      </c>
      <c r="E597" s="164">
        <f t="shared" si="81"/>
        <v>46187</v>
      </c>
      <c r="F597" s="164">
        <f t="shared" si="82"/>
        <v>46198</v>
      </c>
      <c r="G597" s="164">
        <v>46249</v>
      </c>
      <c r="H597" s="164">
        <v>46233</v>
      </c>
      <c r="I597" s="164" t="s">
        <v>123</v>
      </c>
      <c r="J597" s="165" t="s">
        <v>1300</v>
      </c>
      <c r="K597" s="166">
        <f t="shared" si="83"/>
        <v>51</v>
      </c>
      <c r="L597" s="166">
        <v>1237419</v>
      </c>
      <c r="M597" s="165" t="s">
        <v>15</v>
      </c>
      <c r="N597" s="165">
        <v>831990</v>
      </c>
      <c r="O597" s="165" t="s">
        <v>246</v>
      </c>
      <c r="P597" s="167">
        <v>46222</v>
      </c>
      <c r="Q597" s="167">
        <v>46383</v>
      </c>
      <c r="R597" s="179" t="s">
        <v>211</v>
      </c>
      <c r="S597" s="168" t="s">
        <v>1301</v>
      </c>
      <c r="T597" s="169">
        <v>1</v>
      </c>
      <c r="U597" s="180" t="s">
        <v>840</v>
      </c>
      <c r="V597" s="170">
        <v>103</v>
      </c>
      <c r="W597" s="170">
        <v>103</v>
      </c>
      <c r="X597" s="171">
        <v>0</v>
      </c>
      <c r="Y597" s="170">
        <v>0</v>
      </c>
      <c r="Z597" s="170">
        <v>0</v>
      </c>
      <c r="AA597" s="170">
        <v>0</v>
      </c>
      <c r="AB597" s="170">
        <v>103</v>
      </c>
      <c r="AC597" s="170">
        <v>103</v>
      </c>
      <c r="AD597" s="170">
        <v>0</v>
      </c>
      <c r="AE597" s="170">
        <v>0</v>
      </c>
      <c r="AF597" s="170">
        <v>0</v>
      </c>
      <c r="AG597" s="170">
        <v>0</v>
      </c>
      <c r="AH597" s="170">
        <v>1</v>
      </c>
      <c r="AI597" s="170">
        <v>1</v>
      </c>
      <c r="AJ597" s="170">
        <v>0</v>
      </c>
      <c r="AK597" s="170">
        <v>0</v>
      </c>
      <c r="AL597" s="170">
        <v>0</v>
      </c>
      <c r="AM597" s="170">
        <v>0</v>
      </c>
      <c r="AN597" s="170">
        <v>1</v>
      </c>
      <c r="AO597" s="170">
        <v>1</v>
      </c>
      <c r="AP597" s="170">
        <v>3</v>
      </c>
      <c r="AQ597" s="170">
        <v>3</v>
      </c>
      <c r="AR597" s="170">
        <v>0</v>
      </c>
      <c r="AS597" s="170">
        <v>0</v>
      </c>
      <c r="AT597" s="170">
        <v>1</v>
      </c>
      <c r="AU597" s="170">
        <v>1</v>
      </c>
      <c r="AV597" s="170">
        <v>0</v>
      </c>
      <c r="AW597" s="170">
        <v>0</v>
      </c>
      <c r="AX597" s="170">
        <f t="shared" si="78"/>
        <v>14521</v>
      </c>
      <c r="AY597" s="170">
        <f>(W597*60)+(Y597*80)+(AA597*38)+(AC597*57)+(AE597*75)+(AG597*155)+(AI597*170)+(AK597*375)+(AM597*590)+(AO597*60)+(AQ597*630)+(AS597*400)+(AU597*350)+(AW597*950)</f>
        <v>14521</v>
      </c>
      <c r="AZ597" s="165" t="s">
        <v>15</v>
      </c>
      <c r="BA597" s="165" t="s">
        <v>77</v>
      </c>
      <c r="BB597" s="162" t="s">
        <v>77</v>
      </c>
      <c r="BC597" s="181">
        <v>590</v>
      </c>
      <c r="BD597" s="173"/>
      <c r="BE597" s="169"/>
      <c r="BF597" s="174"/>
      <c r="BG597" s="178">
        <v>46226</v>
      </c>
      <c r="BH597" s="175" t="s">
        <v>77</v>
      </c>
      <c r="BI597" s="175" t="s">
        <v>77</v>
      </c>
    </row>
    <row r="598" spans="1:61" s="16" customFormat="1" ht="42" customHeight="1" x14ac:dyDescent="0.3">
      <c r="A598" s="26">
        <v>591</v>
      </c>
      <c r="B598" s="62">
        <v>251488</v>
      </c>
      <c r="C598" s="62">
        <v>591</v>
      </c>
      <c r="D598" s="63">
        <v>46189</v>
      </c>
      <c r="E598" s="63">
        <f t="shared" si="81"/>
        <v>46188</v>
      </c>
      <c r="F598" s="63">
        <f t="shared" si="82"/>
        <v>46199</v>
      </c>
      <c r="G598" s="63">
        <v>46281</v>
      </c>
      <c r="H598" s="63">
        <f t="shared" ref="H598:H604" ca="1" si="84">TODAY()</f>
        <v>46277</v>
      </c>
      <c r="I598" s="63" t="s">
        <v>321</v>
      </c>
      <c r="J598" s="64" t="s">
        <v>1303</v>
      </c>
      <c r="K598" s="65">
        <f t="shared" si="83"/>
        <v>82</v>
      </c>
      <c r="L598" s="65">
        <v>1237620</v>
      </c>
      <c r="M598" s="64" t="s">
        <v>77</v>
      </c>
      <c r="N598" s="64">
        <v>838764</v>
      </c>
      <c r="O598" s="79" t="s">
        <v>246</v>
      </c>
      <c r="P598" s="103">
        <v>46267</v>
      </c>
      <c r="Q598" s="103">
        <v>46447</v>
      </c>
      <c r="R598" s="73" t="s">
        <v>211</v>
      </c>
      <c r="S598" s="66" t="s">
        <v>1304</v>
      </c>
      <c r="T598" s="67">
        <v>1</v>
      </c>
      <c r="U598" s="75" t="s">
        <v>173</v>
      </c>
      <c r="V598" s="68">
        <v>35</v>
      </c>
      <c r="W598" s="68"/>
      <c r="X598" s="69">
        <v>0</v>
      </c>
      <c r="Y598" s="68">
        <v>0</v>
      </c>
      <c r="Z598" s="68">
        <v>0</v>
      </c>
      <c r="AA598" s="68">
        <v>0</v>
      </c>
      <c r="AB598" s="68">
        <v>0</v>
      </c>
      <c r="AC598" s="68"/>
      <c r="AD598" s="68">
        <v>0</v>
      </c>
      <c r="AE598" s="68">
        <v>0</v>
      </c>
      <c r="AF598" s="68">
        <v>0</v>
      </c>
      <c r="AG598" s="68">
        <v>0</v>
      </c>
      <c r="AH598" s="68">
        <v>0</v>
      </c>
      <c r="AI598" s="68"/>
      <c r="AJ598" s="68">
        <v>0</v>
      </c>
      <c r="AK598" s="68">
        <v>0</v>
      </c>
      <c r="AL598" s="68">
        <v>1</v>
      </c>
      <c r="AM598" s="68"/>
      <c r="AN598" s="68">
        <v>1</v>
      </c>
      <c r="AO598" s="68"/>
      <c r="AP598" s="68">
        <v>1</v>
      </c>
      <c r="AQ598" s="68"/>
      <c r="AR598" s="68">
        <v>0</v>
      </c>
      <c r="AS598" s="68">
        <v>0</v>
      </c>
      <c r="AT598" s="68">
        <v>0</v>
      </c>
      <c r="AU598" s="68"/>
      <c r="AV598" s="68">
        <v>0</v>
      </c>
      <c r="AW598" s="68">
        <v>0</v>
      </c>
      <c r="AX598" s="170">
        <f t="shared" si="78"/>
        <v>3380</v>
      </c>
      <c r="AY598" s="170"/>
      <c r="AZ598" s="64" t="s">
        <v>77</v>
      </c>
      <c r="BA598" s="64" t="s">
        <v>77</v>
      </c>
      <c r="BB598" s="15" t="s">
        <v>77</v>
      </c>
      <c r="BC598" s="74">
        <v>591</v>
      </c>
      <c r="BD598" s="70"/>
      <c r="BE598" s="67"/>
      <c r="BF598" s="71"/>
      <c r="BG598" s="15"/>
      <c r="BH598" s="72" t="s">
        <v>77</v>
      </c>
      <c r="BI598" s="72" t="s">
        <v>77</v>
      </c>
    </row>
    <row r="599" spans="1:61" s="16" customFormat="1" ht="42" customHeight="1" x14ac:dyDescent="0.3">
      <c r="A599" s="26">
        <v>592</v>
      </c>
      <c r="B599" s="163">
        <v>251494</v>
      </c>
      <c r="C599" s="163">
        <v>592</v>
      </c>
      <c r="D599" s="164">
        <v>46189</v>
      </c>
      <c r="E599" s="164">
        <f t="shared" si="81"/>
        <v>46188</v>
      </c>
      <c r="F599" s="164">
        <f t="shared" si="82"/>
        <v>46199</v>
      </c>
      <c r="G599" s="164">
        <v>46281</v>
      </c>
      <c r="H599" s="164">
        <v>46258</v>
      </c>
      <c r="I599" s="164" t="s">
        <v>321</v>
      </c>
      <c r="J599" s="165" t="s">
        <v>1305</v>
      </c>
      <c r="K599" s="166">
        <f t="shared" si="83"/>
        <v>82</v>
      </c>
      <c r="L599" s="166">
        <v>1237637</v>
      </c>
      <c r="M599" s="165" t="s">
        <v>15</v>
      </c>
      <c r="N599" s="165">
        <v>834721</v>
      </c>
      <c r="O599" s="165" t="s">
        <v>246</v>
      </c>
      <c r="P599" s="167">
        <v>46238</v>
      </c>
      <c r="Q599" s="167">
        <v>46396</v>
      </c>
      <c r="R599" s="179" t="s">
        <v>211</v>
      </c>
      <c r="S599" s="168" t="s">
        <v>1306</v>
      </c>
      <c r="T599" s="169">
        <v>1</v>
      </c>
      <c r="U599" s="180" t="s">
        <v>81</v>
      </c>
      <c r="V599" s="170">
        <v>42</v>
      </c>
      <c r="W599" s="170">
        <v>42</v>
      </c>
      <c r="X599" s="171">
        <v>0</v>
      </c>
      <c r="Y599" s="170">
        <v>0</v>
      </c>
      <c r="Z599" s="170">
        <v>0</v>
      </c>
      <c r="AA599" s="170">
        <v>0</v>
      </c>
      <c r="AB599" s="170">
        <v>0</v>
      </c>
      <c r="AC599" s="170"/>
      <c r="AD599" s="170">
        <v>0</v>
      </c>
      <c r="AE599" s="170">
        <v>0</v>
      </c>
      <c r="AF599" s="170">
        <v>0</v>
      </c>
      <c r="AG599" s="170">
        <v>0</v>
      </c>
      <c r="AH599" s="170">
        <v>0</v>
      </c>
      <c r="AI599" s="170"/>
      <c r="AJ599" s="170">
        <v>0</v>
      </c>
      <c r="AK599" s="170">
        <v>0</v>
      </c>
      <c r="AL599" s="170">
        <v>0</v>
      </c>
      <c r="AM599" s="170">
        <v>0</v>
      </c>
      <c r="AN599" s="170">
        <v>1</v>
      </c>
      <c r="AO599" s="170">
        <v>1</v>
      </c>
      <c r="AP599" s="170">
        <v>1</v>
      </c>
      <c r="AQ599" s="170">
        <v>1</v>
      </c>
      <c r="AR599" s="170">
        <v>0</v>
      </c>
      <c r="AS599" s="170">
        <v>0</v>
      </c>
      <c r="AT599" s="170">
        <v>0</v>
      </c>
      <c r="AU599" s="170"/>
      <c r="AV599" s="170">
        <v>0</v>
      </c>
      <c r="AW599" s="170">
        <v>0</v>
      </c>
      <c r="AX599" s="170">
        <f t="shared" si="78"/>
        <v>3210</v>
      </c>
      <c r="AY599" s="170">
        <f>(W599*60)+(Y599*80)+(AA599*38)+(AC599*57)+(AE599*75)+(AG599*155)+(AI599*170)+(AK599*375)+(AM599*590)+(AO599*60)+(AQ599*630)+(AS599*400)+(AU599*350)+(AW599*950)</f>
        <v>3210</v>
      </c>
      <c r="AZ599" s="165" t="s">
        <v>15</v>
      </c>
      <c r="BA599" s="165" t="s">
        <v>77</v>
      </c>
      <c r="BB599" s="162" t="s">
        <v>77</v>
      </c>
      <c r="BC599" s="181">
        <v>592</v>
      </c>
      <c r="BD599" s="173"/>
      <c r="BE599" s="169"/>
      <c r="BF599" s="174"/>
      <c r="BG599" s="178">
        <v>46253</v>
      </c>
      <c r="BH599" s="175" t="s">
        <v>77</v>
      </c>
      <c r="BI599" s="175" t="s">
        <v>77</v>
      </c>
    </row>
    <row r="600" spans="1:61" s="16" customFormat="1" ht="42" customHeight="1" x14ac:dyDescent="0.3">
      <c r="A600" s="26">
        <v>592</v>
      </c>
      <c r="B600" s="62">
        <v>251494</v>
      </c>
      <c r="C600" s="62" t="s">
        <v>1571</v>
      </c>
      <c r="D600" s="63">
        <v>46272</v>
      </c>
      <c r="E600" s="63">
        <f t="shared" ref="E600" si="85">D600-1</f>
        <v>46271</v>
      </c>
      <c r="F600" s="63">
        <f t="shared" ref="F600" si="86">D600+10</f>
        <v>46282</v>
      </c>
      <c r="G600" s="63">
        <v>46282</v>
      </c>
      <c r="H600" s="63">
        <v>46258</v>
      </c>
      <c r="I600" s="63" t="s">
        <v>123</v>
      </c>
      <c r="J600" s="64" t="s">
        <v>1572</v>
      </c>
      <c r="K600" s="65">
        <f t="shared" ref="K600" si="87">G600-F600</f>
        <v>0</v>
      </c>
      <c r="L600" s="65">
        <v>1237637</v>
      </c>
      <c r="M600" s="64" t="s">
        <v>15</v>
      </c>
      <c r="N600" s="64">
        <v>834721</v>
      </c>
      <c r="O600" s="64" t="s">
        <v>246</v>
      </c>
      <c r="P600" s="103">
        <v>46238</v>
      </c>
      <c r="Q600" s="103">
        <v>46396</v>
      </c>
      <c r="R600" s="73" t="s">
        <v>211</v>
      </c>
      <c r="S600" s="66" t="s">
        <v>1306</v>
      </c>
      <c r="T600" s="67">
        <v>1</v>
      </c>
      <c r="U600" s="75" t="s">
        <v>81</v>
      </c>
      <c r="V600" s="68">
        <v>40</v>
      </c>
      <c r="W600" s="68"/>
      <c r="X600" s="69">
        <v>0</v>
      </c>
      <c r="Y600" s="68">
        <v>0</v>
      </c>
      <c r="Z600" s="68">
        <v>0</v>
      </c>
      <c r="AA600" s="68">
        <v>0</v>
      </c>
      <c r="AB600" s="68">
        <v>0</v>
      </c>
      <c r="AC600" s="68">
        <v>0</v>
      </c>
      <c r="AD600" s="68">
        <v>0</v>
      </c>
      <c r="AE600" s="68">
        <v>0</v>
      </c>
      <c r="AF600" s="68">
        <v>0</v>
      </c>
      <c r="AG600" s="68">
        <v>0</v>
      </c>
      <c r="AH600" s="68">
        <v>1</v>
      </c>
      <c r="AI600" s="68"/>
      <c r="AJ600" s="68">
        <v>0</v>
      </c>
      <c r="AK600" s="68">
        <v>0</v>
      </c>
      <c r="AL600" s="68">
        <v>1</v>
      </c>
      <c r="AM600" s="68"/>
      <c r="AN600" s="68">
        <v>1</v>
      </c>
      <c r="AO600" s="68"/>
      <c r="AP600" s="68">
        <v>1</v>
      </c>
      <c r="AQ600" s="68"/>
      <c r="AR600" s="68">
        <v>0</v>
      </c>
      <c r="AS600" s="68">
        <v>0</v>
      </c>
      <c r="AT600" s="68">
        <v>1</v>
      </c>
      <c r="AU600" s="68"/>
      <c r="AV600" s="68">
        <v>0</v>
      </c>
      <c r="AW600" s="68">
        <v>0</v>
      </c>
      <c r="AX600" s="68">
        <f t="shared" si="78"/>
        <v>4200</v>
      </c>
      <c r="AY600" s="68"/>
      <c r="AZ600" s="64" t="s">
        <v>77</v>
      </c>
      <c r="BA600" s="64" t="s">
        <v>77</v>
      </c>
      <c r="BB600" s="15" t="s">
        <v>77</v>
      </c>
      <c r="BC600" s="74">
        <v>592</v>
      </c>
      <c r="BD600" s="70"/>
      <c r="BE600" s="67"/>
      <c r="BF600" s="71"/>
      <c r="BG600" s="255"/>
      <c r="BH600" s="72" t="s">
        <v>77</v>
      </c>
      <c r="BI600" s="72" t="s">
        <v>77</v>
      </c>
    </row>
    <row r="601" spans="1:61" s="16" customFormat="1" ht="42" customHeight="1" x14ac:dyDescent="0.3">
      <c r="A601" s="26">
        <v>593</v>
      </c>
      <c r="B601" s="62">
        <v>251500</v>
      </c>
      <c r="C601" s="62">
        <v>593</v>
      </c>
      <c r="D601" s="63">
        <v>46189</v>
      </c>
      <c r="E601" s="63">
        <f t="shared" si="81"/>
        <v>46188</v>
      </c>
      <c r="F601" s="63">
        <f t="shared" si="82"/>
        <v>46199</v>
      </c>
      <c r="G601" s="63">
        <v>46281</v>
      </c>
      <c r="H601" s="63">
        <f t="shared" ca="1" si="84"/>
        <v>46277</v>
      </c>
      <c r="I601" s="63" t="s">
        <v>321</v>
      </c>
      <c r="J601" s="64" t="s">
        <v>1307</v>
      </c>
      <c r="K601" s="65">
        <f t="shared" si="83"/>
        <v>82</v>
      </c>
      <c r="L601" s="65">
        <v>1237652</v>
      </c>
      <c r="M601" s="64" t="s">
        <v>77</v>
      </c>
      <c r="N601" s="64" t="s">
        <v>77</v>
      </c>
      <c r="O601" s="64" t="s">
        <v>77</v>
      </c>
      <c r="P601" s="103" t="s">
        <v>77</v>
      </c>
      <c r="Q601" s="103" t="s">
        <v>77</v>
      </c>
      <c r="R601" s="73" t="s">
        <v>211</v>
      </c>
      <c r="S601" s="66" t="s">
        <v>522</v>
      </c>
      <c r="T601" s="67">
        <v>1</v>
      </c>
      <c r="U601" s="75" t="s">
        <v>1308</v>
      </c>
      <c r="V601" s="68">
        <v>121</v>
      </c>
      <c r="W601" s="68"/>
      <c r="X601" s="69">
        <v>0</v>
      </c>
      <c r="Y601" s="68">
        <v>0</v>
      </c>
      <c r="Z601" s="68">
        <v>0</v>
      </c>
      <c r="AA601" s="68">
        <v>0</v>
      </c>
      <c r="AB601" s="68">
        <v>0</v>
      </c>
      <c r="AC601" s="68"/>
      <c r="AD601" s="68">
        <v>0</v>
      </c>
      <c r="AE601" s="68">
        <v>0</v>
      </c>
      <c r="AF601" s="68">
        <v>0</v>
      </c>
      <c r="AG601" s="68">
        <v>0</v>
      </c>
      <c r="AH601" s="68">
        <v>0</v>
      </c>
      <c r="AI601" s="68"/>
      <c r="AJ601" s="68">
        <v>0</v>
      </c>
      <c r="AK601" s="68">
        <v>0</v>
      </c>
      <c r="AL601" s="68">
        <v>1</v>
      </c>
      <c r="AM601" s="68"/>
      <c r="AN601" s="68">
        <v>1</v>
      </c>
      <c r="AO601" s="68"/>
      <c r="AP601" s="68">
        <v>1</v>
      </c>
      <c r="AQ601" s="68"/>
      <c r="AR601" s="68">
        <v>0</v>
      </c>
      <c r="AS601" s="68">
        <v>0</v>
      </c>
      <c r="AT601" s="68">
        <v>0</v>
      </c>
      <c r="AU601" s="68"/>
      <c r="AV601" s="68">
        <v>0</v>
      </c>
      <c r="AW601" s="68">
        <v>0</v>
      </c>
      <c r="AX601" s="170">
        <f t="shared" si="78"/>
        <v>8540</v>
      </c>
      <c r="AY601" s="170"/>
      <c r="AZ601" s="64" t="s">
        <v>77</v>
      </c>
      <c r="BA601" s="64" t="s">
        <v>77</v>
      </c>
      <c r="BB601" s="15" t="s">
        <v>77</v>
      </c>
      <c r="BC601" s="74">
        <v>593</v>
      </c>
      <c r="BD601" s="70"/>
      <c r="BE601" s="67"/>
      <c r="BF601" s="71"/>
      <c r="BG601" s="15"/>
      <c r="BH601" s="72" t="s">
        <v>77</v>
      </c>
      <c r="BI601" s="72" t="s">
        <v>77</v>
      </c>
    </row>
    <row r="602" spans="1:61" s="16" customFormat="1" ht="42" customHeight="1" x14ac:dyDescent="0.3">
      <c r="A602" s="26">
        <v>594</v>
      </c>
      <c r="B602" s="62">
        <v>251521</v>
      </c>
      <c r="C602" s="62">
        <v>594</v>
      </c>
      <c r="D602" s="63">
        <v>46189</v>
      </c>
      <c r="E602" s="63">
        <f t="shared" si="81"/>
        <v>46188</v>
      </c>
      <c r="F602" s="63">
        <f t="shared" si="82"/>
        <v>46199</v>
      </c>
      <c r="G602" s="63">
        <v>46281</v>
      </c>
      <c r="H602" s="63">
        <f t="shared" ca="1" si="84"/>
        <v>46277</v>
      </c>
      <c r="I602" s="63" t="s">
        <v>321</v>
      </c>
      <c r="J602" s="64" t="s">
        <v>1309</v>
      </c>
      <c r="K602" s="65">
        <f t="shared" si="83"/>
        <v>82</v>
      </c>
      <c r="L602" s="65">
        <v>1237758</v>
      </c>
      <c r="M602" s="64" t="s">
        <v>77</v>
      </c>
      <c r="N602" s="64">
        <v>839286</v>
      </c>
      <c r="O602" s="80" t="s">
        <v>246</v>
      </c>
      <c r="P602" s="103">
        <v>46258</v>
      </c>
      <c r="Q602" s="103">
        <v>46438</v>
      </c>
      <c r="R602" s="73" t="s">
        <v>211</v>
      </c>
      <c r="S602" s="66" t="s">
        <v>702</v>
      </c>
      <c r="T602" s="67">
        <v>1</v>
      </c>
      <c r="U602" s="75" t="s">
        <v>106</v>
      </c>
      <c r="V602" s="68">
        <v>47</v>
      </c>
      <c r="W602" s="68"/>
      <c r="X602" s="69">
        <v>0</v>
      </c>
      <c r="Y602" s="68">
        <v>0</v>
      </c>
      <c r="Z602" s="68">
        <v>0</v>
      </c>
      <c r="AA602" s="68">
        <v>0</v>
      </c>
      <c r="AB602" s="68">
        <v>0</v>
      </c>
      <c r="AC602" s="68"/>
      <c r="AD602" s="68">
        <v>0</v>
      </c>
      <c r="AE602" s="68">
        <v>0</v>
      </c>
      <c r="AF602" s="68">
        <v>0</v>
      </c>
      <c r="AG602" s="68">
        <v>0</v>
      </c>
      <c r="AH602" s="68">
        <v>0</v>
      </c>
      <c r="AI602" s="68"/>
      <c r="AJ602" s="68">
        <v>0</v>
      </c>
      <c r="AK602" s="68">
        <v>0</v>
      </c>
      <c r="AL602" s="68">
        <v>1</v>
      </c>
      <c r="AM602" s="68"/>
      <c r="AN602" s="68">
        <v>1</v>
      </c>
      <c r="AO602" s="68"/>
      <c r="AP602" s="68">
        <v>1</v>
      </c>
      <c r="AQ602" s="68"/>
      <c r="AR602" s="68">
        <v>0</v>
      </c>
      <c r="AS602" s="68">
        <v>0</v>
      </c>
      <c r="AT602" s="68">
        <v>0</v>
      </c>
      <c r="AU602" s="68"/>
      <c r="AV602" s="68">
        <v>0</v>
      </c>
      <c r="AW602" s="68">
        <v>0</v>
      </c>
      <c r="AX602" s="170">
        <f t="shared" si="78"/>
        <v>4100</v>
      </c>
      <c r="AY602" s="170"/>
      <c r="AZ602" s="64" t="s">
        <v>77</v>
      </c>
      <c r="BA602" s="64" t="s">
        <v>77</v>
      </c>
      <c r="BB602" s="15" t="s">
        <v>77</v>
      </c>
      <c r="BC602" s="74">
        <v>594</v>
      </c>
      <c r="BD602" s="70"/>
      <c r="BE602" s="67"/>
      <c r="BF602" s="71"/>
      <c r="BG602" s="15"/>
      <c r="BH602" s="72" t="s">
        <v>77</v>
      </c>
      <c r="BI602" s="72" t="s">
        <v>77</v>
      </c>
    </row>
    <row r="603" spans="1:61" s="16" customFormat="1" ht="42" customHeight="1" x14ac:dyDescent="0.3">
      <c r="A603" s="26">
        <v>595</v>
      </c>
      <c r="B603" s="62">
        <v>251528</v>
      </c>
      <c r="C603" s="62">
        <v>595</v>
      </c>
      <c r="D603" s="63">
        <v>46189</v>
      </c>
      <c r="E603" s="63">
        <f t="shared" si="81"/>
        <v>46188</v>
      </c>
      <c r="F603" s="63">
        <f t="shared" si="82"/>
        <v>46199</v>
      </c>
      <c r="G603" s="63">
        <v>46281</v>
      </c>
      <c r="H603" s="63">
        <f t="shared" ca="1" si="84"/>
        <v>46277</v>
      </c>
      <c r="I603" s="63" t="s">
        <v>321</v>
      </c>
      <c r="J603" s="64" t="s">
        <v>1310</v>
      </c>
      <c r="K603" s="65">
        <f t="shared" si="83"/>
        <v>82</v>
      </c>
      <c r="L603" s="65">
        <v>1237784</v>
      </c>
      <c r="M603" s="64" t="s">
        <v>77</v>
      </c>
      <c r="N603" s="64">
        <v>839286</v>
      </c>
      <c r="O603" s="80" t="s">
        <v>246</v>
      </c>
      <c r="P603" s="103">
        <v>46258</v>
      </c>
      <c r="Q603" s="103">
        <v>46438</v>
      </c>
      <c r="R603" s="73" t="s">
        <v>211</v>
      </c>
      <c r="S603" s="66" t="s">
        <v>572</v>
      </c>
      <c r="T603" s="67">
        <v>1</v>
      </c>
      <c r="U603" s="75" t="s">
        <v>106</v>
      </c>
      <c r="V603" s="68">
        <v>200</v>
      </c>
      <c r="W603" s="68"/>
      <c r="X603" s="69">
        <v>0</v>
      </c>
      <c r="Y603" s="68">
        <v>0</v>
      </c>
      <c r="Z603" s="68">
        <v>0</v>
      </c>
      <c r="AA603" s="68">
        <v>0</v>
      </c>
      <c r="AB603" s="68">
        <v>0</v>
      </c>
      <c r="AC603" s="68"/>
      <c r="AD603" s="68">
        <v>0</v>
      </c>
      <c r="AE603" s="68">
        <v>0</v>
      </c>
      <c r="AF603" s="68">
        <v>0</v>
      </c>
      <c r="AG603" s="68">
        <v>0</v>
      </c>
      <c r="AH603" s="68">
        <v>0</v>
      </c>
      <c r="AI603" s="68"/>
      <c r="AJ603" s="68">
        <v>0</v>
      </c>
      <c r="AK603" s="68">
        <v>0</v>
      </c>
      <c r="AL603" s="68">
        <v>1</v>
      </c>
      <c r="AM603" s="68"/>
      <c r="AN603" s="68">
        <v>1</v>
      </c>
      <c r="AO603" s="68"/>
      <c r="AP603" s="68">
        <v>1</v>
      </c>
      <c r="AQ603" s="68"/>
      <c r="AR603" s="68">
        <v>0</v>
      </c>
      <c r="AS603" s="68">
        <v>0</v>
      </c>
      <c r="AT603" s="68">
        <v>0</v>
      </c>
      <c r="AU603" s="68"/>
      <c r="AV603" s="68">
        <v>0</v>
      </c>
      <c r="AW603" s="68">
        <v>0</v>
      </c>
      <c r="AX603" s="170">
        <f t="shared" si="78"/>
        <v>13280</v>
      </c>
      <c r="AY603" s="170"/>
      <c r="AZ603" s="64" t="s">
        <v>77</v>
      </c>
      <c r="BA603" s="64" t="s">
        <v>77</v>
      </c>
      <c r="BB603" s="15" t="s">
        <v>77</v>
      </c>
      <c r="BC603" s="74">
        <v>595</v>
      </c>
      <c r="BD603" s="70"/>
      <c r="BE603" s="67"/>
      <c r="BF603" s="71"/>
      <c r="BG603" s="15"/>
      <c r="BH603" s="72" t="s">
        <v>77</v>
      </c>
      <c r="BI603" s="72" t="s">
        <v>77</v>
      </c>
    </row>
    <row r="604" spans="1:61" s="16" customFormat="1" ht="42" customHeight="1" x14ac:dyDescent="0.3">
      <c r="A604" s="26">
        <v>596</v>
      </c>
      <c r="B604" s="62">
        <v>251532</v>
      </c>
      <c r="C604" s="62">
        <v>596</v>
      </c>
      <c r="D604" s="63">
        <v>46189</v>
      </c>
      <c r="E604" s="63">
        <f t="shared" si="81"/>
        <v>46188</v>
      </c>
      <c r="F604" s="63">
        <f t="shared" si="82"/>
        <v>46199</v>
      </c>
      <c r="G604" s="63">
        <v>46281</v>
      </c>
      <c r="H604" s="63">
        <f t="shared" ca="1" si="84"/>
        <v>46277</v>
      </c>
      <c r="I604" s="63" t="s">
        <v>321</v>
      </c>
      <c r="J604" s="64" t="s">
        <v>1311</v>
      </c>
      <c r="K604" s="65">
        <f t="shared" si="83"/>
        <v>82</v>
      </c>
      <c r="L604" s="65">
        <v>1237830</v>
      </c>
      <c r="M604" s="64" t="s">
        <v>77</v>
      </c>
      <c r="N604" s="64">
        <v>838762</v>
      </c>
      <c r="O604" s="79" t="s">
        <v>246</v>
      </c>
      <c r="P604" s="103">
        <v>46273</v>
      </c>
      <c r="Q604" s="103">
        <v>46445</v>
      </c>
      <c r="R604" s="73" t="s">
        <v>211</v>
      </c>
      <c r="S604" s="66" t="s">
        <v>1312</v>
      </c>
      <c r="T604" s="67">
        <v>1</v>
      </c>
      <c r="U604" s="75" t="s">
        <v>82</v>
      </c>
      <c r="V604" s="68">
        <v>101</v>
      </c>
      <c r="W604" s="68"/>
      <c r="X604" s="69">
        <v>0</v>
      </c>
      <c r="Y604" s="68">
        <v>0</v>
      </c>
      <c r="Z604" s="68">
        <v>0</v>
      </c>
      <c r="AA604" s="68">
        <v>0</v>
      </c>
      <c r="AB604" s="68">
        <v>0</v>
      </c>
      <c r="AC604" s="68"/>
      <c r="AD604" s="68">
        <v>0</v>
      </c>
      <c r="AE604" s="68">
        <v>0</v>
      </c>
      <c r="AF604" s="68">
        <v>0</v>
      </c>
      <c r="AG604" s="68">
        <v>0</v>
      </c>
      <c r="AH604" s="68">
        <v>0</v>
      </c>
      <c r="AI604" s="68"/>
      <c r="AJ604" s="68">
        <v>0</v>
      </c>
      <c r="AK604" s="68">
        <v>0</v>
      </c>
      <c r="AL604" s="68">
        <v>1</v>
      </c>
      <c r="AM604" s="68"/>
      <c r="AN604" s="68">
        <v>1</v>
      </c>
      <c r="AO604" s="68"/>
      <c r="AP604" s="68">
        <v>1</v>
      </c>
      <c r="AQ604" s="68"/>
      <c r="AR604" s="68">
        <v>0</v>
      </c>
      <c r="AS604" s="68">
        <v>0</v>
      </c>
      <c r="AT604" s="68">
        <v>0</v>
      </c>
      <c r="AU604" s="68"/>
      <c r="AV604" s="68">
        <v>0</v>
      </c>
      <c r="AW604" s="68">
        <v>0</v>
      </c>
      <c r="AX604" s="170">
        <f t="shared" si="78"/>
        <v>7340</v>
      </c>
      <c r="AY604" s="170"/>
      <c r="AZ604" s="64" t="s">
        <v>77</v>
      </c>
      <c r="BA604" s="64" t="s">
        <v>77</v>
      </c>
      <c r="BB604" s="15" t="s">
        <v>77</v>
      </c>
      <c r="BC604" s="74">
        <v>596</v>
      </c>
      <c r="BD604" s="70"/>
      <c r="BE604" s="67"/>
      <c r="BF604" s="71"/>
      <c r="BG604" s="15"/>
      <c r="BH604" s="72" t="s">
        <v>77</v>
      </c>
      <c r="BI604" s="72" t="s">
        <v>77</v>
      </c>
    </row>
    <row r="605" spans="1:61" s="16" customFormat="1" ht="42" customHeight="1" x14ac:dyDescent="0.3">
      <c r="A605" s="26">
        <v>597</v>
      </c>
      <c r="B605" s="163">
        <v>251533</v>
      </c>
      <c r="C605" s="163">
        <v>597</v>
      </c>
      <c r="D605" s="164">
        <v>46189</v>
      </c>
      <c r="E605" s="164">
        <f t="shared" si="81"/>
        <v>46188</v>
      </c>
      <c r="F605" s="164">
        <f t="shared" si="82"/>
        <v>46199</v>
      </c>
      <c r="G605" s="164">
        <v>46281</v>
      </c>
      <c r="H605" s="164">
        <v>46254</v>
      </c>
      <c r="I605" s="164" t="s">
        <v>321</v>
      </c>
      <c r="J605" s="165" t="s">
        <v>1313</v>
      </c>
      <c r="K605" s="166">
        <f t="shared" si="83"/>
        <v>82</v>
      </c>
      <c r="L605" s="166">
        <v>1237836</v>
      </c>
      <c r="M605" s="165" t="s">
        <v>15</v>
      </c>
      <c r="N605" s="165">
        <v>834721</v>
      </c>
      <c r="O605" s="165" t="s">
        <v>246</v>
      </c>
      <c r="P605" s="167">
        <v>46238</v>
      </c>
      <c r="Q605" s="167">
        <v>46396</v>
      </c>
      <c r="R605" s="179" t="s">
        <v>211</v>
      </c>
      <c r="S605" s="168" t="s">
        <v>1314</v>
      </c>
      <c r="T605" s="169">
        <v>1</v>
      </c>
      <c r="U605" s="180" t="s">
        <v>81</v>
      </c>
      <c r="V605" s="170">
        <v>6</v>
      </c>
      <c r="W605" s="170">
        <v>6</v>
      </c>
      <c r="X605" s="171">
        <v>0</v>
      </c>
      <c r="Y605" s="170">
        <v>0</v>
      </c>
      <c r="Z605" s="170">
        <v>0</v>
      </c>
      <c r="AA605" s="170">
        <v>0</v>
      </c>
      <c r="AB605" s="170">
        <v>0</v>
      </c>
      <c r="AC605" s="170"/>
      <c r="AD605" s="170">
        <v>0</v>
      </c>
      <c r="AE605" s="170">
        <v>0</v>
      </c>
      <c r="AF605" s="170">
        <v>0</v>
      </c>
      <c r="AG605" s="170">
        <v>0</v>
      </c>
      <c r="AH605" s="170">
        <v>0</v>
      </c>
      <c r="AI605" s="170"/>
      <c r="AJ605" s="170">
        <v>0</v>
      </c>
      <c r="AK605" s="170">
        <v>0</v>
      </c>
      <c r="AL605" s="170">
        <v>1</v>
      </c>
      <c r="AM605" s="170">
        <v>1</v>
      </c>
      <c r="AN605" s="170">
        <v>1</v>
      </c>
      <c r="AO605" s="170">
        <v>1</v>
      </c>
      <c r="AP605" s="170">
        <v>1</v>
      </c>
      <c r="AQ605" s="170">
        <v>1</v>
      </c>
      <c r="AR605" s="170">
        <v>0</v>
      </c>
      <c r="AS605" s="170">
        <v>0</v>
      </c>
      <c r="AT605" s="170">
        <v>0</v>
      </c>
      <c r="AU605" s="170"/>
      <c r="AV605" s="170">
        <v>0</v>
      </c>
      <c r="AW605" s="170">
        <v>0</v>
      </c>
      <c r="AX605" s="170">
        <f t="shared" si="78"/>
        <v>1640</v>
      </c>
      <c r="AY605" s="170">
        <f>(W605*60)+(Y605*80)+(AA605*38)+(AC605*57)+(AE605*75)+(AG605*155)+(AI605*170)+(AK605*375)+(AM605*590)+(AO605*60)+(AQ605*630)+(AS605*400)+(AU605*350)+(AW605*950)</f>
        <v>1640</v>
      </c>
      <c r="AZ605" s="165" t="s">
        <v>15</v>
      </c>
      <c r="BA605" s="165" t="s">
        <v>77</v>
      </c>
      <c r="BB605" s="162" t="s">
        <v>77</v>
      </c>
      <c r="BC605" s="181">
        <v>597</v>
      </c>
      <c r="BD605" s="173"/>
      <c r="BE605" s="169"/>
      <c r="BF605" s="174"/>
      <c r="BG605" s="178">
        <v>46252</v>
      </c>
      <c r="BH605" s="175" t="s">
        <v>15</v>
      </c>
      <c r="BI605" s="175" t="s">
        <v>77</v>
      </c>
    </row>
    <row r="606" spans="1:61" s="16" customFormat="1" ht="42" hidden="1" customHeight="1" x14ac:dyDescent="0.3">
      <c r="A606" s="26">
        <v>598</v>
      </c>
      <c r="B606" s="138">
        <v>251537</v>
      </c>
      <c r="C606" s="138">
        <v>598</v>
      </c>
      <c r="D606" s="139">
        <v>46189</v>
      </c>
      <c r="E606" s="139">
        <f t="shared" si="81"/>
        <v>46188</v>
      </c>
      <c r="F606" s="139">
        <f t="shared" si="82"/>
        <v>46199</v>
      </c>
      <c r="G606" s="139">
        <v>46250</v>
      </c>
      <c r="H606" s="139">
        <v>46215</v>
      </c>
      <c r="I606" s="139" t="s">
        <v>123</v>
      </c>
      <c r="J606" s="140" t="s">
        <v>1315</v>
      </c>
      <c r="K606" s="141">
        <f t="shared" si="83"/>
        <v>51</v>
      </c>
      <c r="L606" s="141">
        <v>1237856</v>
      </c>
      <c r="M606" s="140" t="s">
        <v>15</v>
      </c>
      <c r="N606" s="140">
        <v>832145</v>
      </c>
      <c r="O606" s="140" t="s">
        <v>246</v>
      </c>
      <c r="P606" s="143">
        <v>46203</v>
      </c>
      <c r="Q606" s="143">
        <v>46378</v>
      </c>
      <c r="R606" s="185" t="s">
        <v>211</v>
      </c>
      <c r="S606" s="144" t="s">
        <v>1316</v>
      </c>
      <c r="T606" s="145">
        <v>1</v>
      </c>
      <c r="U606" s="186" t="s">
        <v>82</v>
      </c>
      <c r="V606" s="146">
        <v>74</v>
      </c>
      <c r="W606" s="146">
        <v>74</v>
      </c>
      <c r="X606" s="147">
        <v>0</v>
      </c>
      <c r="Y606" s="146">
        <v>0</v>
      </c>
      <c r="Z606" s="146">
        <v>0</v>
      </c>
      <c r="AA606" s="146">
        <v>0</v>
      </c>
      <c r="AB606" s="146">
        <v>12</v>
      </c>
      <c r="AC606" s="146">
        <v>12</v>
      </c>
      <c r="AD606" s="146">
        <v>0</v>
      </c>
      <c r="AE606" s="146">
        <v>0</v>
      </c>
      <c r="AF606" s="146">
        <v>0</v>
      </c>
      <c r="AG606" s="146">
        <v>0</v>
      </c>
      <c r="AH606" s="146">
        <v>1</v>
      </c>
      <c r="AI606" s="146">
        <v>1</v>
      </c>
      <c r="AJ606" s="146">
        <v>0</v>
      </c>
      <c r="AK606" s="146">
        <v>0</v>
      </c>
      <c r="AL606" s="146">
        <v>2</v>
      </c>
      <c r="AM606" s="146">
        <v>2</v>
      </c>
      <c r="AN606" s="146">
        <v>1</v>
      </c>
      <c r="AO606" s="146">
        <v>1</v>
      </c>
      <c r="AP606" s="146">
        <v>1</v>
      </c>
      <c r="AQ606" s="146">
        <v>1</v>
      </c>
      <c r="AR606" s="146">
        <v>0</v>
      </c>
      <c r="AS606" s="146">
        <v>0</v>
      </c>
      <c r="AT606" s="146">
        <v>1</v>
      </c>
      <c r="AU606" s="146">
        <v>1</v>
      </c>
      <c r="AV606" s="146">
        <v>0</v>
      </c>
      <c r="AW606" s="146">
        <v>0</v>
      </c>
      <c r="AX606" s="146">
        <f t="shared" si="78"/>
        <v>7514</v>
      </c>
      <c r="AY606" s="146">
        <f>(W606*60)+(Y606*80)+(AA606*38)+(AC606*57)+(AE606*75)+(AG606*155)+(AI606*170)+(AK606*375)+(AM606*590)+(AO606*60)+(AQ606*630)+(AS606*400)+(AU606*350)+(AW606*950)</f>
        <v>7514</v>
      </c>
      <c r="AZ606" s="140" t="s">
        <v>562</v>
      </c>
      <c r="BA606" s="140" t="s">
        <v>562</v>
      </c>
      <c r="BB606" s="137">
        <v>13</v>
      </c>
      <c r="BC606" s="187">
        <v>598</v>
      </c>
      <c r="BD606" s="149"/>
      <c r="BE606" s="145"/>
      <c r="BF606" s="150"/>
      <c r="BG606" s="188">
        <v>46210</v>
      </c>
      <c r="BH606" s="153" t="s">
        <v>15</v>
      </c>
      <c r="BI606" s="153" t="s">
        <v>562</v>
      </c>
    </row>
    <row r="607" spans="1:61" s="16" customFormat="1" ht="42" customHeight="1" x14ac:dyDescent="0.3">
      <c r="A607" s="26">
        <v>599</v>
      </c>
      <c r="B607" s="62">
        <v>251538</v>
      </c>
      <c r="C607" s="62">
        <v>599</v>
      </c>
      <c r="D607" s="63">
        <v>46189</v>
      </c>
      <c r="E607" s="63">
        <f t="shared" si="81"/>
        <v>46188</v>
      </c>
      <c r="F607" s="63">
        <f t="shared" si="82"/>
        <v>46199</v>
      </c>
      <c r="G607" s="63">
        <v>46281</v>
      </c>
      <c r="H607" s="63">
        <f ca="1">TODAY()</f>
        <v>46277</v>
      </c>
      <c r="I607" s="63" t="s">
        <v>321</v>
      </c>
      <c r="J607" s="64" t="s">
        <v>1317</v>
      </c>
      <c r="K607" s="65">
        <f t="shared" si="83"/>
        <v>82</v>
      </c>
      <c r="L607" s="65">
        <v>1237859</v>
      </c>
      <c r="M607" s="64" t="s">
        <v>77</v>
      </c>
      <c r="N607" s="64">
        <v>838762</v>
      </c>
      <c r="O607" s="79" t="s">
        <v>246</v>
      </c>
      <c r="P607" s="103">
        <v>46273</v>
      </c>
      <c r="Q607" s="103">
        <v>46445</v>
      </c>
      <c r="R607" s="73" t="s">
        <v>211</v>
      </c>
      <c r="S607" s="66" t="s">
        <v>1318</v>
      </c>
      <c r="T607" s="67">
        <v>1</v>
      </c>
      <c r="U607" s="75" t="s">
        <v>82</v>
      </c>
      <c r="V607" s="68">
        <v>77</v>
      </c>
      <c r="W607" s="68"/>
      <c r="X607" s="69">
        <v>0</v>
      </c>
      <c r="Y607" s="68">
        <v>0</v>
      </c>
      <c r="Z607" s="68">
        <v>0</v>
      </c>
      <c r="AA607" s="68">
        <v>0</v>
      </c>
      <c r="AB607" s="68">
        <v>0</v>
      </c>
      <c r="AC607" s="68"/>
      <c r="AD607" s="68">
        <v>0</v>
      </c>
      <c r="AE607" s="68">
        <v>0</v>
      </c>
      <c r="AF607" s="68">
        <v>0</v>
      </c>
      <c r="AG607" s="68">
        <v>0</v>
      </c>
      <c r="AH607" s="68">
        <v>0</v>
      </c>
      <c r="AI607" s="68"/>
      <c r="AJ607" s="68">
        <v>0</v>
      </c>
      <c r="AK607" s="68">
        <v>0</v>
      </c>
      <c r="AL607" s="68">
        <v>1</v>
      </c>
      <c r="AM607" s="68"/>
      <c r="AN607" s="68">
        <v>1</v>
      </c>
      <c r="AO607" s="68"/>
      <c r="AP607" s="68">
        <v>1</v>
      </c>
      <c r="AQ607" s="68"/>
      <c r="AR607" s="68">
        <v>0</v>
      </c>
      <c r="AS607" s="68">
        <v>0</v>
      </c>
      <c r="AT607" s="68">
        <v>0</v>
      </c>
      <c r="AU607" s="68"/>
      <c r="AV607" s="68">
        <v>0</v>
      </c>
      <c r="AW607" s="68">
        <v>0</v>
      </c>
      <c r="AX607" s="170">
        <f t="shared" si="78"/>
        <v>5900</v>
      </c>
      <c r="AY607" s="170"/>
      <c r="AZ607" s="64" t="s">
        <v>77</v>
      </c>
      <c r="BA607" s="64" t="s">
        <v>77</v>
      </c>
      <c r="BB607" s="15" t="s">
        <v>77</v>
      </c>
      <c r="BC607" s="74">
        <v>599</v>
      </c>
      <c r="BD607" s="70"/>
      <c r="BE607" s="67"/>
      <c r="BF607" s="71"/>
      <c r="BG607" s="15"/>
      <c r="BH607" s="72" t="s">
        <v>77</v>
      </c>
      <c r="BI607" s="72" t="s">
        <v>77</v>
      </c>
    </row>
    <row r="608" spans="1:61" s="16" customFormat="1" ht="42" customHeight="1" x14ac:dyDescent="0.3">
      <c r="A608" s="26">
        <v>600</v>
      </c>
      <c r="B608" s="62">
        <v>251539</v>
      </c>
      <c r="C608" s="62">
        <v>600</v>
      </c>
      <c r="D608" s="63">
        <v>46189</v>
      </c>
      <c r="E608" s="63">
        <f t="shared" si="81"/>
        <v>46188</v>
      </c>
      <c r="F608" s="63">
        <f t="shared" si="82"/>
        <v>46199</v>
      </c>
      <c r="G608" s="63">
        <v>46281</v>
      </c>
      <c r="H608" s="63">
        <f ca="1">TODAY()</f>
        <v>46277</v>
      </c>
      <c r="I608" s="63" t="s">
        <v>321</v>
      </c>
      <c r="J608" s="64" t="s">
        <v>1319</v>
      </c>
      <c r="K608" s="65">
        <f t="shared" si="83"/>
        <v>82</v>
      </c>
      <c r="L608" s="65">
        <v>1237861</v>
      </c>
      <c r="M608" s="64" t="s">
        <v>77</v>
      </c>
      <c r="N608" s="64">
        <v>838762</v>
      </c>
      <c r="O608" s="79" t="s">
        <v>246</v>
      </c>
      <c r="P608" s="103">
        <v>46273</v>
      </c>
      <c r="Q608" s="103">
        <v>46445</v>
      </c>
      <c r="R608" s="73" t="s">
        <v>211</v>
      </c>
      <c r="S608" s="66" t="s">
        <v>229</v>
      </c>
      <c r="T608" s="67">
        <v>1</v>
      </c>
      <c r="U608" s="75" t="s">
        <v>82</v>
      </c>
      <c r="V608" s="68">
        <v>48</v>
      </c>
      <c r="W608" s="68"/>
      <c r="X608" s="69">
        <v>0</v>
      </c>
      <c r="Y608" s="68">
        <v>0</v>
      </c>
      <c r="Z608" s="68">
        <v>0</v>
      </c>
      <c r="AA608" s="68">
        <v>0</v>
      </c>
      <c r="AB608" s="68">
        <v>0</v>
      </c>
      <c r="AC608" s="68"/>
      <c r="AD608" s="68">
        <v>0</v>
      </c>
      <c r="AE608" s="68">
        <v>0</v>
      </c>
      <c r="AF608" s="68">
        <v>0</v>
      </c>
      <c r="AG608" s="68">
        <v>0</v>
      </c>
      <c r="AH608" s="68">
        <v>0</v>
      </c>
      <c r="AI608" s="68"/>
      <c r="AJ608" s="68">
        <v>0</v>
      </c>
      <c r="AK608" s="68">
        <v>0</v>
      </c>
      <c r="AL608" s="68">
        <v>1</v>
      </c>
      <c r="AM608" s="68"/>
      <c r="AN608" s="68">
        <v>1</v>
      </c>
      <c r="AO608" s="68"/>
      <c r="AP608" s="68">
        <v>1</v>
      </c>
      <c r="AQ608" s="68"/>
      <c r="AR608" s="68">
        <v>0</v>
      </c>
      <c r="AS608" s="68">
        <v>0</v>
      </c>
      <c r="AT608" s="68">
        <v>0</v>
      </c>
      <c r="AU608" s="68"/>
      <c r="AV608" s="68">
        <v>0</v>
      </c>
      <c r="AW608" s="68">
        <v>0</v>
      </c>
      <c r="AX608" s="170">
        <f t="shared" si="78"/>
        <v>4160</v>
      </c>
      <c r="AY608" s="170"/>
      <c r="AZ608" s="64" t="s">
        <v>77</v>
      </c>
      <c r="BA608" s="64" t="s">
        <v>77</v>
      </c>
      <c r="BB608" s="15" t="s">
        <v>77</v>
      </c>
      <c r="BC608" s="74">
        <v>600</v>
      </c>
      <c r="BD608" s="70"/>
      <c r="BE608" s="67"/>
      <c r="BF608" s="71"/>
      <c r="BG608" s="15"/>
      <c r="BH608" s="72" t="s">
        <v>77</v>
      </c>
      <c r="BI608" s="72" t="s">
        <v>77</v>
      </c>
    </row>
    <row r="609" spans="1:61" s="16" customFormat="1" ht="42" hidden="1" customHeight="1" x14ac:dyDescent="0.3">
      <c r="A609" s="26">
        <v>601</v>
      </c>
      <c r="B609" s="138">
        <v>251558</v>
      </c>
      <c r="C609" s="138">
        <v>601</v>
      </c>
      <c r="D609" s="139">
        <v>46190</v>
      </c>
      <c r="E609" s="139">
        <f t="shared" si="81"/>
        <v>46189</v>
      </c>
      <c r="F609" s="139">
        <f t="shared" si="82"/>
        <v>46200</v>
      </c>
      <c r="G609" s="139">
        <v>46251</v>
      </c>
      <c r="H609" s="139">
        <v>46225</v>
      </c>
      <c r="I609" s="139" t="s">
        <v>123</v>
      </c>
      <c r="J609" s="140" t="s">
        <v>1320</v>
      </c>
      <c r="K609" s="141">
        <f t="shared" si="83"/>
        <v>51</v>
      </c>
      <c r="L609" s="141">
        <v>1238109</v>
      </c>
      <c r="M609" s="140" t="s">
        <v>15</v>
      </c>
      <c r="N609" s="140" t="s">
        <v>1454</v>
      </c>
      <c r="O609" s="140" t="s">
        <v>246</v>
      </c>
      <c r="P609" s="143">
        <v>46203</v>
      </c>
      <c r="Q609" s="143">
        <v>46381</v>
      </c>
      <c r="R609" s="185" t="s">
        <v>211</v>
      </c>
      <c r="S609" s="144" t="s">
        <v>970</v>
      </c>
      <c r="T609" s="145">
        <v>1</v>
      </c>
      <c r="U609" s="186" t="s">
        <v>82</v>
      </c>
      <c r="V609" s="146">
        <v>113</v>
      </c>
      <c r="W609" s="146">
        <v>113</v>
      </c>
      <c r="X609" s="147">
        <v>0</v>
      </c>
      <c r="Y609" s="146">
        <v>0</v>
      </c>
      <c r="Z609" s="146">
        <v>0</v>
      </c>
      <c r="AA609" s="146">
        <v>0</v>
      </c>
      <c r="AB609" s="146">
        <v>5</v>
      </c>
      <c r="AC609" s="146">
        <v>5</v>
      </c>
      <c r="AD609" s="146">
        <v>0</v>
      </c>
      <c r="AE609" s="146">
        <v>0</v>
      </c>
      <c r="AF609" s="146">
        <v>0</v>
      </c>
      <c r="AG609" s="146">
        <v>0</v>
      </c>
      <c r="AH609" s="146">
        <v>1</v>
      </c>
      <c r="AI609" s="146">
        <v>1</v>
      </c>
      <c r="AJ609" s="146">
        <v>0</v>
      </c>
      <c r="AK609" s="146">
        <v>0</v>
      </c>
      <c r="AL609" s="146">
        <v>1</v>
      </c>
      <c r="AM609" s="146">
        <v>1</v>
      </c>
      <c r="AN609" s="146">
        <v>2</v>
      </c>
      <c r="AO609" s="146">
        <v>2</v>
      </c>
      <c r="AP609" s="146">
        <v>2</v>
      </c>
      <c r="AQ609" s="146">
        <v>2</v>
      </c>
      <c r="AR609" s="146">
        <v>0</v>
      </c>
      <c r="AS609" s="146">
        <v>0</v>
      </c>
      <c r="AT609" s="146">
        <v>1</v>
      </c>
      <c r="AU609" s="146">
        <v>1</v>
      </c>
      <c r="AV609" s="146">
        <v>0</v>
      </c>
      <c r="AW609" s="146">
        <v>0</v>
      </c>
      <c r="AX609" s="146">
        <f t="shared" si="78"/>
        <v>9555</v>
      </c>
      <c r="AY609" s="146">
        <f>(W609*60)+(Y609*80)+(AA609*38)+(AC609*57)+(AE609*75)+(AG609*155)+(AI609*170)+(AK609*375)+(AM609*590)+(AO609*60)+(AQ609*630)+(AS609*400)+(AU609*350)+(AW609*950)</f>
        <v>9555</v>
      </c>
      <c r="AZ609" s="140" t="s">
        <v>562</v>
      </c>
      <c r="BA609" s="140" t="s">
        <v>562</v>
      </c>
      <c r="BB609" s="137">
        <v>13</v>
      </c>
      <c r="BC609" s="187">
        <v>601</v>
      </c>
      <c r="BD609" s="149"/>
      <c r="BE609" s="145"/>
      <c r="BF609" s="150"/>
      <c r="BG609" s="188">
        <v>46215</v>
      </c>
      <c r="BH609" s="153" t="s">
        <v>15</v>
      </c>
      <c r="BI609" s="153" t="s">
        <v>562</v>
      </c>
    </row>
    <row r="610" spans="1:61" s="16" customFormat="1" ht="42" customHeight="1" x14ac:dyDescent="0.3">
      <c r="A610" s="26">
        <v>602</v>
      </c>
      <c r="B610" s="62">
        <v>251578</v>
      </c>
      <c r="C610" s="62">
        <v>602</v>
      </c>
      <c r="D610" s="63">
        <v>46190</v>
      </c>
      <c r="E610" s="63">
        <f t="shared" si="81"/>
        <v>46189</v>
      </c>
      <c r="F610" s="63">
        <f t="shared" si="82"/>
        <v>46200</v>
      </c>
      <c r="G610" s="63">
        <v>46282</v>
      </c>
      <c r="H610" s="63">
        <f ca="1">TODAY()</f>
        <v>46277</v>
      </c>
      <c r="I610" s="63" t="s">
        <v>321</v>
      </c>
      <c r="J610" s="64" t="s">
        <v>1321</v>
      </c>
      <c r="K610" s="65">
        <f t="shared" si="83"/>
        <v>82</v>
      </c>
      <c r="L610" s="65">
        <v>1238240</v>
      </c>
      <c r="M610" s="64" t="s">
        <v>77</v>
      </c>
      <c r="N610" s="64">
        <v>839315</v>
      </c>
      <c r="O610" s="80" t="s">
        <v>246</v>
      </c>
      <c r="P610" s="103">
        <v>46266</v>
      </c>
      <c r="Q610" s="103">
        <v>46436</v>
      </c>
      <c r="R610" s="73" t="s">
        <v>211</v>
      </c>
      <c r="S610" s="66" t="s">
        <v>1323</v>
      </c>
      <c r="T610" s="67">
        <v>1</v>
      </c>
      <c r="U610" s="75" t="s">
        <v>128</v>
      </c>
      <c r="V610" s="68">
        <v>12</v>
      </c>
      <c r="W610" s="68"/>
      <c r="X610" s="69">
        <v>0</v>
      </c>
      <c r="Y610" s="68">
        <v>0</v>
      </c>
      <c r="Z610" s="68">
        <v>0</v>
      </c>
      <c r="AA610" s="68">
        <v>0</v>
      </c>
      <c r="AB610" s="68">
        <v>0</v>
      </c>
      <c r="AC610" s="68"/>
      <c r="AD610" s="68">
        <v>0</v>
      </c>
      <c r="AE610" s="68">
        <v>0</v>
      </c>
      <c r="AF610" s="68">
        <v>0</v>
      </c>
      <c r="AG610" s="68">
        <v>0</v>
      </c>
      <c r="AH610" s="68">
        <v>0</v>
      </c>
      <c r="AI610" s="68"/>
      <c r="AJ610" s="68">
        <v>0</v>
      </c>
      <c r="AK610" s="68">
        <v>0</v>
      </c>
      <c r="AL610" s="68">
        <v>1</v>
      </c>
      <c r="AM610" s="68"/>
      <c r="AN610" s="68">
        <v>1</v>
      </c>
      <c r="AO610" s="68"/>
      <c r="AP610" s="68">
        <v>1</v>
      </c>
      <c r="AQ610" s="68"/>
      <c r="AR610" s="68">
        <v>0</v>
      </c>
      <c r="AS610" s="68">
        <v>0</v>
      </c>
      <c r="AT610" s="68">
        <v>0</v>
      </c>
      <c r="AU610" s="68"/>
      <c r="AV610" s="68">
        <v>0</v>
      </c>
      <c r="AW610" s="68">
        <v>0</v>
      </c>
      <c r="AX610" s="170">
        <f t="shared" si="78"/>
        <v>2000</v>
      </c>
      <c r="AY610" s="170"/>
      <c r="AZ610" s="64" t="s">
        <v>77</v>
      </c>
      <c r="BA610" s="64" t="s">
        <v>77</v>
      </c>
      <c r="BB610" s="15" t="s">
        <v>77</v>
      </c>
      <c r="BC610" s="74">
        <v>602</v>
      </c>
      <c r="BD610" s="70"/>
      <c r="BE610" s="67"/>
      <c r="BF610" s="71"/>
      <c r="BG610" s="15"/>
      <c r="BH610" s="72" t="s">
        <v>77</v>
      </c>
      <c r="BI610" s="72" t="s">
        <v>77</v>
      </c>
    </row>
    <row r="611" spans="1:61" s="16" customFormat="1" ht="42" customHeight="1" x14ac:dyDescent="0.3">
      <c r="A611" s="26">
        <v>603</v>
      </c>
      <c r="B611" s="62">
        <v>251594</v>
      </c>
      <c r="C611" s="62">
        <v>603</v>
      </c>
      <c r="D611" s="63">
        <v>46190</v>
      </c>
      <c r="E611" s="63">
        <f t="shared" si="81"/>
        <v>46189</v>
      </c>
      <c r="F611" s="63">
        <f t="shared" si="82"/>
        <v>46200</v>
      </c>
      <c r="G611" s="63">
        <v>46282</v>
      </c>
      <c r="H611" s="63">
        <f ca="1">TODAY()</f>
        <v>46277</v>
      </c>
      <c r="I611" s="63" t="s">
        <v>321</v>
      </c>
      <c r="J611" s="64" t="s">
        <v>1322</v>
      </c>
      <c r="K611" s="65">
        <f t="shared" si="83"/>
        <v>82</v>
      </c>
      <c r="L611" s="65">
        <v>1238259</v>
      </c>
      <c r="M611" s="64" t="s">
        <v>77</v>
      </c>
      <c r="N611" s="64">
        <v>839286</v>
      </c>
      <c r="O611" s="80" t="s">
        <v>246</v>
      </c>
      <c r="P611" s="103">
        <v>46258</v>
      </c>
      <c r="Q611" s="103">
        <v>46438</v>
      </c>
      <c r="R611" s="73" t="s">
        <v>211</v>
      </c>
      <c r="S611" s="66" t="s">
        <v>1324</v>
      </c>
      <c r="T611" s="67">
        <v>1</v>
      </c>
      <c r="U611" s="75" t="s">
        <v>106</v>
      </c>
      <c r="V611" s="68">
        <v>80</v>
      </c>
      <c r="W611" s="68"/>
      <c r="X611" s="69">
        <v>0</v>
      </c>
      <c r="Y611" s="68">
        <v>0</v>
      </c>
      <c r="Z611" s="68">
        <v>0</v>
      </c>
      <c r="AA611" s="68">
        <v>0</v>
      </c>
      <c r="AB611" s="68">
        <v>0</v>
      </c>
      <c r="AC611" s="68"/>
      <c r="AD611" s="68">
        <v>0</v>
      </c>
      <c r="AE611" s="68">
        <v>0</v>
      </c>
      <c r="AF611" s="68">
        <v>0</v>
      </c>
      <c r="AG611" s="68">
        <v>0</v>
      </c>
      <c r="AH611" s="68">
        <v>0</v>
      </c>
      <c r="AI611" s="68"/>
      <c r="AJ611" s="68">
        <v>0</v>
      </c>
      <c r="AK611" s="68">
        <v>0</v>
      </c>
      <c r="AL611" s="68">
        <v>1</v>
      </c>
      <c r="AM611" s="68"/>
      <c r="AN611" s="68">
        <v>1</v>
      </c>
      <c r="AO611" s="68"/>
      <c r="AP611" s="68">
        <v>1</v>
      </c>
      <c r="AQ611" s="68"/>
      <c r="AR611" s="68">
        <v>0</v>
      </c>
      <c r="AS611" s="68">
        <v>0</v>
      </c>
      <c r="AT611" s="68">
        <v>0</v>
      </c>
      <c r="AU611" s="68"/>
      <c r="AV611" s="68">
        <v>0</v>
      </c>
      <c r="AW611" s="68">
        <v>0</v>
      </c>
      <c r="AX611" s="170">
        <f t="shared" si="78"/>
        <v>6080</v>
      </c>
      <c r="AY611" s="170"/>
      <c r="AZ611" s="64" t="s">
        <v>77</v>
      </c>
      <c r="BA611" s="64" t="s">
        <v>77</v>
      </c>
      <c r="BB611" s="15" t="s">
        <v>77</v>
      </c>
      <c r="BC611" s="74">
        <v>603</v>
      </c>
      <c r="BD611" s="70"/>
      <c r="BE611" s="67"/>
      <c r="BF611" s="71"/>
      <c r="BG611" s="15"/>
      <c r="BH611" s="72" t="s">
        <v>77</v>
      </c>
      <c r="BI611" s="72" t="s">
        <v>77</v>
      </c>
    </row>
    <row r="612" spans="1:61" s="16" customFormat="1" ht="42" customHeight="1" x14ac:dyDescent="0.3">
      <c r="A612" s="26">
        <v>604</v>
      </c>
      <c r="B612" s="163">
        <v>251596</v>
      </c>
      <c r="C612" s="163">
        <v>604</v>
      </c>
      <c r="D612" s="164">
        <v>46190</v>
      </c>
      <c r="E612" s="164">
        <f t="shared" si="81"/>
        <v>46189</v>
      </c>
      <c r="F612" s="164">
        <f t="shared" si="82"/>
        <v>46200</v>
      </c>
      <c r="G612" s="164">
        <v>46251</v>
      </c>
      <c r="H612" s="164">
        <v>46225</v>
      </c>
      <c r="I612" s="164" t="s">
        <v>123</v>
      </c>
      <c r="J612" s="165" t="s">
        <v>1325</v>
      </c>
      <c r="K612" s="166">
        <f t="shared" si="83"/>
        <v>51</v>
      </c>
      <c r="L612" s="166">
        <v>1238265</v>
      </c>
      <c r="M612" s="165" t="s">
        <v>15</v>
      </c>
      <c r="N612" s="165">
        <v>832449</v>
      </c>
      <c r="O612" s="165" t="s">
        <v>246</v>
      </c>
      <c r="P612" s="167">
        <v>46203</v>
      </c>
      <c r="Q612" s="167">
        <v>46381</v>
      </c>
      <c r="R612" s="179" t="s">
        <v>211</v>
      </c>
      <c r="S612" s="168" t="s">
        <v>1326</v>
      </c>
      <c r="T612" s="169">
        <v>1</v>
      </c>
      <c r="U612" s="180" t="s">
        <v>82</v>
      </c>
      <c r="V612" s="170">
        <v>72</v>
      </c>
      <c r="W612" s="170">
        <v>72</v>
      </c>
      <c r="X612" s="171">
        <v>0</v>
      </c>
      <c r="Y612" s="170">
        <v>0</v>
      </c>
      <c r="Z612" s="170">
        <v>0</v>
      </c>
      <c r="AA612" s="170">
        <v>0</v>
      </c>
      <c r="AB612" s="170">
        <v>40</v>
      </c>
      <c r="AC612" s="170">
        <v>40</v>
      </c>
      <c r="AD612" s="170">
        <v>0</v>
      </c>
      <c r="AE612" s="170">
        <v>0</v>
      </c>
      <c r="AF612" s="170">
        <v>0</v>
      </c>
      <c r="AG612" s="170">
        <v>0</v>
      </c>
      <c r="AH612" s="170">
        <v>1</v>
      </c>
      <c r="AI612" s="170">
        <v>1</v>
      </c>
      <c r="AJ612" s="170">
        <v>0</v>
      </c>
      <c r="AK612" s="170">
        <v>0</v>
      </c>
      <c r="AL612" s="170">
        <v>0</v>
      </c>
      <c r="AM612" s="170">
        <v>0</v>
      </c>
      <c r="AN612" s="170">
        <v>1</v>
      </c>
      <c r="AO612" s="170">
        <v>1</v>
      </c>
      <c r="AP612" s="170">
        <v>2</v>
      </c>
      <c r="AQ612" s="170">
        <v>2</v>
      </c>
      <c r="AR612" s="170">
        <v>0</v>
      </c>
      <c r="AS612" s="170">
        <v>0</v>
      </c>
      <c r="AT612" s="170">
        <v>1</v>
      </c>
      <c r="AU612" s="170">
        <v>1</v>
      </c>
      <c r="AV612" s="170">
        <v>0</v>
      </c>
      <c r="AW612" s="170">
        <v>0</v>
      </c>
      <c r="AX612" s="170">
        <f t="shared" si="78"/>
        <v>8440</v>
      </c>
      <c r="AY612" s="170">
        <f>(W612*60)+(Y612*80)+(AA612*38)+(AC612*57)+(AE612*75)+(AG612*155)+(AI612*170)+(AK612*375)+(AM612*590)+(AO612*60)+(AQ612*630)+(AS612*400)+(AU612*350)+(AW612*950)</f>
        <v>8440</v>
      </c>
      <c r="AZ612" s="165" t="s">
        <v>15</v>
      </c>
      <c r="BA612" s="165" t="s">
        <v>77</v>
      </c>
      <c r="BB612" s="162" t="s">
        <v>77</v>
      </c>
      <c r="BC612" s="181">
        <v>604</v>
      </c>
      <c r="BD612" s="173"/>
      <c r="BE612" s="169"/>
      <c r="BF612" s="174"/>
      <c r="BG612" s="178">
        <v>46210</v>
      </c>
      <c r="BH612" s="175" t="s">
        <v>77</v>
      </c>
      <c r="BI612" s="175" t="s">
        <v>77</v>
      </c>
    </row>
    <row r="613" spans="1:61" s="16" customFormat="1" ht="42" customHeight="1" x14ac:dyDescent="0.3">
      <c r="A613" s="26">
        <v>605</v>
      </c>
      <c r="B613" s="163">
        <v>251598</v>
      </c>
      <c r="C613" s="163">
        <v>605</v>
      </c>
      <c r="D613" s="164">
        <v>46190</v>
      </c>
      <c r="E613" s="164">
        <f t="shared" si="81"/>
        <v>46189</v>
      </c>
      <c r="F613" s="164">
        <f t="shared" si="82"/>
        <v>46200</v>
      </c>
      <c r="G613" s="164">
        <v>46251</v>
      </c>
      <c r="H613" s="164">
        <v>46265</v>
      </c>
      <c r="I613" s="164" t="s">
        <v>123</v>
      </c>
      <c r="J613" s="165" t="s">
        <v>1327</v>
      </c>
      <c r="K613" s="166">
        <f t="shared" si="83"/>
        <v>51</v>
      </c>
      <c r="L613" s="166">
        <v>1238268</v>
      </c>
      <c r="M613" s="165" t="s">
        <v>15</v>
      </c>
      <c r="N613" s="165">
        <v>832450</v>
      </c>
      <c r="O613" s="165" t="s">
        <v>246</v>
      </c>
      <c r="P613" s="167">
        <v>46223</v>
      </c>
      <c r="Q613" s="167">
        <v>46383</v>
      </c>
      <c r="R613" s="179" t="s">
        <v>211</v>
      </c>
      <c r="S613" s="168" t="s">
        <v>1328</v>
      </c>
      <c r="T613" s="169">
        <v>1</v>
      </c>
      <c r="U613" s="180" t="s">
        <v>1145</v>
      </c>
      <c r="V613" s="170">
        <v>88</v>
      </c>
      <c r="W613" s="170">
        <v>88</v>
      </c>
      <c r="X613" s="171">
        <v>23</v>
      </c>
      <c r="Y613" s="170">
        <v>23</v>
      </c>
      <c r="Z613" s="170">
        <v>0</v>
      </c>
      <c r="AA613" s="170">
        <v>0</v>
      </c>
      <c r="AB613" s="170">
        <v>36</v>
      </c>
      <c r="AC613" s="170">
        <v>36</v>
      </c>
      <c r="AD613" s="170">
        <v>0</v>
      </c>
      <c r="AE613" s="170">
        <v>0</v>
      </c>
      <c r="AF613" s="170">
        <v>47</v>
      </c>
      <c r="AG613" s="170">
        <v>47</v>
      </c>
      <c r="AH613" s="170">
        <v>1</v>
      </c>
      <c r="AI613" s="170">
        <v>1</v>
      </c>
      <c r="AJ613" s="170">
        <v>1</v>
      </c>
      <c r="AK613" s="170">
        <v>1</v>
      </c>
      <c r="AL613" s="170">
        <v>0</v>
      </c>
      <c r="AM613" s="170">
        <v>0</v>
      </c>
      <c r="AN613" s="170">
        <v>1</v>
      </c>
      <c r="AO613" s="170">
        <v>1</v>
      </c>
      <c r="AP613" s="170">
        <v>2</v>
      </c>
      <c r="AQ613" s="170">
        <v>2</v>
      </c>
      <c r="AR613" s="170">
        <v>0</v>
      </c>
      <c r="AS613" s="170">
        <v>0</v>
      </c>
      <c r="AT613" s="170">
        <v>0</v>
      </c>
      <c r="AU613" s="170">
        <v>0</v>
      </c>
      <c r="AV613" s="170">
        <v>1</v>
      </c>
      <c r="AW613" s="170">
        <v>1</v>
      </c>
      <c r="AX613" s="170">
        <f t="shared" si="78"/>
        <v>19272</v>
      </c>
      <c r="AY613" s="170">
        <f t="shared" si="78"/>
        <v>19272</v>
      </c>
      <c r="AZ613" s="165" t="s">
        <v>15</v>
      </c>
      <c r="BA613" s="165" t="s">
        <v>77</v>
      </c>
      <c r="BB613" s="162" t="s">
        <v>77</v>
      </c>
      <c r="BC613" s="181">
        <v>605</v>
      </c>
      <c r="BD613" s="173"/>
      <c r="BE613" s="169"/>
      <c r="BF613" s="174"/>
      <c r="BG613" s="178">
        <v>46265</v>
      </c>
      <c r="BH613" s="175" t="s">
        <v>77</v>
      </c>
      <c r="BI613" s="175" t="s">
        <v>77</v>
      </c>
    </row>
    <row r="614" spans="1:61" s="16" customFormat="1" ht="42" customHeight="1" x14ac:dyDescent="0.3">
      <c r="A614" s="26">
        <v>605</v>
      </c>
      <c r="B614" s="163">
        <v>251598</v>
      </c>
      <c r="C614" s="163" t="s">
        <v>1590</v>
      </c>
      <c r="D614" s="164">
        <v>46190</v>
      </c>
      <c r="E614" s="164">
        <f t="shared" si="81"/>
        <v>46189</v>
      </c>
      <c r="F614" s="164">
        <f t="shared" si="82"/>
        <v>46200</v>
      </c>
      <c r="G614" s="164">
        <v>46251</v>
      </c>
      <c r="H614" s="164">
        <v>46265</v>
      </c>
      <c r="I614" s="164" t="s">
        <v>123</v>
      </c>
      <c r="J614" s="165" t="s">
        <v>1327</v>
      </c>
      <c r="K614" s="166">
        <f t="shared" si="83"/>
        <v>51</v>
      </c>
      <c r="L614" s="166">
        <v>1238268</v>
      </c>
      <c r="M614" s="165" t="s">
        <v>15</v>
      </c>
      <c r="N614" s="165">
        <v>832450</v>
      </c>
      <c r="O614" s="165" t="s">
        <v>246</v>
      </c>
      <c r="P614" s="167">
        <v>46223</v>
      </c>
      <c r="Q614" s="167">
        <v>46383</v>
      </c>
      <c r="R614" s="179" t="s">
        <v>211</v>
      </c>
      <c r="S614" s="168" t="s">
        <v>1328</v>
      </c>
      <c r="T614" s="169">
        <v>1</v>
      </c>
      <c r="U614" s="180" t="s">
        <v>1145</v>
      </c>
      <c r="V614" s="170">
        <v>20</v>
      </c>
      <c r="W614" s="170">
        <v>20</v>
      </c>
      <c r="X614" s="171">
        <v>0</v>
      </c>
      <c r="Y614" s="170">
        <v>0</v>
      </c>
      <c r="Z614" s="170">
        <v>0</v>
      </c>
      <c r="AA614" s="170">
        <v>0</v>
      </c>
      <c r="AB614" s="170">
        <v>20</v>
      </c>
      <c r="AC614" s="170">
        <v>20</v>
      </c>
      <c r="AD614" s="170">
        <v>0</v>
      </c>
      <c r="AE614" s="170">
        <v>0</v>
      </c>
      <c r="AF614" s="170">
        <v>0</v>
      </c>
      <c r="AG614" s="170">
        <v>0</v>
      </c>
      <c r="AH614" s="170">
        <v>0</v>
      </c>
      <c r="AI614" s="170">
        <v>0</v>
      </c>
      <c r="AJ614" s="170">
        <v>0</v>
      </c>
      <c r="AK614" s="170">
        <v>0</v>
      </c>
      <c r="AL614" s="170">
        <v>1</v>
      </c>
      <c r="AM614" s="170">
        <v>1</v>
      </c>
      <c r="AN614" s="170">
        <v>2</v>
      </c>
      <c r="AO614" s="170">
        <v>2</v>
      </c>
      <c r="AP614" s="170">
        <v>1</v>
      </c>
      <c r="AQ614" s="170">
        <v>1</v>
      </c>
      <c r="AR614" s="170">
        <v>0</v>
      </c>
      <c r="AS614" s="170">
        <v>0</v>
      </c>
      <c r="AT614" s="170">
        <v>0</v>
      </c>
      <c r="AU614" s="170">
        <v>0</v>
      </c>
      <c r="AV614" s="170">
        <v>0</v>
      </c>
      <c r="AW614" s="170">
        <v>0</v>
      </c>
      <c r="AX614" s="170">
        <f t="shared" si="78"/>
        <v>3680</v>
      </c>
      <c r="AY614" s="170">
        <f t="shared" si="78"/>
        <v>3680</v>
      </c>
      <c r="AZ614" s="165" t="s">
        <v>15</v>
      </c>
      <c r="BA614" s="165" t="s">
        <v>77</v>
      </c>
      <c r="BB614" s="162" t="s">
        <v>77</v>
      </c>
      <c r="BC614" s="181">
        <v>605</v>
      </c>
      <c r="BD614" s="173"/>
      <c r="BE614" s="169"/>
      <c r="BF614" s="174"/>
      <c r="BG614" s="178">
        <v>46267</v>
      </c>
      <c r="BH614" s="175" t="s">
        <v>77</v>
      </c>
      <c r="BI614" s="175" t="s">
        <v>77</v>
      </c>
    </row>
    <row r="615" spans="1:61" s="16" customFormat="1" ht="42" customHeight="1" x14ac:dyDescent="0.3">
      <c r="A615" s="26">
        <v>606</v>
      </c>
      <c r="B615" s="62">
        <v>251681</v>
      </c>
      <c r="C615" s="62">
        <v>606</v>
      </c>
      <c r="D615" s="63">
        <v>46191</v>
      </c>
      <c r="E615" s="63">
        <f t="shared" si="81"/>
        <v>46190</v>
      </c>
      <c r="F615" s="63">
        <f t="shared" si="82"/>
        <v>46201</v>
      </c>
      <c r="G615" s="63">
        <v>46283</v>
      </c>
      <c r="H615" s="63">
        <f t="shared" ref="H615:H632" ca="1" si="88">TODAY()</f>
        <v>46277</v>
      </c>
      <c r="I615" s="63" t="s">
        <v>321</v>
      </c>
      <c r="J615" s="64" t="s">
        <v>1329</v>
      </c>
      <c r="K615" s="65">
        <f t="shared" si="83"/>
        <v>82</v>
      </c>
      <c r="L615" s="65">
        <v>1238606</v>
      </c>
      <c r="M615" s="64" t="s">
        <v>77</v>
      </c>
      <c r="N615" s="64">
        <v>839316</v>
      </c>
      <c r="O615" s="79" t="s">
        <v>246</v>
      </c>
      <c r="P615" s="103">
        <v>46268</v>
      </c>
      <c r="Q615" s="103">
        <v>46448</v>
      </c>
      <c r="R615" s="73" t="s">
        <v>211</v>
      </c>
      <c r="S615" s="66" t="s">
        <v>1332</v>
      </c>
      <c r="T615" s="67">
        <v>1</v>
      </c>
      <c r="U615" s="75" t="s">
        <v>1145</v>
      </c>
      <c r="V615" s="68">
        <v>377</v>
      </c>
      <c r="W615" s="68"/>
      <c r="X615" s="69">
        <v>0</v>
      </c>
      <c r="Y615" s="68">
        <v>0</v>
      </c>
      <c r="Z615" s="68">
        <v>0</v>
      </c>
      <c r="AA615" s="68">
        <v>0</v>
      </c>
      <c r="AB615" s="68">
        <v>0</v>
      </c>
      <c r="AC615" s="68"/>
      <c r="AD615" s="68">
        <v>0</v>
      </c>
      <c r="AE615" s="68">
        <v>0</v>
      </c>
      <c r="AF615" s="68">
        <v>0</v>
      </c>
      <c r="AG615" s="68">
        <v>0</v>
      </c>
      <c r="AH615" s="68">
        <v>0</v>
      </c>
      <c r="AI615" s="68"/>
      <c r="AJ615" s="68">
        <v>0</v>
      </c>
      <c r="AK615" s="68">
        <v>0</v>
      </c>
      <c r="AL615" s="68">
        <v>1</v>
      </c>
      <c r="AM615" s="68"/>
      <c r="AN615" s="68">
        <v>1</v>
      </c>
      <c r="AO615" s="68"/>
      <c r="AP615" s="68">
        <v>1</v>
      </c>
      <c r="AQ615" s="68"/>
      <c r="AR615" s="68">
        <v>0</v>
      </c>
      <c r="AS615" s="68">
        <v>0</v>
      </c>
      <c r="AT615" s="68">
        <v>0</v>
      </c>
      <c r="AU615" s="68"/>
      <c r="AV615" s="68">
        <v>0</v>
      </c>
      <c r="AW615" s="68">
        <v>0</v>
      </c>
      <c r="AX615" s="170">
        <f t="shared" si="78"/>
        <v>23900</v>
      </c>
      <c r="AY615" s="170"/>
      <c r="AZ615" s="64" t="s">
        <v>77</v>
      </c>
      <c r="BA615" s="64" t="s">
        <v>77</v>
      </c>
      <c r="BB615" s="15" t="s">
        <v>77</v>
      </c>
      <c r="BC615" s="74">
        <v>606</v>
      </c>
      <c r="BD615" s="70"/>
      <c r="BE615" s="67"/>
      <c r="BF615" s="71"/>
      <c r="BG615" s="15"/>
      <c r="BH615" s="72" t="s">
        <v>77</v>
      </c>
      <c r="BI615" s="72" t="s">
        <v>77</v>
      </c>
    </row>
    <row r="616" spans="1:61" s="16" customFormat="1" ht="42" customHeight="1" x14ac:dyDescent="0.3">
      <c r="A616" s="26">
        <v>607</v>
      </c>
      <c r="B616" s="62">
        <v>251682</v>
      </c>
      <c r="C616" s="62">
        <v>607</v>
      </c>
      <c r="D616" s="63">
        <v>46191</v>
      </c>
      <c r="E616" s="63">
        <f t="shared" si="81"/>
        <v>46190</v>
      </c>
      <c r="F616" s="63">
        <f t="shared" si="82"/>
        <v>46201</v>
      </c>
      <c r="G616" s="63">
        <v>46283</v>
      </c>
      <c r="H616" s="63">
        <f t="shared" ca="1" si="88"/>
        <v>46277</v>
      </c>
      <c r="I616" s="63" t="s">
        <v>321</v>
      </c>
      <c r="J616" s="64" t="s">
        <v>1330</v>
      </c>
      <c r="K616" s="65">
        <f t="shared" si="83"/>
        <v>82</v>
      </c>
      <c r="L616" s="65">
        <v>1238608</v>
      </c>
      <c r="M616" s="64" t="s">
        <v>77</v>
      </c>
      <c r="N616" s="64">
        <v>839316</v>
      </c>
      <c r="O616" s="79" t="s">
        <v>246</v>
      </c>
      <c r="P616" s="103">
        <v>46268</v>
      </c>
      <c r="Q616" s="103">
        <v>46448</v>
      </c>
      <c r="R616" s="73" t="s">
        <v>211</v>
      </c>
      <c r="S616" s="66" t="s">
        <v>1333</v>
      </c>
      <c r="T616" s="67">
        <v>1</v>
      </c>
      <c r="U616" s="75" t="s">
        <v>1145</v>
      </c>
      <c r="V616" s="68">
        <v>70</v>
      </c>
      <c r="W616" s="68"/>
      <c r="X616" s="69">
        <v>0</v>
      </c>
      <c r="Y616" s="68">
        <v>0</v>
      </c>
      <c r="Z616" s="68">
        <v>0</v>
      </c>
      <c r="AA616" s="68">
        <v>0</v>
      </c>
      <c r="AB616" s="68">
        <v>0</v>
      </c>
      <c r="AC616" s="68"/>
      <c r="AD616" s="68">
        <v>0</v>
      </c>
      <c r="AE616" s="68">
        <v>0</v>
      </c>
      <c r="AF616" s="68">
        <v>0</v>
      </c>
      <c r="AG616" s="68">
        <v>0</v>
      </c>
      <c r="AH616" s="68">
        <v>0</v>
      </c>
      <c r="AI616" s="68"/>
      <c r="AJ616" s="68">
        <v>0</v>
      </c>
      <c r="AK616" s="68">
        <v>0</v>
      </c>
      <c r="AL616" s="68">
        <v>1</v>
      </c>
      <c r="AM616" s="68"/>
      <c r="AN616" s="68">
        <v>1</v>
      </c>
      <c r="AO616" s="68"/>
      <c r="AP616" s="68">
        <v>1</v>
      </c>
      <c r="AQ616" s="68"/>
      <c r="AR616" s="68">
        <v>0</v>
      </c>
      <c r="AS616" s="68">
        <v>0</v>
      </c>
      <c r="AT616" s="68">
        <v>0</v>
      </c>
      <c r="AU616" s="68"/>
      <c r="AV616" s="68">
        <v>0</v>
      </c>
      <c r="AW616" s="68">
        <v>0</v>
      </c>
      <c r="AX616" s="170">
        <f t="shared" si="78"/>
        <v>5480</v>
      </c>
      <c r="AY616" s="170"/>
      <c r="AZ616" s="64" t="s">
        <v>77</v>
      </c>
      <c r="BA616" s="64" t="s">
        <v>77</v>
      </c>
      <c r="BB616" s="15" t="s">
        <v>77</v>
      </c>
      <c r="BC616" s="74">
        <v>607</v>
      </c>
      <c r="BD616" s="70"/>
      <c r="BE616" s="67"/>
      <c r="BF616" s="71"/>
      <c r="BG616" s="15"/>
      <c r="BH616" s="72" t="s">
        <v>77</v>
      </c>
      <c r="BI616" s="72" t="s">
        <v>77</v>
      </c>
    </row>
    <row r="617" spans="1:61" s="16" customFormat="1" ht="42" customHeight="1" x14ac:dyDescent="0.3">
      <c r="A617" s="26">
        <v>608</v>
      </c>
      <c r="B617" s="62">
        <v>251683</v>
      </c>
      <c r="C617" s="62">
        <v>608</v>
      </c>
      <c r="D617" s="63">
        <v>46191</v>
      </c>
      <c r="E617" s="63">
        <f t="shared" si="81"/>
        <v>46190</v>
      </c>
      <c r="F617" s="63">
        <f t="shared" si="82"/>
        <v>46201</v>
      </c>
      <c r="G617" s="63">
        <v>46283</v>
      </c>
      <c r="H617" s="63">
        <f t="shared" ca="1" si="88"/>
        <v>46277</v>
      </c>
      <c r="I617" s="63" t="s">
        <v>321</v>
      </c>
      <c r="J617" s="64" t="s">
        <v>1331</v>
      </c>
      <c r="K617" s="65">
        <f t="shared" si="83"/>
        <v>82</v>
      </c>
      <c r="L617" s="65">
        <v>1238609</v>
      </c>
      <c r="M617" s="64" t="s">
        <v>77</v>
      </c>
      <c r="N617" s="64" t="s">
        <v>77</v>
      </c>
      <c r="O617" s="64" t="s">
        <v>77</v>
      </c>
      <c r="P617" s="103" t="s">
        <v>77</v>
      </c>
      <c r="Q617" s="103" t="s">
        <v>77</v>
      </c>
      <c r="R617" s="73" t="s">
        <v>211</v>
      </c>
      <c r="S617" s="66" t="s">
        <v>1334</v>
      </c>
      <c r="T617" s="67">
        <v>1</v>
      </c>
      <c r="U617" s="75" t="s">
        <v>198</v>
      </c>
      <c r="V617" s="68">
        <v>60</v>
      </c>
      <c r="W617" s="68"/>
      <c r="X617" s="69">
        <v>0</v>
      </c>
      <c r="Y617" s="68">
        <v>0</v>
      </c>
      <c r="Z617" s="68">
        <v>0</v>
      </c>
      <c r="AA617" s="68">
        <v>0</v>
      </c>
      <c r="AB617" s="68">
        <v>0</v>
      </c>
      <c r="AC617" s="68"/>
      <c r="AD617" s="68">
        <v>0</v>
      </c>
      <c r="AE617" s="68">
        <v>0</v>
      </c>
      <c r="AF617" s="68">
        <v>0</v>
      </c>
      <c r="AG617" s="68">
        <v>0</v>
      </c>
      <c r="AH617" s="68">
        <v>0</v>
      </c>
      <c r="AI617" s="68"/>
      <c r="AJ617" s="68">
        <v>0</v>
      </c>
      <c r="AK617" s="68">
        <v>0</v>
      </c>
      <c r="AL617" s="68">
        <v>1</v>
      </c>
      <c r="AM617" s="68"/>
      <c r="AN617" s="68">
        <v>1</v>
      </c>
      <c r="AO617" s="68"/>
      <c r="AP617" s="68">
        <v>1</v>
      </c>
      <c r="AQ617" s="68"/>
      <c r="AR617" s="68">
        <v>0</v>
      </c>
      <c r="AS617" s="68">
        <v>0</v>
      </c>
      <c r="AT617" s="68">
        <v>0</v>
      </c>
      <c r="AU617" s="68"/>
      <c r="AV617" s="68">
        <v>0</v>
      </c>
      <c r="AW617" s="68">
        <v>0</v>
      </c>
      <c r="AX617" s="170">
        <f t="shared" si="78"/>
        <v>4880</v>
      </c>
      <c r="AY617" s="170"/>
      <c r="AZ617" s="64" t="s">
        <v>77</v>
      </c>
      <c r="BA617" s="64" t="s">
        <v>77</v>
      </c>
      <c r="BB617" s="15" t="s">
        <v>77</v>
      </c>
      <c r="BC617" s="74">
        <v>608</v>
      </c>
      <c r="BD617" s="70"/>
      <c r="BE617" s="67"/>
      <c r="BF617" s="71"/>
      <c r="BG617" s="15"/>
      <c r="BH617" s="72" t="s">
        <v>77</v>
      </c>
      <c r="BI617" s="72" t="s">
        <v>77</v>
      </c>
    </row>
    <row r="618" spans="1:61" s="16" customFormat="1" ht="42" customHeight="1" x14ac:dyDescent="0.3">
      <c r="A618" s="26">
        <v>609</v>
      </c>
      <c r="B618" s="62">
        <v>251718</v>
      </c>
      <c r="C618" s="62">
        <v>609</v>
      </c>
      <c r="D618" s="63">
        <v>46194</v>
      </c>
      <c r="E618" s="63">
        <f t="shared" si="81"/>
        <v>46193</v>
      </c>
      <c r="F618" s="63">
        <f t="shared" si="82"/>
        <v>46204</v>
      </c>
      <c r="G618" s="63">
        <v>46286</v>
      </c>
      <c r="H618" s="63">
        <f t="shared" ca="1" si="88"/>
        <v>46277</v>
      </c>
      <c r="I618" s="63" t="s">
        <v>321</v>
      </c>
      <c r="J618" s="64" t="s">
        <v>1336</v>
      </c>
      <c r="K618" s="65">
        <f t="shared" si="83"/>
        <v>82</v>
      </c>
      <c r="L618" s="65">
        <v>1239061</v>
      </c>
      <c r="M618" s="64" t="s">
        <v>77</v>
      </c>
      <c r="N618" s="64" t="s">
        <v>77</v>
      </c>
      <c r="O618" s="64" t="s">
        <v>77</v>
      </c>
      <c r="P618" s="103" t="s">
        <v>77</v>
      </c>
      <c r="Q618" s="103" t="s">
        <v>77</v>
      </c>
      <c r="R618" s="73" t="s">
        <v>211</v>
      </c>
      <c r="S618" s="66" t="s">
        <v>787</v>
      </c>
      <c r="T618" s="67">
        <v>1</v>
      </c>
      <c r="U618" s="75" t="s">
        <v>840</v>
      </c>
      <c r="V618" s="68">
        <v>129</v>
      </c>
      <c r="W618" s="68"/>
      <c r="X618" s="69">
        <v>0</v>
      </c>
      <c r="Y618" s="68">
        <v>0</v>
      </c>
      <c r="Z618" s="68">
        <v>0</v>
      </c>
      <c r="AA618" s="68">
        <v>0</v>
      </c>
      <c r="AB618" s="68">
        <v>0</v>
      </c>
      <c r="AC618" s="68"/>
      <c r="AD618" s="68">
        <v>0</v>
      </c>
      <c r="AE618" s="68">
        <v>0</v>
      </c>
      <c r="AF618" s="68">
        <v>0</v>
      </c>
      <c r="AG618" s="68">
        <v>0</v>
      </c>
      <c r="AH618" s="68">
        <v>0</v>
      </c>
      <c r="AI618" s="68"/>
      <c r="AJ618" s="68">
        <v>0</v>
      </c>
      <c r="AK618" s="68">
        <v>0</v>
      </c>
      <c r="AL618" s="68">
        <v>1</v>
      </c>
      <c r="AM618" s="68"/>
      <c r="AN618" s="68">
        <v>1</v>
      </c>
      <c r="AO618" s="68"/>
      <c r="AP618" s="68">
        <v>1</v>
      </c>
      <c r="AQ618" s="68"/>
      <c r="AR618" s="68">
        <v>0</v>
      </c>
      <c r="AS618" s="68">
        <v>0</v>
      </c>
      <c r="AT618" s="68">
        <v>0</v>
      </c>
      <c r="AU618" s="68"/>
      <c r="AV618" s="68">
        <v>0</v>
      </c>
      <c r="AW618" s="68">
        <v>0</v>
      </c>
      <c r="AX618" s="170">
        <f t="shared" si="78"/>
        <v>9020</v>
      </c>
      <c r="AY618" s="170"/>
      <c r="AZ618" s="64" t="s">
        <v>77</v>
      </c>
      <c r="BA618" s="64" t="s">
        <v>77</v>
      </c>
      <c r="BB618" s="15" t="s">
        <v>77</v>
      </c>
      <c r="BC618" s="74">
        <v>609</v>
      </c>
      <c r="BD618" s="70"/>
      <c r="BE618" s="67"/>
      <c r="BF618" s="71"/>
      <c r="BG618" s="15"/>
      <c r="BH618" s="72" t="s">
        <v>77</v>
      </c>
      <c r="BI618" s="72" t="s">
        <v>77</v>
      </c>
    </row>
    <row r="619" spans="1:61" s="16" customFormat="1" ht="42" customHeight="1" x14ac:dyDescent="0.3">
      <c r="A619" s="26">
        <v>610</v>
      </c>
      <c r="B619" s="62">
        <v>251720</v>
      </c>
      <c r="C619" s="62">
        <v>610</v>
      </c>
      <c r="D619" s="63">
        <v>46194</v>
      </c>
      <c r="E619" s="63">
        <f t="shared" si="81"/>
        <v>46193</v>
      </c>
      <c r="F619" s="63">
        <f t="shared" si="82"/>
        <v>46204</v>
      </c>
      <c r="G619" s="63">
        <v>46286</v>
      </c>
      <c r="H619" s="63">
        <f t="shared" ca="1" si="88"/>
        <v>46277</v>
      </c>
      <c r="I619" s="63" t="s">
        <v>321</v>
      </c>
      <c r="J619" s="64" t="s">
        <v>1337</v>
      </c>
      <c r="K619" s="65">
        <f t="shared" si="83"/>
        <v>82</v>
      </c>
      <c r="L619" s="65">
        <v>1239102</v>
      </c>
      <c r="M619" s="64" t="s">
        <v>77</v>
      </c>
      <c r="N619" s="64">
        <v>838762</v>
      </c>
      <c r="O619" s="79" t="s">
        <v>246</v>
      </c>
      <c r="P619" s="103">
        <v>46273</v>
      </c>
      <c r="Q619" s="103">
        <v>46445</v>
      </c>
      <c r="R619" s="73" t="s">
        <v>211</v>
      </c>
      <c r="S619" s="66" t="s">
        <v>1338</v>
      </c>
      <c r="T619" s="67">
        <v>1</v>
      </c>
      <c r="U619" s="75" t="s">
        <v>82</v>
      </c>
      <c r="V619" s="68">
        <v>5</v>
      </c>
      <c r="W619" s="68"/>
      <c r="X619" s="69">
        <v>0</v>
      </c>
      <c r="Y619" s="68">
        <v>0</v>
      </c>
      <c r="Z619" s="68">
        <v>0</v>
      </c>
      <c r="AA619" s="68">
        <v>0</v>
      </c>
      <c r="AB619" s="68">
        <v>0</v>
      </c>
      <c r="AC619" s="68"/>
      <c r="AD619" s="68">
        <v>0</v>
      </c>
      <c r="AE619" s="68">
        <v>0</v>
      </c>
      <c r="AF619" s="68">
        <v>0</v>
      </c>
      <c r="AG619" s="68">
        <v>0</v>
      </c>
      <c r="AH619" s="68">
        <v>0</v>
      </c>
      <c r="AI619" s="68"/>
      <c r="AJ619" s="68">
        <v>0</v>
      </c>
      <c r="AK619" s="68">
        <v>0</v>
      </c>
      <c r="AL619" s="68">
        <v>0</v>
      </c>
      <c r="AM619" s="68">
        <v>0</v>
      </c>
      <c r="AN619" s="68">
        <v>1</v>
      </c>
      <c r="AO619" s="68"/>
      <c r="AP619" s="68">
        <v>1</v>
      </c>
      <c r="AQ619" s="68"/>
      <c r="AR619" s="68">
        <v>0</v>
      </c>
      <c r="AS619" s="68">
        <v>0</v>
      </c>
      <c r="AT619" s="68">
        <v>0</v>
      </c>
      <c r="AU619" s="68"/>
      <c r="AV619" s="68">
        <v>0</v>
      </c>
      <c r="AW619" s="68">
        <v>0</v>
      </c>
      <c r="AX619" s="170">
        <f t="shared" si="78"/>
        <v>990</v>
      </c>
      <c r="AY619" s="170"/>
      <c r="AZ619" s="64" t="s">
        <v>77</v>
      </c>
      <c r="BA619" s="64" t="s">
        <v>77</v>
      </c>
      <c r="BB619" s="15" t="s">
        <v>77</v>
      </c>
      <c r="BC619" s="74">
        <v>610</v>
      </c>
      <c r="BD619" s="70"/>
      <c r="BE619" s="67"/>
      <c r="BF619" s="71"/>
      <c r="BG619" s="15"/>
      <c r="BH619" s="72" t="s">
        <v>77</v>
      </c>
      <c r="BI619" s="72" t="s">
        <v>77</v>
      </c>
    </row>
    <row r="620" spans="1:61" s="16" customFormat="1" ht="42" customHeight="1" x14ac:dyDescent="0.3">
      <c r="A620" s="26">
        <v>611</v>
      </c>
      <c r="B620" s="62">
        <v>251791</v>
      </c>
      <c r="C620" s="62">
        <v>611</v>
      </c>
      <c r="D620" s="63">
        <v>46195</v>
      </c>
      <c r="E620" s="63">
        <f t="shared" si="81"/>
        <v>46194</v>
      </c>
      <c r="F620" s="63">
        <f t="shared" si="82"/>
        <v>46205</v>
      </c>
      <c r="G620" s="63">
        <v>46286</v>
      </c>
      <c r="H620" s="63">
        <f t="shared" ca="1" si="88"/>
        <v>46277</v>
      </c>
      <c r="I620" s="63" t="s">
        <v>321</v>
      </c>
      <c r="J620" s="64" t="s">
        <v>1340</v>
      </c>
      <c r="K620" s="65">
        <f t="shared" si="83"/>
        <v>81</v>
      </c>
      <c r="L620" s="65">
        <v>1239615</v>
      </c>
      <c r="M620" s="64" t="s">
        <v>77</v>
      </c>
      <c r="N620" s="64">
        <v>838765</v>
      </c>
      <c r="O620" s="79" t="s">
        <v>246</v>
      </c>
      <c r="P620" s="103">
        <v>46270</v>
      </c>
      <c r="Q620" s="103">
        <v>46450</v>
      </c>
      <c r="R620" s="73" t="s">
        <v>211</v>
      </c>
      <c r="S620" s="66" t="s">
        <v>1342</v>
      </c>
      <c r="T620" s="67">
        <v>1</v>
      </c>
      <c r="U620" s="75" t="s">
        <v>82</v>
      </c>
      <c r="V620" s="68">
        <v>55</v>
      </c>
      <c r="W620" s="68"/>
      <c r="X620" s="69">
        <v>0</v>
      </c>
      <c r="Y620" s="68">
        <v>0</v>
      </c>
      <c r="Z620" s="68">
        <v>0</v>
      </c>
      <c r="AA620" s="68">
        <v>0</v>
      </c>
      <c r="AB620" s="68">
        <v>0</v>
      </c>
      <c r="AC620" s="68"/>
      <c r="AD620" s="68">
        <v>0</v>
      </c>
      <c r="AE620" s="68">
        <v>0</v>
      </c>
      <c r="AF620" s="68">
        <v>0</v>
      </c>
      <c r="AG620" s="68">
        <v>0</v>
      </c>
      <c r="AH620" s="68">
        <v>0</v>
      </c>
      <c r="AI620" s="68"/>
      <c r="AJ620" s="68">
        <v>0</v>
      </c>
      <c r="AK620" s="68">
        <v>0</v>
      </c>
      <c r="AL620" s="68">
        <v>1</v>
      </c>
      <c r="AM620" s="68"/>
      <c r="AN620" s="68">
        <v>1</v>
      </c>
      <c r="AO620" s="68"/>
      <c r="AP620" s="68">
        <v>1</v>
      </c>
      <c r="AQ620" s="68"/>
      <c r="AR620" s="68">
        <v>0</v>
      </c>
      <c r="AS620" s="68">
        <v>0</v>
      </c>
      <c r="AT620" s="68">
        <v>0</v>
      </c>
      <c r="AU620" s="68"/>
      <c r="AV620" s="68">
        <v>0</v>
      </c>
      <c r="AW620" s="68">
        <v>0</v>
      </c>
      <c r="AX620" s="170">
        <f t="shared" si="78"/>
        <v>4580</v>
      </c>
      <c r="AY620" s="170"/>
      <c r="AZ620" s="64" t="s">
        <v>77</v>
      </c>
      <c r="BA620" s="64" t="s">
        <v>77</v>
      </c>
      <c r="BB620" s="15" t="s">
        <v>77</v>
      </c>
      <c r="BC620" s="74">
        <v>611</v>
      </c>
      <c r="BD620" s="70"/>
      <c r="BE620" s="67"/>
      <c r="BF620" s="71"/>
      <c r="BG620" s="15"/>
      <c r="BH620" s="72" t="s">
        <v>77</v>
      </c>
      <c r="BI620" s="72" t="s">
        <v>77</v>
      </c>
    </row>
    <row r="621" spans="1:61" s="16" customFormat="1" ht="42" customHeight="1" x14ac:dyDescent="0.3">
      <c r="A621" s="26">
        <v>612</v>
      </c>
      <c r="B621" s="62">
        <v>251792</v>
      </c>
      <c r="C621" s="62">
        <v>612</v>
      </c>
      <c r="D621" s="63">
        <v>46195</v>
      </c>
      <c r="E621" s="63">
        <f t="shared" si="81"/>
        <v>46194</v>
      </c>
      <c r="F621" s="63">
        <f t="shared" si="82"/>
        <v>46205</v>
      </c>
      <c r="G621" s="63">
        <v>46286</v>
      </c>
      <c r="H621" s="63">
        <f t="shared" ca="1" si="88"/>
        <v>46277</v>
      </c>
      <c r="I621" s="63" t="s">
        <v>321</v>
      </c>
      <c r="J621" s="64" t="s">
        <v>1341</v>
      </c>
      <c r="K621" s="65">
        <f t="shared" si="83"/>
        <v>81</v>
      </c>
      <c r="L621" s="65">
        <v>1239687</v>
      </c>
      <c r="M621" s="64" t="s">
        <v>77</v>
      </c>
      <c r="N621" s="64">
        <v>834721</v>
      </c>
      <c r="O621" s="79" t="s">
        <v>246</v>
      </c>
      <c r="P621" s="103">
        <v>46238</v>
      </c>
      <c r="Q621" s="103">
        <v>46396</v>
      </c>
      <c r="R621" s="73" t="s">
        <v>211</v>
      </c>
      <c r="S621" s="66" t="s">
        <v>1343</v>
      </c>
      <c r="T621" s="67">
        <v>1</v>
      </c>
      <c r="U621" s="75" t="s">
        <v>81</v>
      </c>
      <c r="V621" s="68">
        <v>80</v>
      </c>
      <c r="W621" s="68"/>
      <c r="X621" s="69">
        <v>0</v>
      </c>
      <c r="Y621" s="68">
        <v>0</v>
      </c>
      <c r="Z621" s="68">
        <v>0</v>
      </c>
      <c r="AA621" s="68">
        <v>0</v>
      </c>
      <c r="AB621" s="68">
        <v>0</v>
      </c>
      <c r="AC621" s="68"/>
      <c r="AD621" s="68">
        <v>0</v>
      </c>
      <c r="AE621" s="68">
        <v>0</v>
      </c>
      <c r="AF621" s="68">
        <v>0</v>
      </c>
      <c r="AG621" s="68">
        <v>0</v>
      </c>
      <c r="AH621" s="68">
        <v>0</v>
      </c>
      <c r="AI621" s="68"/>
      <c r="AJ621" s="68">
        <v>0</v>
      </c>
      <c r="AK621" s="68">
        <v>0</v>
      </c>
      <c r="AL621" s="68">
        <v>1</v>
      </c>
      <c r="AM621" s="68"/>
      <c r="AN621" s="68">
        <v>1</v>
      </c>
      <c r="AO621" s="68"/>
      <c r="AP621" s="68">
        <v>1</v>
      </c>
      <c r="AQ621" s="68"/>
      <c r="AR621" s="68">
        <v>0</v>
      </c>
      <c r="AS621" s="68">
        <v>0</v>
      </c>
      <c r="AT621" s="68">
        <v>0</v>
      </c>
      <c r="AU621" s="68"/>
      <c r="AV621" s="68">
        <v>0</v>
      </c>
      <c r="AW621" s="68">
        <v>0</v>
      </c>
      <c r="AX621" s="170">
        <f t="shared" si="78"/>
        <v>6080</v>
      </c>
      <c r="AY621" s="170"/>
      <c r="AZ621" s="64" t="s">
        <v>77</v>
      </c>
      <c r="BA621" s="64" t="s">
        <v>77</v>
      </c>
      <c r="BB621" s="15" t="s">
        <v>77</v>
      </c>
      <c r="BC621" s="74">
        <v>612</v>
      </c>
      <c r="BD621" s="70"/>
      <c r="BE621" s="67"/>
      <c r="BF621" s="71"/>
      <c r="BG621" s="15"/>
      <c r="BH621" s="72" t="s">
        <v>77</v>
      </c>
      <c r="BI621" s="72" t="s">
        <v>77</v>
      </c>
    </row>
    <row r="622" spans="1:61" s="16" customFormat="1" ht="42" customHeight="1" x14ac:dyDescent="0.3">
      <c r="A622" s="26">
        <v>613</v>
      </c>
      <c r="B622" s="163">
        <v>251856</v>
      </c>
      <c r="C622" s="163">
        <v>613</v>
      </c>
      <c r="D622" s="164">
        <v>46196</v>
      </c>
      <c r="E622" s="164">
        <f t="shared" si="81"/>
        <v>46195</v>
      </c>
      <c r="F622" s="164">
        <f t="shared" si="82"/>
        <v>46206</v>
      </c>
      <c r="G622" s="164">
        <v>46257</v>
      </c>
      <c r="H622" s="164">
        <v>46257</v>
      </c>
      <c r="I622" s="164" t="s">
        <v>123</v>
      </c>
      <c r="J622" s="165" t="s">
        <v>1344</v>
      </c>
      <c r="K622" s="166">
        <f t="shared" si="83"/>
        <v>51</v>
      </c>
      <c r="L622" s="166">
        <v>1240085</v>
      </c>
      <c r="M622" s="165" t="s">
        <v>15</v>
      </c>
      <c r="N622" s="165" t="s">
        <v>1513</v>
      </c>
      <c r="O622" s="165" t="s">
        <v>246</v>
      </c>
      <c r="P622" s="167">
        <v>46211</v>
      </c>
      <c r="Q622" s="167">
        <v>46385</v>
      </c>
      <c r="R622" s="179" t="s">
        <v>211</v>
      </c>
      <c r="S622" s="168" t="s">
        <v>1345</v>
      </c>
      <c r="T622" s="169">
        <v>1</v>
      </c>
      <c r="U622" s="180" t="s">
        <v>1145</v>
      </c>
      <c r="V622" s="170">
        <v>38</v>
      </c>
      <c r="W622" s="170">
        <v>38</v>
      </c>
      <c r="X622" s="171">
        <v>0</v>
      </c>
      <c r="Y622" s="170">
        <v>0</v>
      </c>
      <c r="Z622" s="170">
        <v>0</v>
      </c>
      <c r="AA622" s="170">
        <v>0</v>
      </c>
      <c r="AB622" s="170">
        <v>33</v>
      </c>
      <c r="AC622" s="170">
        <v>33</v>
      </c>
      <c r="AD622" s="170">
        <v>0</v>
      </c>
      <c r="AE622" s="170">
        <v>0</v>
      </c>
      <c r="AF622" s="170">
        <v>20</v>
      </c>
      <c r="AG622" s="170">
        <v>20</v>
      </c>
      <c r="AH622" s="170">
        <v>1</v>
      </c>
      <c r="AI622" s="170">
        <v>1</v>
      </c>
      <c r="AJ622" s="170">
        <v>0</v>
      </c>
      <c r="AK622" s="170">
        <v>0</v>
      </c>
      <c r="AL622" s="170">
        <v>0</v>
      </c>
      <c r="AM622" s="170">
        <v>0</v>
      </c>
      <c r="AN622" s="170">
        <v>1</v>
      </c>
      <c r="AO622" s="170">
        <v>1</v>
      </c>
      <c r="AP622" s="170">
        <v>2</v>
      </c>
      <c r="AQ622" s="170">
        <v>2</v>
      </c>
      <c r="AR622" s="170">
        <v>0</v>
      </c>
      <c r="AS622" s="170">
        <v>0</v>
      </c>
      <c r="AT622" s="170">
        <v>1</v>
      </c>
      <c r="AU622" s="170">
        <v>1</v>
      </c>
      <c r="AV622" s="170">
        <v>0</v>
      </c>
      <c r="AW622" s="170">
        <v>0</v>
      </c>
      <c r="AX622" s="170">
        <f t="shared" si="78"/>
        <v>9101</v>
      </c>
      <c r="AY622" s="170">
        <f>(W622*60)+(Y622*80)+(AA622*38)+(AC622*57)+(AE622*75)+(AG622*155)+(AI622*170)+(AK622*375)+(AM622*590)+(AO622*60)+(AQ622*630)+(AS622*400)+(AU622*350)+(AW622*950)</f>
        <v>9101</v>
      </c>
      <c r="AZ622" s="165" t="s">
        <v>15</v>
      </c>
      <c r="BA622" s="165" t="s">
        <v>77</v>
      </c>
      <c r="BB622" s="162" t="s">
        <v>77</v>
      </c>
      <c r="BC622" s="181">
        <v>613</v>
      </c>
      <c r="BD622" s="173"/>
      <c r="BE622" s="169"/>
      <c r="BF622" s="174"/>
      <c r="BG622" s="178">
        <v>46253</v>
      </c>
      <c r="BH622" s="175" t="s">
        <v>77</v>
      </c>
      <c r="BI622" s="175" t="s">
        <v>77</v>
      </c>
    </row>
    <row r="623" spans="1:61" s="16" customFormat="1" ht="42" customHeight="1" x14ac:dyDescent="0.3">
      <c r="A623" s="26">
        <v>614</v>
      </c>
      <c r="B623" s="163">
        <v>251933</v>
      </c>
      <c r="C623" s="163">
        <v>614</v>
      </c>
      <c r="D623" s="164">
        <v>46197</v>
      </c>
      <c r="E623" s="164">
        <f t="shared" si="81"/>
        <v>46196</v>
      </c>
      <c r="F623" s="164">
        <f t="shared" si="82"/>
        <v>46207</v>
      </c>
      <c r="G623" s="164">
        <v>46289</v>
      </c>
      <c r="H623" s="164">
        <v>46267</v>
      </c>
      <c r="I623" s="164" t="s">
        <v>321</v>
      </c>
      <c r="J623" s="165" t="s">
        <v>1346</v>
      </c>
      <c r="K623" s="166">
        <f t="shared" si="83"/>
        <v>82</v>
      </c>
      <c r="L623" s="166">
        <v>1240538</v>
      </c>
      <c r="M623" s="165" t="s">
        <v>15</v>
      </c>
      <c r="N623" s="165">
        <v>834721</v>
      </c>
      <c r="O623" s="165" t="s">
        <v>246</v>
      </c>
      <c r="P623" s="167">
        <v>46238</v>
      </c>
      <c r="Q623" s="167">
        <v>46396</v>
      </c>
      <c r="R623" s="179" t="s">
        <v>211</v>
      </c>
      <c r="S623" s="168" t="s">
        <v>1347</v>
      </c>
      <c r="T623" s="169">
        <v>1</v>
      </c>
      <c r="U623" s="180" t="s">
        <v>81</v>
      </c>
      <c r="V623" s="170">
        <v>124</v>
      </c>
      <c r="W623" s="170">
        <v>124</v>
      </c>
      <c r="X623" s="171">
        <v>0</v>
      </c>
      <c r="Y623" s="170">
        <v>0</v>
      </c>
      <c r="Z623" s="170">
        <v>0</v>
      </c>
      <c r="AA623" s="170">
        <v>0</v>
      </c>
      <c r="AB623" s="170">
        <v>113</v>
      </c>
      <c r="AC623" s="170">
        <v>113</v>
      </c>
      <c r="AD623" s="170">
        <v>0</v>
      </c>
      <c r="AE623" s="170">
        <v>0</v>
      </c>
      <c r="AF623" s="170">
        <v>0</v>
      </c>
      <c r="AG623" s="170">
        <v>0</v>
      </c>
      <c r="AH623" s="170">
        <v>0</v>
      </c>
      <c r="AI623" s="170">
        <v>0</v>
      </c>
      <c r="AJ623" s="170">
        <v>0</v>
      </c>
      <c r="AK623" s="170">
        <v>0</v>
      </c>
      <c r="AL623" s="170">
        <v>0</v>
      </c>
      <c r="AM623" s="170">
        <v>0</v>
      </c>
      <c r="AN623" s="170">
        <v>1</v>
      </c>
      <c r="AO623" s="170">
        <v>1</v>
      </c>
      <c r="AP623" s="170">
        <v>1</v>
      </c>
      <c r="AQ623" s="170">
        <v>1</v>
      </c>
      <c r="AR623" s="170">
        <v>0</v>
      </c>
      <c r="AS623" s="170">
        <v>0</v>
      </c>
      <c r="AT623" s="170">
        <v>0</v>
      </c>
      <c r="AU623" s="170"/>
      <c r="AV623" s="170">
        <v>0</v>
      </c>
      <c r="AW623" s="170"/>
      <c r="AX623" s="170">
        <f t="shared" si="78"/>
        <v>14571</v>
      </c>
      <c r="AY623" s="170">
        <f t="shared" si="78"/>
        <v>14571</v>
      </c>
      <c r="AZ623" s="165" t="s">
        <v>15</v>
      </c>
      <c r="BA623" s="165" t="s">
        <v>77</v>
      </c>
      <c r="BB623" s="162" t="s">
        <v>77</v>
      </c>
      <c r="BC623" s="181">
        <v>614</v>
      </c>
      <c r="BD623" s="173"/>
      <c r="BE623" s="169"/>
      <c r="BF623" s="174"/>
      <c r="BG623" s="178">
        <v>46265</v>
      </c>
      <c r="BH623" s="175" t="s">
        <v>77</v>
      </c>
      <c r="BI623" s="175" t="s">
        <v>77</v>
      </c>
    </row>
    <row r="624" spans="1:61" s="16" customFormat="1" ht="42" customHeight="1" x14ac:dyDescent="0.3">
      <c r="A624" s="26">
        <v>615</v>
      </c>
      <c r="B624" s="62">
        <v>251934</v>
      </c>
      <c r="C624" s="62">
        <v>615</v>
      </c>
      <c r="D624" s="63">
        <v>46197</v>
      </c>
      <c r="E624" s="63">
        <f t="shared" si="81"/>
        <v>46196</v>
      </c>
      <c r="F624" s="63">
        <f t="shared" si="82"/>
        <v>46207</v>
      </c>
      <c r="G624" s="63">
        <v>46289</v>
      </c>
      <c r="H624" s="63">
        <f t="shared" ca="1" si="88"/>
        <v>46277</v>
      </c>
      <c r="I624" s="63" t="s">
        <v>321</v>
      </c>
      <c r="J624" s="64" t="s">
        <v>1350</v>
      </c>
      <c r="K624" s="65">
        <f t="shared" si="83"/>
        <v>82</v>
      </c>
      <c r="L624" s="65">
        <v>1240540</v>
      </c>
      <c r="M624" s="64" t="s">
        <v>77</v>
      </c>
      <c r="N624" s="64">
        <v>838765</v>
      </c>
      <c r="O624" s="79" t="s">
        <v>246</v>
      </c>
      <c r="P624" s="103">
        <v>46270</v>
      </c>
      <c r="Q624" s="103">
        <v>46450</v>
      </c>
      <c r="R624" s="73" t="s">
        <v>211</v>
      </c>
      <c r="S624" s="66" t="s">
        <v>913</v>
      </c>
      <c r="T624" s="67">
        <v>1</v>
      </c>
      <c r="U624" s="75" t="s">
        <v>82</v>
      </c>
      <c r="V624" s="68">
        <v>5</v>
      </c>
      <c r="W624" s="68"/>
      <c r="X624" s="69">
        <v>0</v>
      </c>
      <c r="Y624" s="68">
        <v>0</v>
      </c>
      <c r="Z624" s="68">
        <v>0</v>
      </c>
      <c r="AA624" s="68">
        <v>0</v>
      </c>
      <c r="AB624" s="68">
        <v>0</v>
      </c>
      <c r="AC624" s="68"/>
      <c r="AD624" s="68">
        <v>0</v>
      </c>
      <c r="AE624" s="68">
        <v>0</v>
      </c>
      <c r="AF624" s="68">
        <v>0</v>
      </c>
      <c r="AG624" s="68">
        <v>0</v>
      </c>
      <c r="AH624" s="68">
        <v>0</v>
      </c>
      <c r="AI624" s="68"/>
      <c r="AJ624" s="68">
        <v>0</v>
      </c>
      <c r="AK624" s="68">
        <v>0</v>
      </c>
      <c r="AL624" s="68">
        <v>1</v>
      </c>
      <c r="AM624" s="68"/>
      <c r="AN624" s="68">
        <v>1</v>
      </c>
      <c r="AO624" s="68"/>
      <c r="AP624" s="68">
        <v>1</v>
      </c>
      <c r="AQ624" s="68"/>
      <c r="AR624" s="68">
        <v>0</v>
      </c>
      <c r="AS624" s="68">
        <v>0</v>
      </c>
      <c r="AT624" s="68">
        <v>0</v>
      </c>
      <c r="AU624" s="68"/>
      <c r="AV624" s="68">
        <v>0</v>
      </c>
      <c r="AW624" s="68">
        <v>0</v>
      </c>
      <c r="AX624" s="170">
        <f t="shared" si="78"/>
        <v>1580</v>
      </c>
      <c r="AY624" s="170"/>
      <c r="AZ624" s="64" t="s">
        <v>77</v>
      </c>
      <c r="BA624" s="64" t="s">
        <v>77</v>
      </c>
      <c r="BB624" s="15" t="s">
        <v>77</v>
      </c>
      <c r="BC624" s="74">
        <v>615</v>
      </c>
      <c r="BD624" s="70"/>
      <c r="BE624" s="67"/>
      <c r="BF624" s="71"/>
      <c r="BG624" s="15"/>
      <c r="BH624" s="72" t="s">
        <v>77</v>
      </c>
      <c r="BI624" s="72" t="s">
        <v>77</v>
      </c>
    </row>
    <row r="625" spans="1:61" s="16" customFormat="1" ht="42" customHeight="1" x14ac:dyDescent="0.3">
      <c r="A625" s="26">
        <v>616</v>
      </c>
      <c r="B625" s="62">
        <v>251935</v>
      </c>
      <c r="C625" s="62">
        <v>616</v>
      </c>
      <c r="D625" s="63">
        <v>46197</v>
      </c>
      <c r="E625" s="63">
        <f t="shared" si="81"/>
        <v>46196</v>
      </c>
      <c r="F625" s="63">
        <f t="shared" si="82"/>
        <v>46207</v>
      </c>
      <c r="G625" s="63">
        <v>46289</v>
      </c>
      <c r="H625" s="63">
        <f t="shared" ca="1" si="88"/>
        <v>46277</v>
      </c>
      <c r="I625" s="63" t="s">
        <v>321</v>
      </c>
      <c r="J625" s="64" t="s">
        <v>1348</v>
      </c>
      <c r="K625" s="65">
        <f t="shared" si="83"/>
        <v>82</v>
      </c>
      <c r="L625" s="65">
        <v>1240546</v>
      </c>
      <c r="M625" s="64" t="s">
        <v>77</v>
      </c>
      <c r="N625" s="64">
        <v>837400</v>
      </c>
      <c r="O625" s="80" t="s">
        <v>246</v>
      </c>
      <c r="P625" s="103">
        <v>46256</v>
      </c>
      <c r="Q625" s="103">
        <v>46436</v>
      </c>
      <c r="R625" s="73" t="s">
        <v>211</v>
      </c>
      <c r="S625" s="66" t="s">
        <v>1349</v>
      </c>
      <c r="T625" s="67">
        <v>1</v>
      </c>
      <c r="U625" s="75" t="s">
        <v>1114</v>
      </c>
      <c r="V625" s="68">
        <v>65</v>
      </c>
      <c r="W625" s="68"/>
      <c r="X625" s="69">
        <v>0</v>
      </c>
      <c r="Y625" s="68">
        <v>0</v>
      </c>
      <c r="Z625" s="68">
        <v>0</v>
      </c>
      <c r="AA625" s="68">
        <v>0</v>
      </c>
      <c r="AB625" s="68">
        <v>0</v>
      </c>
      <c r="AC625" s="68"/>
      <c r="AD625" s="68">
        <v>0</v>
      </c>
      <c r="AE625" s="68">
        <v>0</v>
      </c>
      <c r="AF625" s="68">
        <v>0</v>
      </c>
      <c r="AG625" s="68">
        <v>0</v>
      </c>
      <c r="AH625" s="68">
        <v>0</v>
      </c>
      <c r="AI625" s="68"/>
      <c r="AJ625" s="68">
        <v>0</v>
      </c>
      <c r="AK625" s="68">
        <v>0</v>
      </c>
      <c r="AL625" s="68">
        <v>1</v>
      </c>
      <c r="AM625" s="68"/>
      <c r="AN625" s="68">
        <v>1</v>
      </c>
      <c r="AO625" s="68"/>
      <c r="AP625" s="68">
        <v>1</v>
      </c>
      <c r="AQ625" s="68"/>
      <c r="AR625" s="68">
        <v>0</v>
      </c>
      <c r="AS625" s="68">
        <v>0</v>
      </c>
      <c r="AT625" s="68">
        <v>0</v>
      </c>
      <c r="AU625" s="68"/>
      <c r="AV625" s="68">
        <v>0</v>
      </c>
      <c r="AW625" s="68">
        <v>0</v>
      </c>
      <c r="AX625" s="170">
        <f t="shared" si="78"/>
        <v>5180</v>
      </c>
      <c r="AY625" s="170"/>
      <c r="AZ625" s="64" t="s">
        <v>77</v>
      </c>
      <c r="BA625" s="64" t="s">
        <v>77</v>
      </c>
      <c r="BB625" s="15" t="s">
        <v>77</v>
      </c>
      <c r="BC625" s="74">
        <v>616</v>
      </c>
      <c r="BD625" s="70"/>
      <c r="BE625" s="67"/>
      <c r="BF625" s="71"/>
      <c r="BG625" s="15"/>
      <c r="BH625" s="72" t="s">
        <v>77</v>
      </c>
      <c r="BI625" s="72" t="s">
        <v>77</v>
      </c>
    </row>
    <row r="626" spans="1:61" s="16" customFormat="1" ht="42" customHeight="1" x14ac:dyDescent="0.3">
      <c r="A626" s="26">
        <v>617</v>
      </c>
      <c r="B626" s="62">
        <v>251974</v>
      </c>
      <c r="C626" s="62">
        <v>617</v>
      </c>
      <c r="D626" s="63">
        <v>46198</v>
      </c>
      <c r="E626" s="63">
        <f t="shared" si="81"/>
        <v>46197</v>
      </c>
      <c r="F626" s="63">
        <f t="shared" si="82"/>
        <v>46208</v>
      </c>
      <c r="G626" s="63">
        <v>46290</v>
      </c>
      <c r="H626" s="63">
        <f t="shared" ca="1" si="88"/>
        <v>46277</v>
      </c>
      <c r="I626" s="63" t="s">
        <v>321</v>
      </c>
      <c r="J626" s="64" t="s">
        <v>1352</v>
      </c>
      <c r="K626" s="65">
        <f t="shared" si="83"/>
        <v>82</v>
      </c>
      <c r="L626" s="65">
        <v>1240771</v>
      </c>
      <c r="M626" s="64" t="s">
        <v>77</v>
      </c>
      <c r="N626" s="64">
        <v>837395</v>
      </c>
      <c r="O626" s="79" t="s">
        <v>246</v>
      </c>
      <c r="P626" s="103">
        <v>46250</v>
      </c>
      <c r="Q626" s="103">
        <v>46424</v>
      </c>
      <c r="R626" s="73" t="s">
        <v>211</v>
      </c>
      <c r="S626" s="66" t="s">
        <v>1353</v>
      </c>
      <c r="T626" s="67">
        <v>1</v>
      </c>
      <c r="U626" s="75" t="s">
        <v>81</v>
      </c>
      <c r="V626" s="68">
        <v>91</v>
      </c>
      <c r="W626" s="68"/>
      <c r="X626" s="69">
        <v>0</v>
      </c>
      <c r="Y626" s="68">
        <v>0</v>
      </c>
      <c r="Z626" s="68">
        <v>0</v>
      </c>
      <c r="AA626" s="68">
        <v>0</v>
      </c>
      <c r="AB626" s="68">
        <v>0</v>
      </c>
      <c r="AC626" s="68"/>
      <c r="AD626" s="68">
        <v>0</v>
      </c>
      <c r="AE626" s="68">
        <v>0</v>
      </c>
      <c r="AF626" s="68">
        <v>0</v>
      </c>
      <c r="AG626" s="68">
        <v>0</v>
      </c>
      <c r="AH626" s="68">
        <v>0</v>
      </c>
      <c r="AI626" s="68"/>
      <c r="AJ626" s="68">
        <v>0</v>
      </c>
      <c r="AK626" s="68">
        <v>0</v>
      </c>
      <c r="AL626" s="68">
        <v>1</v>
      </c>
      <c r="AM626" s="68"/>
      <c r="AN626" s="68">
        <v>1</v>
      </c>
      <c r="AO626" s="68"/>
      <c r="AP626" s="68">
        <v>1</v>
      </c>
      <c r="AQ626" s="68"/>
      <c r="AR626" s="68">
        <v>0</v>
      </c>
      <c r="AS626" s="68">
        <v>0</v>
      </c>
      <c r="AT626" s="68">
        <v>0</v>
      </c>
      <c r="AU626" s="68"/>
      <c r="AV626" s="68">
        <v>0</v>
      </c>
      <c r="AW626" s="68">
        <v>0</v>
      </c>
      <c r="AX626" s="170">
        <f t="shared" si="78"/>
        <v>6740</v>
      </c>
      <c r="AY626" s="170"/>
      <c r="AZ626" s="64" t="s">
        <v>77</v>
      </c>
      <c r="BA626" s="64" t="s">
        <v>77</v>
      </c>
      <c r="BB626" s="15" t="s">
        <v>77</v>
      </c>
      <c r="BC626" s="74">
        <v>617</v>
      </c>
      <c r="BD626" s="70"/>
      <c r="BE626" s="67"/>
      <c r="BF626" s="71"/>
      <c r="BG626" s="15"/>
      <c r="BH626" s="72" t="s">
        <v>77</v>
      </c>
      <c r="BI626" s="72" t="s">
        <v>77</v>
      </c>
    </row>
    <row r="627" spans="1:61" s="16" customFormat="1" ht="42" customHeight="1" x14ac:dyDescent="0.3">
      <c r="A627" s="26">
        <v>618</v>
      </c>
      <c r="B627" s="62">
        <v>251979</v>
      </c>
      <c r="C627" s="62">
        <v>618</v>
      </c>
      <c r="D627" s="63">
        <v>46198</v>
      </c>
      <c r="E627" s="63">
        <f t="shared" ref="E627:E658" si="89">D627-1</f>
        <v>46197</v>
      </c>
      <c r="F627" s="63">
        <f t="shared" ref="F627:F658" si="90">D627+10</f>
        <v>46208</v>
      </c>
      <c r="G627" s="63">
        <v>46290</v>
      </c>
      <c r="H627" s="63">
        <f t="shared" ca="1" si="88"/>
        <v>46277</v>
      </c>
      <c r="I627" s="63" t="s">
        <v>321</v>
      </c>
      <c r="J627" s="64" t="s">
        <v>1354</v>
      </c>
      <c r="K627" s="65">
        <f t="shared" ref="K627:K658" si="91">G627-F627</f>
        <v>82</v>
      </c>
      <c r="L627" s="65">
        <v>1240779</v>
      </c>
      <c r="M627" s="64" t="s">
        <v>77</v>
      </c>
      <c r="N627" s="64" t="s">
        <v>77</v>
      </c>
      <c r="O627" s="64" t="s">
        <v>77</v>
      </c>
      <c r="P627" s="103" t="s">
        <v>77</v>
      </c>
      <c r="Q627" s="103" t="s">
        <v>77</v>
      </c>
      <c r="R627" s="73" t="s">
        <v>211</v>
      </c>
      <c r="S627" s="66" t="s">
        <v>1355</v>
      </c>
      <c r="T627" s="67">
        <v>1</v>
      </c>
      <c r="U627" s="75" t="s">
        <v>1356</v>
      </c>
      <c r="V627" s="68">
        <v>81</v>
      </c>
      <c r="W627" s="68"/>
      <c r="X627" s="69">
        <v>0</v>
      </c>
      <c r="Y627" s="68">
        <v>0</v>
      </c>
      <c r="Z627" s="68">
        <v>0</v>
      </c>
      <c r="AA627" s="68">
        <v>0</v>
      </c>
      <c r="AB627" s="68">
        <v>0</v>
      </c>
      <c r="AC627" s="68"/>
      <c r="AD627" s="68">
        <v>0</v>
      </c>
      <c r="AE627" s="68">
        <v>0</v>
      </c>
      <c r="AF627" s="68">
        <v>0</v>
      </c>
      <c r="AG627" s="68">
        <v>0</v>
      </c>
      <c r="AH627" s="68">
        <v>0</v>
      </c>
      <c r="AI627" s="68"/>
      <c r="AJ627" s="68">
        <v>0</v>
      </c>
      <c r="AK627" s="68">
        <v>0</v>
      </c>
      <c r="AL627" s="68">
        <v>1</v>
      </c>
      <c r="AM627" s="68"/>
      <c r="AN627" s="68">
        <v>1</v>
      </c>
      <c r="AO627" s="68"/>
      <c r="AP627" s="68">
        <v>1</v>
      </c>
      <c r="AQ627" s="68"/>
      <c r="AR627" s="68">
        <v>0</v>
      </c>
      <c r="AS627" s="68">
        <v>0</v>
      </c>
      <c r="AT627" s="68">
        <v>0</v>
      </c>
      <c r="AU627" s="68"/>
      <c r="AV627" s="68">
        <v>0</v>
      </c>
      <c r="AW627" s="68">
        <v>0</v>
      </c>
      <c r="AX627" s="170">
        <f t="shared" si="78"/>
        <v>6140</v>
      </c>
      <c r="AY627" s="170"/>
      <c r="AZ627" s="64" t="s">
        <v>77</v>
      </c>
      <c r="BA627" s="64" t="s">
        <v>77</v>
      </c>
      <c r="BB627" s="15" t="s">
        <v>77</v>
      </c>
      <c r="BC627" s="74">
        <v>618</v>
      </c>
      <c r="BD627" s="70"/>
      <c r="BE627" s="67"/>
      <c r="BF627" s="71"/>
      <c r="BG627" s="15"/>
      <c r="BH627" s="72" t="s">
        <v>77</v>
      </c>
      <c r="BI627" s="72" t="s">
        <v>77</v>
      </c>
    </row>
    <row r="628" spans="1:61" s="16" customFormat="1" ht="42" customHeight="1" x14ac:dyDescent="0.3">
      <c r="A628" s="26">
        <v>619</v>
      </c>
      <c r="B628" s="77">
        <v>251986</v>
      </c>
      <c r="C628" s="77">
        <v>619</v>
      </c>
      <c r="D628" s="78">
        <v>46198</v>
      </c>
      <c r="E628" s="78">
        <f t="shared" si="89"/>
        <v>46197</v>
      </c>
      <c r="F628" s="78">
        <f t="shared" si="90"/>
        <v>46208</v>
      </c>
      <c r="G628" s="78">
        <v>46290</v>
      </c>
      <c r="H628" s="78">
        <f t="shared" ca="1" si="88"/>
        <v>46277</v>
      </c>
      <c r="I628" s="78" t="s">
        <v>321</v>
      </c>
      <c r="J628" s="79" t="s">
        <v>1357</v>
      </c>
      <c r="K628" s="76">
        <f t="shared" si="91"/>
        <v>82</v>
      </c>
      <c r="L628" s="76">
        <v>1240786</v>
      </c>
      <c r="M628" s="79" t="s">
        <v>210</v>
      </c>
      <c r="N628" s="79">
        <v>838764</v>
      </c>
      <c r="O628" s="79" t="s">
        <v>246</v>
      </c>
      <c r="P628" s="104">
        <v>46267</v>
      </c>
      <c r="Q628" s="104">
        <v>46447</v>
      </c>
      <c r="R628" s="194" t="s">
        <v>211</v>
      </c>
      <c r="S628" s="81" t="s">
        <v>899</v>
      </c>
      <c r="T628" s="82">
        <v>1</v>
      </c>
      <c r="U628" s="195" t="s">
        <v>173</v>
      </c>
      <c r="V628" s="83">
        <v>130</v>
      </c>
      <c r="W628" s="83"/>
      <c r="X628" s="84">
        <v>0</v>
      </c>
      <c r="Y628" s="83">
        <v>0</v>
      </c>
      <c r="Z628" s="83">
        <v>0</v>
      </c>
      <c r="AA628" s="83">
        <v>0</v>
      </c>
      <c r="AB628" s="83">
        <v>0</v>
      </c>
      <c r="AC628" s="83"/>
      <c r="AD628" s="83">
        <v>0</v>
      </c>
      <c r="AE628" s="83">
        <v>0</v>
      </c>
      <c r="AF628" s="83">
        <v>0</v>
      </c>
      <c r="AG628" s="83">
        <v>0</v>
      </c>
      <c r="AH628" s="83">
        <v>0</v>
      </c>
      <c r="AI628" s="83"/>
      <c r="AJ628" s="83">
        <v>0</v>
      </c>
      <c r="AK628" s="83">
        <v>0</v>
      </c>
      <c r="AL628" s="83">
        <v>1</v>
      </c>
      <c r="AM628" s="83"/>
      <c r="AN628" s="83">
        <v>1</v>
      </c>
      <c r="AO628" s="83"/>
      <c r="AP628" s="83">
        <v>1</v>
      </c>
      <c r="AQ628" s="83"/>
      <c r="AR628" s="83">
        <v>0</v>
      </c>
      <c r="AS628" s="83">
        <v>0</v>
      </c>
      <c r="AT628" s="83">
        <v>0</v>
      </c>
      <c r="AU628" s="83"/>
      <c r="AV628" s="83">
        <v>0</v>
      </c>
      <c r="AW628" s="83">
        <v>0</v>
      </c>
      <c r="AX628" s="83">
        <f t="shared" si="78"/>
        <v>9080</v>
      </c>
      <c r="AY628" s="83"/>
      <c r="AZ628" s="79" t="s">
        <v>210</v>
      </c>
      <c r="BA628" s="79" t="s">
        <v>77</v>
      </c>
      <c r="BB628" s="80" t="s">
        <v>77</v>
      </c>
      <c r="BC628" s="196">
        <v>619</v>
      </c>
      <c r="BD628" s="85"/>
      <c r="BE628" s="82"/>
      <c r="BF628" s="86"/>
      <c r="BG628" s="80"/>
      <c r="BH628" s="87" t="s">
        <v>77</v>
      </c>
      <c r="BI628" s="87" t="s">
        <v>77</v>
      </c>
    </row>
    <row r="629" spans="1:61" s="16" customFormat="1" ht="42" customHeight="1" x14ac:dyDescent="0.3">
      <c r="A629" s="26">
        <v>620</v>
      </c>
      <c r="B629" s="62">
        <v>251994</v>
      </c>
      <c r="C629" s="62">
        <v>620</v>
      </c>
      <c r="D629" s="63">
        <v>46198</v>
      </c>
      <c r="E629" s="63">
        <f t="shared" si="89"/>
        <v>46197</v>
      </c>
      <c r="F629" s="63">
        <f t="shared" si="90"/>
        <v>46208</v>
      </c>
      <c r="G629" s="63">
        <v>46290</v>
      </c>
      <c r="H629" s="63">
        <f t="shared" ca="1" si="88"/>
        <v>46277</v>
      </c>
      <c r="I629" s="63" t="s">
        <v>321</v>
      </c>
      <c r="J629" s="64" t="s">
        <v>1358</v>
      </c>
      <c r="K629" s="65">
        <f t="shared" si="91"/>
        <v>82</v>
      </c>
      <c r="L629" s="65">
        <v>1240796</v>
      </c>
      <c r="M629" s="64" t="s">
        <v>77</v>
      </c>
      <c r="N629" s="64">
        <v>838765</v>
      </c>
      <c r="O629" s="79" t="s">
        <v>246</v>
      </c>
      <c r="P629" s="103">
        <v>46270</v>
      </c>
      <c r="Q629" s="103">
        <v>46450</v>
      </c>
      <c r="R629" s="73" t="s">
        <v>211</v>
      </c>
      <c r="S629" s="66" t="s">
        <v>1359</v>
      </c>
      <c r="T629" s="67">
        <v>1</v>
      </c>
      <c r="U629" s="75" t="s">
        <v>82</v>
      </c>
      <c r="V629" s="68">
        <v>149</v>
      </c>
      <c r="W629" s="68"/>
      <c r="X629" s="69">
        <v>0</v>
      </c>
      <c r="Y629" s="68">
        <v>0</v>
      </c>
      <c r="Z629" s="68">
        <v>0</v>
      </c>
      <c r="AA629" s="68">
        <v>0</v>
      </c>
      <c r="AB629" s="68">
        <v>0</v>
      </c>
      <c r="AC629" s="68"/>
      <c r="AD629" s="68">
        <v>0</v>
      </c>
      <c r="AE629" s="68">
        <v>0</v>
      </c>
      <c r="AF629" s="68">
        <v>0</v>
      </c>
      <c r="AG629" s="68">
        <v>0</v>
      </c>
      <c r="AH629" s="68">
        <v>0</v>
      </c>
      <c r="AI629" s="68"/>
      <c r="AJ629" s="68">
        <v>0</v>
      </c>
      <c r="AK629" s="68">
        <v>0</v>
      </c>
      <c r="AL629" s="68">
        <v>0</v>
      </c>
      <c r="AM629" s="68"/>
      <c r="AN629" s="68">
        <v>3</v>
      </c>
      <c r="AO629" s="68"/>
      <c r="AP629" s="68">
        <v>2</v>
      </c>
      <c r="AQ629" s="68"/>
      <c r="AR629" s="68">
        <v>0</v>
      </c>
      <c r="AS629" s="68">
        <v>0</v>
      </c>
      <c r="AT629" s="68">
        <v>0</v>
      </c>
      <c r="AU629" s="68"/>
      <c r="AV629" s="68">
        <v>0</v>
      </c>
      <c r="AW629" s="68">
        <v>0</v>
      </c>
      <c r="AX629" s="170">
        <f t="shared" si="78"/>
        <v>10380</v>
      </c>
      <c r="AY629" s="170"/>
      <c r="AZ629" s="64" t="s">
        <v>77</v>
      </c>
      <c r="BA629" s="64" t="s">
        <v>77</v>
      </c>
      <c r="BB629" s="15" t="s">
        <v>77</v>
      </c>
      <c r="BC629" s="74">
        <v>620</v>
      </c>
      <c r="BD629" s="70"/>
      <c r="BE629" s="67"/>
      <c r="BF629" s="71"/>
      <c r="BG629" s="15"/>
      <c r="BH629" s="72" t="s">
        <v>77</v>
      </c>
      <c r="BI629" s="72" t="s">
        <v>77</v>
      </c>
    </row>
    <row r="630" spans="1:61" s="16" customFormat="1" ht="42" customHeight="1" x14ac:dyDescent="0.3">
      <c r="A630" s="26">
        <v>621</v>
      </c>
      <c r="B630" s="62">
        <v>252003</v>
      </c>
      <c r="C630" s="62">
        <v>621</v>
      </c>
      <c r="D630" s="63">
        <v>46198</v>
      </c>
      <c r="E630" s="63">
        <f t="shared" si="89"/>
        <v>46197</v>
      </c>
      <c r="F630" s="63">
        <f t="shared" si="90"/>
        <v>46208</v>
      </c>
      <c r="G630" s="63">
        <v>46290</v>
      </c>
      <c r="H630" s="63">
        <f t="shared" ca="1" si="88"/>
        <v>46277</v>
      </c>
      <c r="I630" s="63" t="s">
        <v>321</v>
      </c>
      <c r="J630" s="64" t="s">
        <v>1360</v>
      </c>
      <c r="K630" s="65">
        <f t="shared" si="91"/>
        <v>82</v>
      </c>
      <c r="L630" s="65">
        <v>1240860</v>
      </c>
      <c r="M630" s="64" t="s">
        <v>77</v>
      </c>
      <c r="N630" s="64" t="s">
        <v>77</v>
      </c>
      <c r="O630" s="64" t="s">
        <v>77</v>
      </c>
      <c r="P630" s="103" t="s">
        <v>77</v>
      </c>
      <c r="Q630" s="103" t="s">
        <v>77</v>
      </c>
      <c r="R630" s="73" t="s">
        <v>211</v>
      </c>
      <c r="S630" s="66" t="s">
        <v>1361</v>
      </c>
      <c r="T630" s="67">
        <v>1</v>
      </c>
      <c r="U630" s="75" t="s">
        <v>106</v>
      </c>
      <c r="V630" s="68">
        <v>32</v>
      </c>
      <c r="W630" s="68"/>
      <c r="X630" s="69">
        <v>0</v>
      </c>
      <c r="Y630" s="68">
        <v>0</v>
      </c>
      <c r="Z630" s="68">
        <v>0</v>
      </c>
      <c r="AA630" s="68">
        <v>0</v>
      </c>
      <c r="AB630" s="68">
        <v>0</v>
      </c>
      <c r="AC630" s="68"/>
      <c r="AD630" s="68">
        <v>0</v>
      </c>
      <c r="AE630" s="68">
        <v>0</v>
      </c>
      <c r="AF630" s="68">
        <v>0</v>
      </c>
      <c r="AG630" s="68">
        <v>0</v>
      </c>
      <c r="AH630" s="68">
        <v>0</v>
      </c>
      <c r="AI630" s="68"/>
      <c r="AJ630" s="68">
        <v>0</v>
      </c>
      <c r="AK630" s="68">
        <v>0</v>
      </c>
      <c r="AL630" s="68">
        <v>2</v>
      </c>
      <c r="AM630" s="68"/>
      <c r="AN630" s="68">
        <v>2</v>
      </c>
      <c r="AO630" s="68"/>
      <c r="AP630" s="68">
        <v>1</v>
      </c>
      <c r="AQ630" s="68"/>
      <c r="AR630" s="68">
        <v>0</v>
      </c>
      <c r="AS630" s="68">
        <v>0</v>
      </c>
      <c r="AT630" s="68">
        <v>0</v>
      </c>
      <c r="AU630" s="68"/>
      <c r="AV630" s="68">
        <v>0</v>
      </c>
      <c r="AW630" s="68">
        <v>0</v>
      </c>
      <c r="AX630" s="170">
        <f t="shared" si="78"/>
        <v>3850</v>
      </c>
      <c r="AY630" s="170"/>
      <c r="AZ630" s="64" t="s">
        <v>77</v>
      </c>
      <c r="BA630" s="64" t="s">
        <v>77</v>
      </c>
      <c r="BB630" s="15" t="s">
        <v>77</v>
      </c>
      <c r="BC630" s="74">
        <v>621</v>
      </c>
      <c r="BD630" s="70"/>
      <c r="BE630" s="67"/>
      <c r="BF630" s="71"/>
      <c r="BG630" s="15"/>
      <c r="BH630" s="72" t="s">
        <v>77</v>
      </c>
      <c r="BI630" s="72" t="s">
        <v>77</v>
      </c>
    </row>
    <row r="631" spans="1:61" s="16" customFormat="1" ht="42" customHeight="1" x14ac:dyDescent="0.3">
      <c r="A631" s="26">
        <v>622</v>
      </c>
      <c r="B631" s="62">
        <v>252004</v>
      </c>
      <c r="C631" s="62">
        <v>622</v>
      </c>
      <c r="D631" s="63">
        <v>46198</v>
      </c>
      <c r="E631" s="63">
        <f t="shared" si="89"/>
        <v>46197</v>
      </c>
      <c r="F631" s="63">
        <f t="shared" si="90"/>
        <v>46208</v>
      </c>
      <c r="G631" s="63">
        <v>46290</v>
      </c>
      <c r="H631" s="63">
        <f t="shared" ca="1" si="88"/>
        <v>46277</v>
      </c>
      <c r="I631" s="63" t="s">
        <v>321</v>
      </c>
      <c r="J631" s="64" t="s">
        <v>1362</v>
      </c>
      <c r="K631" s="65">
        <f t="shared" si="91"/>
        <v>82</v>
      </c>
      <c r="L631" s="65">
        <v>1240861</v>
      </c>
      <c r="M631" s="64" t="s">
        <v>77</v>
      </c>
      <c r="N631" s="64">
        <v>838765</v>
      </c>
      <c r="O631" s="79" t="s">
        <v>246</v>
      </c>
      <c r="P631" s="103">
        <v>46270</v>
      </c>
      <c r="Q631" s="103">
        <v>46450</v>
      </c>
      <c r="R631" s="73" t="s">
        <v>211</v>
      </c>
      <c r="S631" s="66" t="s">
        <v>1363</v>
      </c>
      <c r="T631" s="67">
        <v>1</v>
      </c>
      <c r="U631" s="75" t="s">
        <v>82</v>
      </c>
      <c r="V631" s="68">
        <v>136</v>
      </c>
      <c r="W631" s="68"/>
      <c r="X631" s="69">
        <v>0</v>
      </c>
      <c r="Y631" s="68">
        <v>0</v>
      </c>
      <c r="Z631" s="68">
        <v>0</v>
      </c>
      <c r="AA631" s="68">
        <v>0</v>
      </c>
      <c r="AB631" s="68">
        <v>0</v>
      </c>
      <c r="AC631" s="68"/>
      <c r="AD631" s="68">
        <v>0</v>
      </c>
      <c r="AE631" s="68">
        <v>0</v>
      </c>
      <c r="AF631" s="68">
        <v>0</v>
      </c>
      <c r="AG631" s="68">
        <v>0</v>
      </c>
      <c r="AH631" s="68">
        <v>0</v>
      </c>
      <c r="AI631" s="68"/>
      <c r="AJ631" s="68">
        <v>0</v>
      </c>
      <c r="AK631" s="68">
        <v>0</v>
      </c>
      <c r="AL631" s="68">
        <v>1</v>
      </c>
      <c r="AM631" s="68"/>
      <c r="AN631" s="68">
        <v>2</v>
      </c>
      <c r="AO631" s="68"/>
      <c r="AP631" s="68">
        <v>2</v>
      </c>
      <c r="AQ631" s="68"/>
      <c r="AR631" s="68">
        <v>0</v>
      </c>
      <c r="AS631" s="68">
        <v>0</v>
      </c>
      <c r="AT631" s="68">
        <v>0</v>
      </c>
      <c r="AU631" s="68"/>
      <c r="AV631" s="68">
        <v>0</v>
      </c>
      <c r="AW631" s="68">
        <v>0</v>
      </c>
      <c r="AX631" s="170">
        <f t="shared" si="78"/>
        <v>10130</v>
      </c>
      <c r="AY631" s="170"/>
      <c r="AZ631" s="64" t="s">
        <v>77</v>
      </c>
      <c r="BA631" s="64" t="s">
        <v>77</v>
      </c>
      <c r="BB631" s="15" t="s">
        <v>77</v>
      </c>
      <c r="BC631" s="74">
        <v>622</v>
      </c>
      <c r="BD631" s="70"/>
      <c r="BE631" s="67"/>
      <c r="BF631" s="71"/>
      <c r="BG631" s="15"/>
      <c r="BH631" s="72" t="s">
        <v>77</v>
      </c>
      <c r="BI631" s="72" t="s">
        <v>77</v>
      </c>
    </row>
    <row r="632" spans="1:61" s="16" customFormat="1" ht="42" customHeight="1" x14ac:dyDescent="0.3">
      <c r="A632" s="26">
        <v>623</v>
      </c>
      <c r="B632" s="62">
        <v>252005</v>
      </c>
      <c r="C632" s="62">
        <v>623</v>
      </c>
      <c r="D632" s="63">
        <v>46198</v>
      </c>
      <c r="E632" s="63">
        <f t="shared" si="89"/>
        <v>46197</v>
      </c>
      <c r="F632" s="63">
        <f t="shared" si="90"/>
        <v>46208</v>
      </c>
      <c r="G632" s="63">
        <v>46290</v>
      </c>
      <c r="H632" s="63">
        <f t="shared" ca="1" si="88"/>
        <v>46277</v>
      </c>
      <c r="I632" s="63" t="s">
        <v>321</v>
      </c>
      <c r="J632" s="64" t="s">
        <v>1364</v>
      </c>
      <c r="K632" s="65">
        <f t="shared" si="91"/>
        <v>82</v>
      </c>
      <c r="L632" s="65">
        <v>1240862</v>
      </c>
      <c r="M632" s="64" t="s">
        <v>77</v>
      </c>
      <c r="N632" s="64">
        <v>837395</v>
      </c>
      <c r="O632" s="79" t="s">
        <v>246</v>
      </c>
      <c r="P632" s="103">
        <v>46250</v>
      </c>
      <c r="Q632" s="103">
        <v>46424</v>
      </c>
      <c r="R632" s="73" t="s">
        <v>211</v>
      </c>
      <c r="S632" s="66" t="s">
        <v>1365</v>
      </c>
      <c r="T632" s="67">
        <v>1</v>
      </c>
      <c r="U632" s="75" t="s">
        <v>81</v>
      </c>
      <c r="V632" s="68">
        <v>133</v>
      </c>
      <c r="W632" s="68"/>
      <c r="X632" s="69">
        <v>0</v>
      </c>
      <c r="Y632" s="68">
        <v>0</v>
      </c>
      <c r="Z632" s="68">
        <v>0</v>
      </c>
      <c r="AA632" s="68">
        <v>0</v>
      </c>
      <c r="AB632" s="68">
        <v>0</v>
      </c>
      <c r="AC632" s="68"/>
      <c r="AD632" s="68">
        <v>0</v>
      </c>
      <c r="AE632" s="68">
        <v>0</v>
      </c>
      <c r="AF632" s="68">
        <v>0</v>
      </c>
      <c r="AG632" s="68">
        <v>0</v>
      </c>
      <c r="AH632" s="68">
        <v>0</v>
      </c>
      <c r="AI632" s="68"/>
      <c r="AJ632" s="68">
        <v>0</v>
      </c>
      <c r="AK632" s="68">
        <v>0</v>
      </c>
      <c r="AL632" s="68">
        <v>0</v>
      </c>
      <c r="AM632" s="68"/>
      <c r="AN632" s="68">
        <v>1</v>
      </c>
      <c r="AO632" s="68"/>
      <c r="AP632" s="68">
        <v>1</v>
      </c>
      <c r="AQ632" s="68"/>
      <c r="AR632" s="68">
        <v>0</v>
      </c>
      <c r="AS632" s="68">
        <v>0</v>
      </c>
      <c r="AT632" s="68">
        <v>0</v>
      </c>
      <c r="AU632" s="68"/>
      <c r="AV632" s="68">
        <v>0</v>
      </c>
      <c r="AW632" s="68">
        <v>0</v>
      </c>
      <c r="AX632" s="170">
        <f t="shared" si="78"/>
        <v>8670</v>
      </c>
      <c r="AY632" s="170"/>
      <c r="AZ632" s="64" t="s">
        <v>77</v>
      </c>
      <c r="BA632" s="64" t="s">
        <v>77</v>
      </c>
      <c r="BB632" s="15" t="s">
        <v>77</v>
      </c>
      <c r="BC632" s="74">
        <v>623</v>
      </c>
      <c r="BD632" s="70"/>
      <c r="BE632" s="67"/>
      <c r="BF632" s="71"/>
      <c r="BG632" s="15"/>
      <c r="BH632" s="72" t="s">
        <v>77</v>
      </c>
      <c r="BI632" s="72" t="s">
        <v>77</v>
      </c>
    </row>
    <row r="633" spans="1:61" s="16" customFormat="1" ht="42" customHeight="1" x14ac:dyDescent="0.3">
      <c r="A633" s="26">
        <v>624</v>
      </c>
      <c r="B633" s="163">
        <v>252052</v>
      </c>
      <c r="C633" s="163">
        <v>624</v>
      </c>
      <c r="D633" s="164">
        <v>46201</v>
      </c>
      <c r="E633" s="164">
        <f t="shared" si="89"/>
        <v>46200</v>
      </c>
      <c r="F633" s="164">
        <f t="shared" si="90"/>
        <v>46211</v>
      </c>
      <c r="G633" s="164">
        <v>46262</v>
      </c>
      <c r="H633" s="164">
        <v>46252</v>
      </c>
      <c r="I633" s="164" t="s">
        <v>123</v>
      </c>
      <c r="J633" s="165" t="s">
        <v>1366</v>
      </c>
      <c r="K633" s="166">
        <f t="shared" si="91"/>
        <v>51</v>
      </c>
      <c r="L633" s="166">
        <v>1241353</v>
      </c>
      <c r="M633" s="165" t="s">
        <v>15</v>
      </c>
      <c r="N633" s="165">
        <v>833894</v>
      </c>
      <c r="O633" s="162" t="s">
        <v>246</v>
      </c>
      <c r="P633" s="167">
        <v>46222</v>
      </c>
      <c r="Q633" s="167">
        <v>46026</v>
      </c>
      <c r="R633" s="179" t="s">
        <v>1233</v>
      </c>
      <c r="S633" s="168" t="s">
        <v>1367</v>
      </c>
      <c r="T633" s="169">
        <v>1</v>
      </c>
      <c r="U633" s="180" t="s">
        <v>81</v>
      </c>
      <c r="V633" s="170">
        <v>214</v>
      </c>
      <c r="W633" s="170">
        <v>214</v>
      </c>
      <c r="X633" s="171">
        <v>0</v>
      </c>
      <c r="Y633" s="170">
        <v>0</v>
      </c>
      <c r="Z633" s="170">
        <v>0</v>
      </c>
      <c r="AA633" s="170">
        <v>0</v>
      </c>
      <c r="AB633" s="170">
        <v>194</v>
      </c>
      <c r="AC633" s="170">
        <v>194</v>
      </c>
      <c r="AD633" s="170">
        <v>0</v>
      </c>
      <c r="AE633" s="170">
        <v>0</v>
      </c>
      <c r="AF633" s="170">
        <v>0</v>
      </c>
      <c r="AG633" s="170">
        <v>0</v>
      </c>
      <c r="AH633" s="170">
        <v>1</v>
      </c>
      <c r="AI633" s="170">
        <v>1</v>
      </c>
      <c r="AJ633" s="170">
        <v>0</v>
      </c>
      <c r="AK633" s="170">
        <v>0</v>
      </c>
      <c r="AL633" s="170">
        <v>1</v>
      </c>
      <c r="AM633" s="170">
        <v>1</v>
      </c>
      <c r="AN633" s="170">
        <v>1</v>
      </c>
      <c r="AO633" s="170">
        <v>1</v>
      </c>
      <c r="AP633" s="170">
        <v>1</v>
      </c>
      <c r="AQ633" s="170">
        <v>1</v>
      </c>
      <c r="AR633" s="170">
        <v>0</v>
      </c>
      <c r="AS633" s="170">
        <v>0</v>
      </c>
      <c r="AT633" s="170">
        <v>1</v>
      </c>
      <c r="AU633" s="170">
        <v>1</v>
      </c>
      <c r="AV633" s="170">
        <v>0</v>
      </c>
      <c r="AW633" s="170">
        <v>0</v>
      </c>
      <c r="AX633" s="170">
        <f t="shared" si="78"/>
        <v>25698</v>
      </c>
      <c r="AY633" s="170">
        <f>(W633*60)+(Y633*80)+(AA633*38)+(AC633*57)+(AE633*75)+(AG633*155)+(AI633*170)+(AK633*375)+(AM633*590)+(AO633*60)+(AQ633*630)+(AS633*400)+(AU633*350)+(AW633*950)</f>
        <v>25698</v>
      </c>
      <c r="AZ633" s="165" t="s">
        <v>15</v>
      </c>
      <c r="BA633" s="165" t="s">
        <v>77</v>
      </c>
      <c r="BB633" s="162" t="s">
        <v>77</v>
      </c>
      <c r="BC633" s="181">
        <v>624</v>
      </c>
      <c r="BD633" s="173"/>
      <c r="BE633" s="169"/>
      <c r="BF633" s="174"/>
      <c r="BG633" s="178">
        <v>46240</v>
      </c>
      <c r="BH633" s="175" t="s">
        <v>77</v>
      </c>
      <c r="BI633" s="175" t="s">
        <v>77</v>
      </c>
    </row>
    <row r="634" spans="1:61" s="16" customFormat="1" ht="42" customHeight="1" x14ac:dyDescent="0.3">
      <c r="A634" s="26">
        <v>625</v>
      </c>
      <c r="B634" s="163">
        <v>252103</v>
      </c>
      <c r="C634" s="163">
        <v>625</v>
      </c>
      <c r="D634" s="164">
        <v>46202</v>
      </c>
      <c r="E634" s="164">
        <f t="shared" si="89"/>
        <v>46201</v>
      </c>
      <c r="F634" s="164">
        <f t="shared" si="90"/>
        <v>46212</v>
      </c>
      <c r="G634" s="164">
        <v>46263</v>
      </c>
      <c r="H634" s="164">
        <v>46231</v>
      </c>
      <c r="I634" s="164" t="s">
        <v>123</v>
      </c>
      <c r="J634" s="165" t="s">
        <v>1369</v>
      </c>
      <c r="K634" s="166">
        <f t="shared" si="91"/>
        <v>51</v>
      </c>
      <c r="L634" s="166">
        <v>1241640</v>
      </c>
      <c r="M634" s="165" t="s">
        <v>15</v>
      </c>
      <c r="N634" s="165">
        <f>N633</f>
        <v>833894</v>
      </c>
      <c r="O634" s="162" t="s">
        <v>246</v>
      </c>
      <c r="P634" s="167">
        <f>P633</f>
        <v>46222</v>
      </c>
      <c r="Q634" s="167">
        <f>Q633</f>
        <v>46026</v>
      </c>
      <c r="R634" s="179" t="s">
        <v>211</v>
      </c>
      <c r="S634" s="168" t="s">
        <v>1368</v>
      </c>
      <c r="T634" s="169">
        <v>1</v>
      </c>
      <c r="U634" s="180" t="s">
        <v>81</v>
      </c>
      <c r="V634" s="170">
        <v>43</v>
      </c>
      <c r="W634" s="170">
        <v>43</v>
      </c>
      <c r="X634" s="171">
        <v>0</v>
      </c>
      <c r="Y634" s="170">
        <v>0</v>
      </c>
      <c r="Z634" s="170">
        <v>0</v>
      </c>
      <c r="AA634" s="170">
        <v>0</v>
      </c>
      <c r="AB634" s="170">
        <v>20</v>
      </c>
      <c r="AC634" s="170">
        <v>20</v>
      </c>
      <c r="AD634" s="170">
        <v>0</v>
      </c>
      <c r="AE634" s="170">
        <v>0</v>
      </c>
      <c r="AF634" s="170">
        <v>0</v>
      </c>
      <c r="AG634" s="170">
        <v>0</v>
      </c>
      <c r="AH634" s="170">
        <v>1</v>
      </c>
      <c r="AI634" s="170">
        <v>1</v>
      </c>
      <c r="AJ634" s="170">
        <v>0</v>
      </c>
      <c r="AK634" s="170">
        <v>0</v>
      </c>
      <c r="AL634" s="170">
        <v>1</v>
      </c>
      <c r="AM634" s="170">
        <v>1</v>
      </c>
      <c r="AN634" s="170">
        <v>1</v>
      </c>
      <c r="AO634" s="170">
        <v>1</v>
      </c>
      <c r="AP634" s="170">
        <v>1</v>
      </c>
      <c r="AQ634" s="170">
        <v>1</v>
      </c>
      <c r="AR634" s="170">
        <v>0</v>
      </c>
      <c r="AS634" s="170">
        <v>0</v>
      </c>
      <c r="AT634" s="170">
        <v>1</v>
      </c>
      <c r="AU634" s="170">
        <v>1</v>
      </c>
      <c r="AV634" s="170">
        <v>0</v>
      </c>
      <c r="AW634" s="170">
        <v>0</v>
      </c>
      <c r="AX634" s="170">
        <f t="shared" si="78"/>
        <v>5520</v>
      </c>
      <c r="AY634" s="170">
        <f>(W634*60)+(Y634*80)+(AA634*38)+(AC634*57)+(AE634*75)+(AG634*155)+(AI634*170)+(AK634*375)+(AM634*590)+(AO634*60)+(AQ634*630)+(AS634*400)+(AU634*350)+(AW634*950)</f>
        <v>5520</v>
      </c>
      <c r="AZ634" s="165" t="s">
        <v>15</v>
      </c>
      <c r="BA634" s="165" t="s">
        <v>77</v>
      </c>
      <c r="BB634" s="162" t="s">
        <v>77</v>
      </c>
      <c r="BC634" s="181">
        <v>625</v>
      </c>
      <c r="BD634" s="173"/>
      <c r="BE634" s="169"/>
      <c r="BF634" s="174"/>
      <c r="BG634" s="178">
        <v>46225</v>
      </c>
      <c r="BH634" s="175" t="s">
        <v>77</v>
      </c>
      <c r="BI634" s="175" t="s">
        <v>77</v>
      </c>
    </row>
    <row r="635" spans="1:61" s="16" customFormat="1" ht="42" customHeight="1" x14ac:dyDescent="0.3">
      <c r="A635" s="26">
        <v>626</v>
      </c>
      <c r="B635" s="62">
        <v>252163</v>
      </c>
      <c r="C635" s="62">
        <v>626</v>
      </c>
      <c r="D635" s="63">
        <v>46202</v>
      </c>
      <c r="E635" s="63">
        <f t="shared" si="89"/>
        <v>46201</v>
      </c>
      <c r="F635" s="63">
        <f t="shared" si="90"/>
        <v>46212</v>
      </c>
      <c r="G635" s="63">
        <v>46263</v>
      </c>
      <c r="H635" s="63">
        <f t="shared" ref="H635:H653" ca="1" si="92">TODAY()</f>
        <v>46277</v>
      </c>
      <c r="I635" s="63" t="s">
        <v>321</v>
      </c>
      <c r="J635" s="64" t="s">
        <v>1371</v>
      </c>
      <c r="K635" s="65">
        <f t="shared" si="91"/>
        <v>51</v>
      </c>
      <c r="L635" s="65">
        <v>1241882</v>
      </c>
      <c r="M635" s="64" t="s">
        <v>77</v>
      </c>
      <c r="N635" s="64" t="s">
        <v>77</v>
      </c>
      <c r="O635" s="64" t="s">
        <v>77</v>
      </c>
      <c r="P635" s="103" t="s">
        <v>77</v>
      </c>
      <c r="Q635" s="103" t="s">
        <v>77</v>
      </c>
      <c r="R635" s="73" t="s">
        <v>211</v>
      </c>
      <c r="S635" s="66" t="s">
        <v>1370</v>
      </c>
      <c r="T635" s="67">
        <v>1</v>
      </c>
      <c r="U635" s="75" t="s">
        <v>1356</v>
      </c>
      <c r="V635" s="68">
        <v>14</v>
      </c>
      <c r="W635" s="68"/>
      <c r="X635" s="69">
        <v>0</v>
      </c>
      <c r="Y635" s="68">
        <v>0</v>
      </c>
      <c r="Z635" s="68">
        <v>0</v>
      </c>
      <c r="AA635" s="68">
        <v>0</v>
      </c>
      <c r="AB635" s="68">
        <v>0</v>
      </c>
      <c r="AC635" s="68"/>
      <c r="AD635" s="68">
        <v>0</v>
      </c>
      <c r="AE635" s="68">
        <v>0</v>
      </c>
      <c r="AF635" s="68">
        <v>0</v>
      </c>
      <c r="AG635" s="68">
        <v>0</v>
      </c>
      <c r="AH635" s="68">
        <v>0</v>
      </c>
      <c r="AI635" s="68"/>
      <c r="AJ635" s="68">
        <v>0</v>
      </c>
      <c r="AK635" s="68">
        <v>0</v>
      </c>
      <c r="AL635" s="68">
        <v>2</v>
      </c>
      <c r="AM635" s="68"/>
      <c r="AN635" s="68">
        <v>1</v>
      </c>
      <c r="AO635" s="68"/>
      <c r="AP635" s="68">
        <v>0</v>
      </c>
      <c r="AQ635" s="68"/>
      <c r="AR635" s="68">
        <v>0</v>
      </c>
      <c r="AS635" s="68">
        <v>0</v>
      </c>
      <c r="AT635" s="68">
        <v>0</v>
      </c>
      <c r="AU635" s="68"/>
      <c r="AV635" s="68">
        <v>0</v>
      </c>
      <c r="AW635" s="68">
        <v>0</v>
      </c>
      <c r="AX635" s="170">
        <f t="shared" si="78"/>
        <v>2080</v>
      </c>
      <c r="AY635" s="170"/>
      <c r="AZ635" s="64" t="s">
        <v>77</v>
      </c>
      <c r="BA635" s="64" t="s">
        <v>77</v>
      </c>
      <c r="BB635" s="15" t="s">
        <v>77</v>
      </c>
      <c r="BC635" s="74">
        <v>626</v>
      </c>
      <c r="BD635" s="70"/>
      <c r="BE635" s="67"/>
      <c r="BF635" s="71"/>
      <c r="BG635" s="15"/>
      <c r="BH635" s="72" t="s">
        <v>77</v>
      </c>
      <c r="BI635" s="72" t="s">
        <v>77</v>
      </c>
    </row>
    <row r="636" spans="1:61" s="16" customFormat="1" ht="42" customHeight="1" x14ac:dyDescent="0.3">
      <c r="A636" s="26">
        <v>627</v>
      </c>
      <c r="B636" s="62">
        <v>252164</v>
      </c>
      <c r="C636" s="62">
        <v>627</v>
      </c>
      <c r="D636" s="63">
        <v>46202</v>
      </c>
      <c r="E636" s="63">
        <f t="shared" si="89"/>
        <v>46201</v>
      </c>
      <c r="F636" s="63">
        <f t="shared" si="90"/>
        <v>46212</v>
      </c>
      <c r="G636" s="63">
        <v>46294</v>
      </c>
      <c r="H636" s="63">
        <f t="shared" ca="1" si="92"/>
        <v>46277</v>
      </c>
      <c r="I636" s="63" t="s">
        <v>321</v>
      </c>
      <c r="J636" s="64" t="s">
        <v>1373</v>
      </c>
      <c r="K636" s="65">
        <f t="shared" si="91"/>
        <v>82</v>
      </c>
      <c r="L636" s="65">
        <v>1241883</v>
      </c>
      <c r="M636" s="64" t="s">
        <v>77</v>
      </c>
      <c r="N636" s="64" t="s">
        <v>77</v>
      </c>
      <c r="O636" s="64" t="s">
        <v>77</v>
      </c>
      <c r="P636" s="103" t="s">
        <v>77</v>
      </c>
      <c r="Q636" s="103" t="s">
        <v>77</v>
      </c>
      <c r="R636" s="73" t="s">
        <v>211</v>
      </c>
      <c r="S636" s="66" t="s">
        <v>1372</v>
      </c>
      <c r="T636" s="67">
        <v>1</v>
      </c>
      <c r="U636" s="75" t="s">
        <v>1356</v>
      </c>
      <c r="V636" s="68">
        <v>20</v>
      </c>
      <c r="W636" s="68"/>
      <c r="X636" s="69">
        <v>0</v>
      </c>
      <c r="Y636" s="68">
        <v>0</v>
      </c>
      <c r="Z636" s="68">
        <v>0</v>
      </c>
      <c r="AA636" s="68">
        <v>0</v>
      </c>
      <c r="AB636" s="68">
        <v>0</v>
      </c>
      <c r="AC636" s="68"/>
      <c r="AD636" s="68">
        <v>0</v>
      </c>
      <c r="AE636" s="68">
        <v>0</v>
      </c>
      <c r="AF636" s="68">
        <v>0</v>
      </c>
      <c r="AG636" s="68">
        <v>0</v>
      </c>
      <c r="AH636" s="68">
        <v>0</v>
      </c>
      <c r="AI636" s="68"/>
      <c r="AJ636" s="68">
        <v>0</v>
      </c>
      <c r="AK636" s="68">
        <v>0</v>
      </c>
      <c r="AL636" s="68">
        <v>1</v>
      </c>
      <c r="AM636" s="68"/>
      <c r="AN636" s="68">
        <v>1</v>
      </c>
      <c r="AO636" s="68"/>
      <c r="AP636" s="68">
        <v>0</v>
      </c>
      <c r="AQ636" s="68"/>
      <c r="AR636" s="68">
        <v>0</v>
      </c>
      <c r="AS636" s="68">
        <v>0</v>
      </c>
      <c r="AT636" s="68">
        <v>0</v>
      </c>
      <c r="AU636" s="68"/>
      <c r="AV636" s="68">
        <v>0</v>
      </c>
      <c r="AW636" s="68">
        <v>0</v>
      </c>
      <c r="AX636" s="170">
        <f t="shared" si="78"/>
        <v>1850</v>
      </c>
      <c r="AY636" s="170"/>
      <c r="AZ636" s="64" t="s">
        <v>77</v>
      </c>
      <c r="BA636" s="64" t="s">
        <v>77</v>
      </c>
      <c r="BB636" s="15" t="s">
        <v>77</v>
      </c>
      <c r="BC636" s="74">
        <v>627</v>
      </c>
      <c r="BD636" s="70"/>
      <c r="BE636" s="67"/>
      <c r="BF636" s="71"/>
      <c r="BG636" s="15"/>
      <c r="BH636" s="72" t="s">
        <v>77</v>
      </c>
      <c r="BI636" s="72" t="s">
        <v>77</v>
      </c>
    </row>
    <row r="637" spans="1:61" s="16" customFormat="1" ht="42" customHeight="1" x14ac:dyDescent="0.3">
      <c r="A637" s="26">
        <v>628</v>
      </c>
      <c r="B637" s="62">
        <v>252165</v>
      </c>
      <c r="C637" s="62">
        <v>628</v>
      </c>
      <c r="D637" s="63">
        <v>46202</v>
      </c>
      <c r="E637" s="63">
        <f t="shared" si="89"/>
        <v>46201</v>
      </c>
      <c r="F637" s="63">
        <f t="shared" si="90"/>
        <v>46212</v>
      </c>
      <c r="G637" s="63">
        <v>46294</v>
      </c>
      <c r="H637" s="63">
        <f t="shared" ca="1" si="92"/>
        <v>46277</v>
      </c>
      <c r="I637" s="63" t="s">
        <v>321</v>
      </c>
      <c r="J637" s="64" t="s">
        <v>1375</v>
      </c>
      <c r="K637" s="65">
        <f t="shared" si="91"/>
        <v>82</v>
      </c>
      <c r="L637" s="65">
        <v>1241884</v>
      </c>
      <c r="M637" s="64" t="s">
        <v>77</v>
      </c>
      <c r="N637" s="64" t="s">
        <v>77</v>
      </c>
      <c r="O637" s="64" t="s">
        <v>77</v>
      </c>
      <c r="P637" s="103" t="s">
        <v>77</v>
      </c>
      <c r="Q637" s="103" t="s">
        <v>77</v>
      </c>
      <c r="R637" s="73" t="s">
        <v>211</v>
      </c>
      <c r="S637" s="66" t="s">
        <v>1374</v>
      </c>
      <c r="T637" s="67">
        <v>1</v>
      </c>
      <c r="U637" s="75" t="s">
        <v>1356</v>
      </c>
      <c r="V637" s="68">
        <v>30</v>
      </c>
      <c r="W637" s="68"/>
      <c r="X637" s="69">
        <v>0</v>
      </c>
      <c r="Y637" s="68">
        <v>0</v>
      </c>
      <c r="Z637" s="68">
        <v>0</v>
      </c>
      <c r="AA637" s="68">
        <v>0</v>
      </c>
      <c r="AB637" s="68">
        <v>0</v>
      </c>
      <c r="AC637" s="68"/>
      <c r="AD637" s="68">
        <v>0</v>
      </c>
      <c r="AE637" s="68">
        <v>0</v>
      </c>
      <c r="AF637" s="68">
        <v>0</v>
      </c>
      <c r="AG637" s="68">
        <v>0</v>
      </c>
      <c r="AH637" s="68">
        <v>0</v>
      </c>
      <c r="AI637" s="68"/>
      <c r="AJ637" s="68">
        <v>0</v>
      </c>
      <c r="AK637" s="68">
        <v>0</v>
      </c>
      <c r="AL637" s="68">
        <v>1</v>
      </c>
      <c r="AM637" s="68"/>
      <c r="AN637" s="68">
        <v>1</v>
      </c>
      <c r="AO637" s="68"/>
      <c r="AP637" s="68">
        <v>0</v>
      </c>
      <c r="AQ637" s="68"/>
      <c r="AR637" s="68">
        <v>0</v>
      </c>
      <c r="AS637" s="68">
        <v>0</v>
      </c>
      <c r="AT637" s="68">
        <v>0</v>
      </c>
      <c r="AU637" s="68"/>
      <c r="AV637" s="68">
        <v>0</v>
      </c>
      <c r="AW637" s="68">
        <v>0</v>
      </c>
      <c r="AX637" s="170">
        <f t="shared" si="78"/>
        <v>2450</v>
      </c>
      <c r="AY637" s="170"/>
      <c r="AZ637" s="64" t="s">
        <v>77</v>
      </c>
      <c r="BA637" s="64" t="s">
        <v>77</v>
      </c>
      <c r="BB637" s="15" t="s">
        <v>77</v>
      </c>
      <c r="BC637" s="74">
        <v>628</v>
      </c>
      <c r="BD637" s="70"/>
      <c r="BE637" s="67"/>
      <c r="BF637" s="71"/>
      <c r="BG637" s="15"/>
      <c r="BH637" s="72" t="s">
        <v>77</v>
      </c>
      <c r="BI637" s="72" t="s">
        <v>77</v>
      </c>
    </row>
    <row r="638" spans="1:61" s="16" customFormat="1" ht="42" customHeight="1" x14ac:dyDescent="0.3">
      <c r="A638" s="26">
        <v>629</v>
      </c>
      <c r="B638" s="62">
        <v>252166</v>
      </c>
      <c r="C638" s="62">
        <v>629</v>
      </c>
      <c r="D638" s="63">
        <v>46202</v>
      </c>
      <c r="E638" s="63">
        <f t="shared" si="89"/>
        <v>46201</v>
      </c>
      <c r="F638" s="63">
        <f t="shared" si="90"/>
        <v>46212</v>
      </c>
      <c r="G638" s="63">
        <v>46294</v>
      </c>
      <c r="H638" s="63">
        <f t="shared" ca="1" si="92"/>
        <v>46277</v>
      </c>
      <c r="I638" s="63" t="s">
        <v>321</v>
      </c>
      <c r="J638" s="64" t="s">
        <v>1377</v>
      </c>
      <c r="K638" s="65">
        <f t="shared" si="91"/>
        <v>82</v>
      </c>
      <c r="L638" s="65">
        <v>1241885</v>
      </c>
      <c r="M638" s="64" t="s">
        <v>77</v>
      </c>
      <c r="N638" s="64" t="s">
        <v>77</v>
      </c>
      <c r="O638" s="64" t="s">
        <v>77</v>
      </c>
      <c r="P638" s="103" t="s">
        <v>77</v>
      </c>
      <c r="Q638" s="103" t="s">
        <v>77</v>
      </c>
      <c r="R638" s="73" t="s">
        <v>211</v>
      </c>
      <c r="S638" s="66" t="s">
        <v>1376</v>
      </c>
      <c r="T638" s="67">
        <v>1</v>
      </c>
      <c r="U638" s="75" t="s">
        <v>1378</v>
      </c>
      <c r="V638" s="68">
        <v>68</v>
      </c>
      <c r="W638" s="68"/>
      <c r="X638" s="69">
        <v>0</v>
      </c>
      <c r="Y638" s="68">
        <v>0</v>
      </c>
      <c r="Z638" s="68">
        <v>0</v>
      </c>
      <c r="AA638" s="68">
        <v>0</v>
      </c>
      <c r="AB638" s="68">
        <v>0</v>
      </c>
      <c r="AC638" s="68"/>
      <c r="AD638" s="68">
        <v>0</v>
      </c>
      <c r="AE638" s="68">
        <v>0</v>
      </c>
      <c r="AF638" s="68">
        <v>0</v>
      </c>
      <c r="AG638" s="68">
        <v>0</v>
      </c>
      <c r="AH638" s="68">
        <v>0</v>
      </c>
      <c r="AI638" s="68"/>
      <c r="AJ638" s="68">
        <v>0</v>
      </c>
      <c r="AK638" s="68">
        <v>0</v>
      </c>
      <c r="AL638" s="68">
        <v>0</v>
      </c>
      <c r="AM638" s="68"/>
      <c r="AN638" s="68">
        <v>1</v>
      </c>
      <c r="AO638" s="68"/>
      <c r="AP638" s="68">
        <v>1</v>
      </c>
      <c r="AQ638" s="68"/>
      <c r="AR638" s="68">
        <v>0</v>
      </c>
      <c r="AS638" s="68">
        <v>0</v>
      </c>
      <c r="AT638" s="68">
        <v>0</v>
      </c>
      <c r="AU638" s="68"/>
      <c r="AV638" s="68">
        <v>0</v>
      </c>
      <c r="AW638" s="68">
        <v>0</v>
      </c>
      <c r="AX638" s="170">
        <f t="shared" ref="AX638:AY703" si="93">(V638*60)+(X638*80)+(Z638*38)+(AB638*57)+(AD638*75)+(AF638*155)+(AH638*170)+(AJ638*375)+(AL638*590)+(AN638*60)+(AP638*630)+(AR638*400)+(AT638*350)+(AV638*950)</f>
        <v>4770</v>
      </c>
      <c r="AY638" s="170"/>
      <c r="AZ638" s="64" t="s">
        <v>77</v>
      </c>
      <c r="BA638" s="64" t="s">
        <v>77</v>
      </c>
      <c r="BB638" s="15" t="s">
        <v>77</v>
      </c>
      <c r="BC638" s="74">
        <v>629</v>
      </c>
      <c r="BD638" s="70"/>
      <c r="BE638" s="67"/>
      <c r="BF638" s="71"/>
      <c r="BG638" s="15"/>
      <c r="BH638" s="72" t="s">
        <v>77</v>
      </c>
      <c r="BI638" s="72" t="s">
        <v>77</v>
      </c>
    </row>
    <row r="639" spans="1:61" s="16" customFormat="1" ht="42" customHeight="1" x14ac:dyDescent="0.3">
      <c r="A639" s="26">
        <v>630</v>
      </c>
      <c r="B639" s="62">
        <v>252167</v>
      </c>
      <c r="C639" s="62">
        <v>630</v>
      </c>
      <c r="D639" s="63">
        <v>46202</v>
      </c>
      <c r="E639" s="63">
        <f t="shared" si="89"/>
        <v>46201</v>
      </c>
      <c r="F639" s="63">
        <f t="shared" si="90"/>
        <v>46212</v>
      </c>
      <c r="G639" s="63">
        <v>46294</v>
      </c>
      <c r="H639" s="63">
        <f t="shared" ca="1" si="92"/>
        <v>46277</v>
      </c>
      <c r="I639" s="63" t="s">
        <v>321</v>
      </c>
      <c r="J639" s="64" t="s">
        <v>1379</v>
      </c>
      <c r="K639" s="65">
        <f t="shared" si="91"/>
        <v>82</v>
      </c>
      <c r="L639" s="65">
        <v>1241886</v>
      </c>
      <c r="M639" s="64" t="s">
        <v>77</v>
      </c>
      <c r="N639" s="64">
        <v>837395</v>
      </c>
      <c r="O639" s="79" t="s">
        <v>246</v>
      </c>
      <c r="P639" s="103">
        <v>46250</v>
      </c>
      <c r="Q639" s="103">
        <v>46424</v>
      </c>
      <c r="R639" s="73" t="s">
        <v>211</v>
      </c>
      <c r="S639" s="66" t="s">
        <v>951</v>
      </c>
      <c r="T639" s="67">
        <v>1</v>
      </c>
      <c r="U639" s="75" t="s">
        <v>81</v>
      </c>
      <c r="V639" s="68">
        <v>79</v>
      </c>
      <c r="W639" s="68"/>
      <c r="X639" s="69">
        <v>0</v>
      </c>
      <c r="Y639" s="68">
        <v>0</v>
      </c>
      <c r="Z639" s="68">
        <v>0</v>
      </c>
      <c r="AA639" s="68">
        <v>0</v>
      </c>
      <c r="AB639" s="68">
        <v>0</v>
      </c>
      <c r="AC639" s="68"/>
      <c r="AD639" s="68">
        <v>0</v>
      </c>
      <c r="AE639" s="68">
        <v>0</v>
      </c>
      <c r="AF639" s="68">
        <v>0</v>
      </c>
      <c r="AG639" s="68">
        <v>0</v>
      </c>
      <c r="AH639" s="68">
        <v>0</v>
      </c>
      <c r="AI639" s="68"/>
      <c r="AJ639" s="68">
        <v>0</v>
      </c>
      <c r="AK639" s="68">
        <v>0</v>
      </c>
      <c r="AL639" s="68">
        <v>1</v>
      </c>
      <c r="AM639" s="68"/>
      <c r="AN639" s="68">
        <v>1</v>
      </c>
      <c r="AO639" s="68"/>
      <c r="AP639" s="68">
        <v>0</v>
      </c>
      <c r="AQ639" s="68"/>
      <c r="AR639" s="68">
        <v>0</v>
      </c>
      <c r="AS639" s="68">
        <v>0</v>
      </c>
      <c r="AT639" s="68">
        <v>0</v>
      </c>
      <c r="AU639" s="68"/>
      <c r="AV639" s="68">
        <v>0</v>
      </c>
      <c r="AW639" s="68">
        <v>0</v>
      </c>
      <c r="AX639" s="170">
        <f t="shared" si="93"/>
        <v>5390</v>
      </c>
      <c r="AY639" s="170"/>
      <c r="AZ639" s="64" t="s">
        <v>77</v>
      </c>
      <c r="BA639" s="64" t="s">
        <v>77</v>
      </c>
      <c r="BB639" s="15" t="s">
        <v>77</v>
      </c>
      <c r="BC639" s="74">
        <v>630</v>
      </c>
      <c r="BD639" s="70"/>
      <c r="BE639" s="67"/>
      <c r="BF639" s="71"/>
      <c r="BG639" s="15"/>
      <c r="BH639" s="72" t="s">
        <v>77</v>
      </c>
      <c r="BI639" s="72" t="s">
        <v>77</v>
      </c>
    </row>
    <row r="640" spans="1:61" s="16" customFormat="1" ht="42" customHeight="1" x14ac:dyDescent="0.3">
      <c r="A640" s="26">
        <v>631</v>
      </c>
      <c r="B640" s="62">
        <v>252168</v>
      </c>
      <c r="C640" s="62">
        <v>631</v>
      </c>
      <c r="D640" s="63">
        <v>46202</v>
      </c>
      <c r="E640" s="63">
        <f t="shared" si="89"/>
        <v>46201</v>
      </c>
      <c r="F640" s="63">
        <f t="shared" si="90"/>
        <v>46212</v>
      </c>
      <c r="G640" s="63">
        <v>46294</v>
      </c>
      <c r="H640" s="63">
        <f t="shared" ca="1" si="92"/>
        <v>46277</v>
      </c>
      <c r="I640" s="63" t="s">
        <v>321</v>
      </c>
      <c r="J640" s="64" t="s">
        <v>1381</v>
      </c>
      <c r="K640" s="65">
        <f t="shared" si="91"/>
        <v>82</v>
      </c>
      <c r="L640" s="65">
        <v>1241887</v>
      </c>
      <c r="M640" s="64" t="s">
        <v>77</v>
      </c>
      <c r="N640" s="64">
        <v>837395</v>
      </c>
      <c r="O640" s="79" t="s">
        <v>246</v>
      </c>
      <c r="P640" s="103">
        <v>46250</v>
      </c>
      <c r="Q640" s="103">
        <v>46424</v>
      </c>
      <c r="R640" s="73" t="s">
        <v>211</v>
      </c>
      <c r="S640" s="66" t="s">
        <v>1380</v>
      </c>
      <c r="T640" s="67">
        <v>1</v>
      </c>
      <c r="U640" s="75" t="s">
        <v>81</v>
      </c>
      <c r="V640" s="68">
        <v>118</v>
      </c>
      <c r="W640" s="68"/>
      <c r="X640" s="69">
        <v>0</v>
      </c>
      <c r="Y640" s="68">
        <v>0</v>
      </c>
      <c r="Z640" s="68">
        <v>0</v>
      </c>
      <c r="AA640" s="68">
        <v>0</v>
      </c>
      <c r="AB640" s="68">
        <v>0</v>
      </c>
      <c r="AC640" s="68"/>
      <c r="AD640" s="68">
        <v>0</v>
      </c>
      <c r="AE640" s="68">
        <v>0</v>
      </c>
      <c r="AF640" s="68">
        <v>0</v>
      </c>
      <c r="AG640" s="68">
        <v>0</v>
      </c>
      <c r="AH640" s="68">
        <v>0</v>
      </c>
      <c r="AI640" s="68"/>
      <c r="AJ640" s="68">
        <v>0</v>
      </c>
      <c r="AK640" s="68">
        <v>0</v>
      </c>
      <c r="AL640" s="68">
        <v>0</v>
      </c>
      <c r="AM640" s="68"/>
      <c r="AN640" s="68">
        <v>2</v>
      </c>
      <c r="AO640" s="68"/>
      <c r="AP640" s="68">
        <v>2</v>
      </c>
      <c r="AQ640" s="68"/>
      <c r="AR640" s="68">
        <v>0</v>
      </c>
      <c r="AS640" s="68">
        <v>0</v>
      </c>
      <c r="AT640" s="68">
        <v>0</v>
      </c>
      <c r="AU640" s="68"/>
      <c r="AV640" s="68">
        <v>0</v>
      </c>
      <c r="AW640" s="68">
        <v>0</v>
      </c>
      <c r="AX640" s="170">
        <f t="shared" si="93"/>
        <v>8460</v>
      </c>
      <c r="AY640" s="170"/>
      <c r="AZ640" s="64" t="s">
        <v>77</v>
      </c>
      <c r="BA640" s="64" t="s">
        <v>77</v>
      </c>
      <c r="BB640" s="15" t="s">
        <v>77</v>
      </c>
      <c r="BC640" s="74">
        <v>631</v>
      </c>
      <c r="BD640" s="70"/>
      <c r="BE640" s="67"/>
      <c r="BF640" s="71"/>
      <c r="BG640" s="15"/>
      <c r="BH640" s="72" t="s">
        <v>77</v>
      </c>
      <c r="BI640" s="72" t="s">
        <v>77</v>
      </c>
    </row>
    <row r="641" spans="1:61" s="16" customFormat="1" ht="42" customHeight="1" x14ac:dyDescent="0.3">
      <c r="A641" s="26">
        <v>632</v>
      </c>
      <c r="B641" s="62">
        <v>252169</v>
      </c>
      <c r="C641" s="62">
        <v>632</v>
      </c>
      <c r="D641" s="63">
        <v>46202</v>
      </c>
      <c r="E641" s="63">
        <f t="shared" si="89"/>
        <v>46201</v>
      </c>
      <c r="F641" s="63">
        <f t="shared" si="90"/>
        <v>46212</v>
      </c>
      <c r="G641" s="63">
        <v>46294</v>
      </c>
      <c r="H641" s="63">
        <f t="shared" ca="1" si="92"/>
        <v>46277</v>
      </c>
      <c r="I641" s="63" t="s">
        <v>321</v>
      </c>
      <c r="J641" s="64" t="s">
        <v>1383</v>
      </c>
      <c r="K641" s="65">
        <f t="shared" si="91"/>
        <v>82</v>
      </c>
      <c r="L641" s="65">
        <v>1241888</v>
      </c>
      <c r="M641" s="64" t="s">
        <v>77</v>
      </c>
      <c r="N641" s="64">
        <v>838765</v>
      </c>
      <c r="O641" s="79" t="s">
        <v>246</v>
      </c>
      <c r="P641" s="103">
        <v>46270</v>
      </c>
      <c r="Q641" s="103">
        <v>46450</v>
      </c>
      <c r="R641" s="73" t="s">
        <v>211</v>
      </c>
      <c r="S641" s="66" t="s">
        <v>1382</v>
      </c>
      <c r="T641" s="67">
        <v>1</v>
      </c>
      <c r="U641" s="75" t="s">
        <v>82</v>
      </c>
      <c r="V641" s="68">
        <v>53</v>
      </c>
      <c r="W641" s="68"/>
      <c r="X641" s="69">
        <v>0</v>
      </c>
      <c r="Y641" s="68">
        <v>0</v>
      </c>
      <c r="Z641" s="68">
        <v>0</v>
      </c>
      <c r="AA641" s="68">
        <v>0</v>
      </c>
      <c r="AB641" s="68">
        <v>0</v>
      </c>
      <c r="AC641" s="68"/>
      <c r="AD641" s="68">
        <v>0</v>
      </c>
      <c r="AE641" s="68">
        <v>0</v>
      </c>
      <c r="AF641" s="68">
        <v>0</v>
      </c>
      <c r="AG641" s="68">
        <v>0</v>
      </c>
      <c r="AH641" s="68">
        <v>0</v>
      </c>
      <c r="AI641" s="68"/>
      <c r="AJ641" s="68">
        <v>0</v>
      </c>
      <c r="AK641" s="68">
        <v>0</v>
      </c>
      <c r="AL641" s="68">
        <v>0</v>
      </c>
      <c r="AM641" s="68"/>
      <c r="AN641" s="68">
        <v>1</v>
      </c>
      <c r="AO641" s="68"/>
      <c r="AP641" s="68">
        <v>1</v>
      </c>
      <c r="AQ641" s="68"/>
      <c r="AR641" s="68">
        <v>0</v>
      </c>
      <c r="AS641" s="68">
        <v>0</v>
      </c>
      <c r="AT641" s="68">
        <v>0</v>
      </c>
      <c r="AU641" s="68"/>
      <c r="AV641" s="68">
        <v>0</v>
      </c>
      <c r="AW641" s="68">
        <v>0</v>
      </c>
      <c r="AX641" s="170">
        <f t="shared" si="93"/>
        <v>3870</v>
      </c>
      <c r="AY641" s="170"/>
      <c r="AZ641" s="64" t="s">
        <v>77</v>
      </c>
      <c r="BA641" s="64" t="s">
        <v>77</v>
      </c>
      <c r="BB641" s="15" t="s">
        <v>77</v>
      </c>
      <c r="BC641" s="74">
        <v>632</v>
      </c>
      <c r="BD641" s="70"/>
      <c r="BE641" s="67"/>
      <c r="BF641" s="71"/>
      <c r="BG641" s="15"/>
      <c r="BH641" s="72" t="s">
        <v>77</v>
      </c>
      <c r="BI641" s="72" t="s">
        <v>77</v>
      </c>
    </row>
    <row r="642" spans="1:61" s="16" customFormat="1" ht="42" customHeight="1" x14ac:dyDescent="0.3">
      <c r="A642" s="26">
        <v>633</v>
      </c>
      <c r="B642" s="62">
        <v>252243</v>
      </c>
      <c r="C642" s="62">
        <v>633</v>
      </c>
      <c r="D642" s="63">
        <v>46203</v>
      </c>
      <c r="E642" s="63">
        <f t="shared" si="89"/>
        <v>46202</v>
      </c>
      <c r="F642" s="63">
        <f t="shared" si="90"/>
        <v>46213</v>
      </c>
      <c r="G642" s="63">
        <v>46295</v>
      </c>
      <c r="H642" s="63">
        <f t="shared" ca="1" si="92"/>
        <v>46277</v>
      </c>
      <c r="I642" s="63" t="s">
        <v>321</v>
      </c>
      <c r="J642" s="64" t="s">
        <v>1385</v>
      </c>
      <c r="K642" s="65">
        <f t="shared" si="91"/>
        <v>82</v>
      </c>
      <c r="L642" s="65">
        <v>1242262</v>
      </c>
      <c r="M642" s="64" t="s">
        <v>77</v>
      </c>
      <c r="N642" s="64" t="s">
        <v>77</v>
      </c>
      <c r="O642" s="64" t="s">
        <v>77</v>
      </c>
      <c r="P642" s="103" t="s">
        <v>77</v>
      </c>
      <c r="Q642" s="103" t="s">
        <v>77</v>
      </c>
      <c r="R642" s="73" t="s">
        <v>211</v>
      </c>
      <c r="S642" s="66" t="s">
        <v>1391</v>
      </c>
      <c r="T642" s="67">
        <v>1</v>
      </c>
      <c r="U642" s="75" t="s">
        <v>81</v>
      </c>
      <c r="V642" s="68">
        <v>48</v>
      </c>
      <c r="W642" s="68"/>
      <c r="X642" s="69">
        <v>0</v>
      </c>
      <c r="Y642" s="68">
        <v>0</v>
      </c>
      <c r="Z642" s="68">
        <v>0</v>
      </c>
      <c r="AA642" s="68">
        <v>0</v>
      </c>
      <c r="AB642" s="68">
        <v>0</v>
      </c>
      <c r="AC642" s="68">
        <v>0</v>
      </c>
      <c r="AD642" s="68">
        <v>0</v>
      </c>
      <c r="AE642" s="68">
        <v>0</v>
      </c>
      <c r="AF642" s="68">
        <v>0</v>
      </c>
      <c r="AG642" s="68">
        <v>0</v>
      </c>
      <c r="AH642" s="68">
        <v>0</v>
      </c>
      <c r="AI642" s="68">
        <v>0</v>
      </c>
      <c r="AJ642" s="68">
        <v>0</v>
      </c>
      <c r="AK642" s="68">
        <v>0</v>
      </c>
      <c r="AL642" s="68">
        <v>1</v>
      </c>
      <c r="AM642" s="68"/>
      <c r="AN642" s="68">
        <v>1</v>
      </c>
      <c r="AO642" s="68"/>
      <c r="AP642" s="68">
        <v>0</v>
      </c>
      <c r="AQ642" s="68">
        <v>0</v>
      </c>
      <c r="AR642" s="68">
        <v>0</v>
      </c>
      <c r="AS642" s="68">
        <v>0</v>
      </c>
      <c r="AT642" s="68">
        <v>0</v>
      </c>
      <c r="AU642" s="68">
        <v>0</v>
      </c>
      <c r="AV642" s="68">
        <v>0</v>
      </c>
      <c r="AW642" s="68">
        <v>0</v>
      </c>
      <c r="AX642" s="170">
        <f t="shared" si="93"/>
        <v>3530</v>
      </c>
      <c r="AY642" s="170"/>
      <c r="AZ642" s="64" t="s">
        <v>77</v>
      </c>
      <c r="BA642" s="64" t="s">
        <v>77</v>
      </c>
      <c r="BB642" s="15" t="s">
        <v>77</v>
      </c>
      <c r="BC642" s="74">
        <v>633</v>
      </c>
      <c r="BD642" s="70"/>
      <c r="BE642" s="67"/>
      <c r="BF642" s="71"/>
      <c r="BG642" s="15"/>
      <c r="BH642" s="72" t="s">
        <v>77</v>
      </c>
      <c r="BI642" s="72" t="s">
        <v>77</v>
      </c>
    </row>
    <row r="643" spans="1:61" s="16" customFormat="1" ht="42" customHeight="1" x14ac:dyDescent="0.3">
      <c r="A643" s="26">
        <v>634</v>
      </c>
      <c r="B643" s="62">
        <v>252244</v>
      </c>
      <c r="C643" s="62">
        <v>634</v>
      </c>
      <c r="D643" s="63">
        <v>46203</v>
      </c>
      <c r="E643" s="63">
        <f t="shared" si="89"/>
        <v>46202</v>
      </c>
      <c r="F643" s="63">
        <f t="shared" si="90"/>
        <v>46213</v>
      </c>
      <c r="G643" s="63">
        <v>46295</v>
      </c>
      <c r="H643" s="63">
        <f t="shared" ca="1" si="92"/>
        <v>46277</v>
      </c>
      <c r="I643" s="63" t="s">
        <v>321</v>
      </c>
      <c r="J643" s="64" t="s">
        <v>1386</v>
      </c>
      <c r="K643" s="65">
        <f t="shared" si="91"/>
        <v>82</v>
      </c>
      <c r="L643" s="65">
        <v>1242263</v>
      </c>
      <c r="M643" s="64" t="s">
        <v>77</v>
      </c>
      <c r="N643" s="64">
        <v>838765</v>
      </c>
      <c r="O643" s="79" t="s">
        <v>246</v>
      </c>
      <c r="P643" s="103">
        <v>46270</v>
      </c>
      <c r="Q643" s="103">
        <v>46450</v>
      </c>
      <c r="R643" s="73" t="s">
        <v>211</v>
      </c>
      <c r="S643" s="66" t="s">
        <v>383</v>
      </c>
      <c r="T643" s="67">
        <v>1</v>
      </c>
      <c r="U643" s="75" t="s">
        <v>82</v>
      </c>
      <c r="V643" s="68">
        <v>51</v>
      </c>
      <c r="W643" s="68"/>
      <c r="X643" s="69">
        <v>0</v>
      </c>
      <c r="Y643" s="68">
        <v>0</v>
      </c>
      <c r="Z643" s="68">
        <v>0</v>
      </c>
      <c r="AA643" s="68">
        <v>0</v>
      </c>
      <c r="AB643" s="68">
        <v>0</v>
      </c>
      <c r="AC643" s="68">
        <v>0</v>
      </c>
      <c r="AD643" s="68">
        <v>0</v>
      </c>
      <c r="AE643" s="68">
        <v>0</v>
      </c>
      <c r="AF643" s="68">
        <v>0</v>
      </c>
      <c r="AG643" s="68">
        <v>0</v>
      </c>
      <c r="AH643" s="68">
        <v>0</v>
      </c>
      <c r="AI643" s="68">
        <v>0</v>
      </c>
      <c r="AJ643" s="68">
        <v>0</v>
      </c>
      <c r="AK643" s="68">
        <v>0</v>
      </c>
      <c r="AL643" s="68">
        <v>1</v>
      </c>
      <c r="AM643" s="68"/>
      <c r="AN643" s="68">
        <v>1</v>
      </c>
      <c r="AO643" s="68"/>
      <c r="AP643" s="68">
        <v>0</v>
      </c>
      <c r="AQ643" s="68">
        <v>0</v>
      </c>
      <c r="AR643" s="68">
        <v>0</v>
      </c>
      <c r="AS643" s="68">
        <v>0</v>
      </c>
      <c r="AT643" s="68">
        <v>0</v>
      </c>
      <c r="AU643" s="68">
        <v>0</v>
      </c>
      <c r="AV643" s="68">
        <v>0</v>
      </c>
      <c r="AW643" s="68">
        <v>0</v>
      </c>
      <c r="AX643" s="170">
        <f t="shared" si="93"/>
        <v>3710</v>
      </c>
      <c r="AY643" s="170"/>
      <c r="AZ643" s="64" t="s">
        <v>77</v>
      </c>
      <c r="BA643" s="64" t="s">
        <v>77</v>
      </c>
      <c r="BB643" s="15" t="s">
        <v>77</v>
      </c>
      <c r="BC643" s="74">
        <v>634</v>
      </c>
      <c r="BD643" s="70"/>
      <c r="BE643" s="67"/>
      <c r="BF643" s="71"/>
      <c r="BG643" s="15"/>
      <c r="BH643" s="72" t="s">
        <v>77</v>
      </c>
      <c r="BI643" s="72" t="s">
        <v>77</v>
      </c>
    </row>
    <row r="644" spans="1:61" s="16" customFormat="1" ht="42" customHeight="1" x14ac:dyDescent="0.3">
      <c r="A644" s="26">
        <v>635</v>
      </c>
      <c r="B644" s="62">
        <v>252245</v>
      </c>
      <c r="C644" s="62">
        <v>635</v>
      </c>
      <c r="D644" s="63">
        <v>46203</v>
      </c>
      <c r="E644" s="63">
        <f t="shared" si="89"/>
        <v>46202</v>
      </c>
      <c r="F644" s="63">
        <f t="shared" si="90"/>
        <v>46213</v>
      </c>
      <c r="G644" s="63">
        <v>46295</v>
      </c>
      <c r="H644" s="63">
        <f t="shared" ca="1" si="92"/>
        <v>46277</v>
      </c>
      <c r="I644" s="63" t="s">
        <v>321</v>
      </c>
      <c r="J644" s="64" t="s">
        <v>1387</v>
      </c>
      <c r="K644" s="65">
        <f t="shared" si="91"/>
        <v>82</v>
      </c>
      <c r="L644" s="65">
        <v>1242264</v>
      </c>
      <c r="M644" s="64" t="s">
        <v>77</v>
      </c>
      <c r="N644" s="64">
        <v>837398</v>
      </c>
      <c r="O644" s="79" t="s">
        <v>246</v>
      </c>
      <c r="P644" s="103">
        <v>46258</v>
      </c>
      <c r="Q644" s="103">
        <v>46431</v>
      </c>
      <c r="R644" s="73" t="s">
        <v>211</v>
      </c>
      <c r="S644" s="66" t="s">
        <v>1392</v>
      </c>
      <c r="T644" s="67">
        <v>1</v>
      </c>
      <c r="U644" s="75" t="s">
        <v>166</v>
      </c>
      <c r="V644" s="68">
        <v>96</v>
      </c>
      <c r="W644" s="68"/>
      <c r="X644" s="69">
        <v>0</v>
      </c>
      <c r="Y644" s="68">
        <v>0</v>
      </c>
      <c r="Z644" s="68">
        <v>0</v>
      </c>
      <c r="AA644" s="68">
        <v>0</v>
      </c>
      <c r="AB644" s="68">
        <v>0</v>
      </c>
      <c r="AC644" s="68">
        <v>0</v>
      </c>
      <c r="AD644" s="68">
        <v>0</v>
      </c>
      <c r="AE644" s="68">
        <v>0</v>
      </c>
      <c r="AF644" s="68">
        <v>0</v>
      </c>
      <c r="AG644" s="68">
        <v>0</v>
      </c>
      <c r="AH644" s="68">
        <v>0</v>
      </c>
      <c r="AI644" s="68">
        <v>0</v>
      </c>
      <c r="AJ644" s="68">
        <v>0</v>
      </c>
      <c r="AK644" s="68">
        <v>0</v>
      </c>
      <c r="AL644" s="68">
        <v>0</v>
      </c>
      <c r="AM644" s="68">
        <v>0</v>
      </c>
      <c r="AN644" s="68">
        <v>1</v>
      </c>
      <c r="AO644" s="68"/>
      <c r="AP644" s="68">
        <v>1</v>
      </c>
      <c r="AQ644" s="68"/>
      <c r="AR644" s="68">
        <v>0</v>
      </c>
      <c r="AS644" s="68">
        <v>0</v>
      </c>
      <c r="AT644" s="68">
        <v>0</v>
      </c>
      <c r="AU644" s="68">
        <v>0</v>
      </c>
      <c r="AV644" s="68">
        <v>0</v>
      </c>
      <c r="AW644" s="68">
        <v>0</v>
      </c>
      <c r="AX644" s="170">
        <f t="shared" si="93"/>
        <v>6450</v>
      </c>
      <c r="AY644" s="170"/>
      <c r="AZ644" s="64" t="s">
        <v>77</v>
      </c>
      <c r="BA644" s="64" t="s">
        <v>77</v>
      </c>
      <c r="BB644" s="15" t="s">
        <v>77</v>
      </c>
      <c r="BC644" s="74">
        <v>635</v>
      </c>
      <c r="BD644" s="70"/>
      <c r="BE644" s="67"/>
      <c r="BF644" s="71"/>
      <c r="BG644" s="15"/>
      <c r="BH644" s="72" t="s">
        <v>77</v>
      </c>
      <c r="BI644" s="72" t="s">
        <v>77</v>
      </c>
    </row>
    <row r="645" spans="1:61" s="16" customFormat="1" ht="42" customHeight="1" x14ac:dyDescent="0.3">
      <c r="A645" s="26">
        <v>636</v>
      </c>
      <c r="B645" s="62">
        <v>252246</v>
      </c>
      <c r="C645" s="62">
        <v>636</v>
      </c>
      <c r="D645" s="63">
        <v>46203</v>
      </c>
      <c r="E645" s="63">
        <f t="shared" si="89"/>
        <v>46202</v>
      </c>
      <c r="F645" s="63">
        <f t="shared" si="90"/>
        <v>46213</v>
      </c>
      <c r="G645" s="63">
        <v>46295</v>
      </c>
      <c r="H645" s="63">
        <f t="shared" ca="1" si="92"/>
        <v>46277</v>
      </c>
      <c r="I645" s="63" t="s">
        <v>321</v>
      </c>
      <c r="J645" s="64" t="s">
        <v>1388</v>
      </c>
      <c r="K645" s="65">
        <f t="shared" si="91"/>
        <v>82</v>
      </c>
      <c r="L645" s="65">
        <v>1242267</v>
      </c>
      <c r="M645" s="64" t="s">
        <v>77</v>
      </c>
      <c r="N645" s="64" t="s">
        <v>77</v>
      </c>
      <c r="O645" s="64" t="s">
        <v>77</v>
      </c>
      <c r="P645" s="103" t="s">
        <v>77</v>
      </c>
      <c r="Q645" s="103" t="s">
        <v>77</v>
      </c>
      <c r="R645" s="73" t="s">
        <v>211</v>
      </c>
      <c r="S645" s="66" t="s">
        <v>1393</v>
      </c>
      <c r="T645" s="67">
        <v>1</v>
      </c>
      <c r="U645" s="75" t="s">
        <v>106</v>
      </c>
      <c r="V645" s="68">
        <v>117</v>
      </c>
      <c r="W645" s="68"/>
      <c r="X645" s="69">
        <v>0</v>
      </c>
      <c r="Y645" s="68">
        <v>0</v>
      </c>
      <c r="Z645" s="68">
        <v>0</v>
      </c>
      <c r="AA645" s="68">
        <v>0</v>
      </c>
      <c r="AB645" s="68">
        <v>0</v>
      </c>
      <c r="AC645" s="68">
        <v>0</v>
      </c>
      <c r="AD645" s="68">
        <v>0</v>
      </c>
      <c r="AE645" s="68">
        <v>0</v>
      </c>
      <c r="AF645" s="68">
        <v>0</v>
      </c>
      <c r="AG645" s="68">
        <v>0</v>
      </c>
      <c r="AH645" s="68">
        <v>0</v>
      </c>
      <c r="AI645" s="68"/>
      <c r="AJ645" s="68">
        <v>0</v>
      </c>
      <c r="AK645" s="68">
        <v>0</v>
      </c>
      <c r="AL645" s="68">
        <v>1</v>
      </c>
      <c r="AM645" s="68"/>
      <c r="AN645" s="68">
        <v>1</v>
      </c>
      <c r="AO645" s="68"/>
      <c r="AP645" s="68">
        <v>0</v>
      </c>
      <c r="AQ645" s="68"/>
      <c r="AR645" s="68">
        <v>0</v>
      </c>
      <c r="AS645" s="68">
        <v>0</v>
      </c>
      <c r="AT645" s="68">
        <v>0</v>
      </c>
      <c r="AU645" s="68">
        <v>0</v>
      </c>
      <c r="AV645" s="68">
        <v>0</v>
      </c>
      <c r="AW645" s="68">
        <v>0</v>
      </c>
      <c r="AX645" s="170">
        <f t="shared" si="93"/>
        <v>7670</v>
      </c>
      <c r="AY645" s="170"/>
      <c r="AZ645" s="64" t="s">
        <v>77</v>
      </c>
      <c r="BA645" s="64" t="s">
        <v>77</v>
      </c>
      <c r="BB645" s="15" t="s">
        <v>77</v>
      </c>
      <c r="BC645" s="74">
        <v>636</v>
      </c>
      <c r="BD645" s="70"/>
      <c r="BE645" s="67"/>
      <c r="BF645" s="71"/>
      <c r="BG645" s="15"/>
      <c r="BH645" s="72" t="s">
        <v>77</v>
      </c>
      <c r="BI645" s="72" t="s">
        <v>77</v>
      </c>
    </row>
    <row r="646" spans="1:61" s="16" customFormat="1" ht="42" customHeight="1" x14ac:dyDescent="0.3">
      <c r="A646" s="26">
        <v>637</v>
      </c>
      <c r="B646" s="62">
        <v>252247</v>
      </c>
      <c r="C646" s="62">
        <v>637</v>
      </c>
      <c r="D646" s="63">
        <v>46203</v>
      </c>
      <c r="E646" s="63">
        <f t="shared" si="89"/>
        <v>46202</v>
      </c>
      <c r="F646" s="63">
        <f t="shared" si="90"/>
        <v>46213</v>
      </c>
      <c r="G646" s="63">
        <v>46295</v>
      </c>
      <c r="H646" s="63">
        <f t="shared" ca="1" si="92"/>
        <v>46277</v>
      </c>
      <c r="I646" s="63" t="s">
        <v>321</v>
      </c>
      <c r="J646" s="64" t="s">
        <v>1389</v>
      </c>
      <c r="K646" s="65">
        <f t="shared" si="91"/>
        <v>82</v>
      </c>
      <c r="L646" s="65">
        <v>1242268</v>
      </c>
      <c r="M646" s="64" t="s">
        <v>77</v>
      </c>
      <c r="N646" s="64" t="s">
        <v>77</v>
      </c>
      <c r="O646" s="64" t="s">
        <v>77</v>
      </c>
      <c r="P646" s="103" t="s">
        <v>77</v>
      </c>
      <c r="Q646" s="103" t="s">
        <v>77</v>
      </c>
      <c r="R646" s="73" t="s">
        <v>211</v>
      </c>
      <c r="S646" s="66" t="s">
        <v>1394</v>
      </c>
      <c r="T646" s="67">
        <v>1</v>
      </c>
      <c r="U646" s="75" t="s">
        <v>106</v>
      </c>
      <c r="V646" s="68">
        <v>111</v>
      </c>
      <c r="W646" s="68"/>
      <c r="X646" s="69">
        <v>0</v>
      </c>
      <c r="Y646" s="68">
        <v>0</v>
      </c>
      <c r="Z646" s="68">
        <v>0</v>
      </c>
      <c r="AA646" s="68">
        <v>0</v>
      </c>
      <c r="AB646" s="68">
        <v>0</v>
      </c>
      <c r="AC646" s="68">
        <v>0</v>
      </c>
      <c r="AD646" s="68">
        <v>0</v>
      </c>
      <c r="AE646" s="68">
        <v>0</v>
      </c>
      <c r="AF646" s="68">
        <v>0</v>
      </c>
      <c r="AG646" s="68">
        <v>0</v>
      </c>
      <c r="AH646" s="68">
        <v>0</v>
      </c>
      <c r="AI646" s="68">
        <v>0</v>
      </c>
      <c r="AJ646" s="68">
        <v>0</v>
      </c>
      <c r="AK646" s="68">
        <v>0</v>
      </c>
      <c r="AL646" s="68">
        <v>1</v>
      </c>
      <c r="AM646" s="68"/>
      <c r="AN646" s="68">
        <v>2</v>
      </c>
      <c r="AO646" s="68"/>
      <c r="AP646" s="68">
        <v>1</v>
      </c>
      <c r="AQ646" s="68"/>
      <c r="AR646" s="68">
        <v>0</v>
      </c>
      <c r="AS646" s="68">
        <v>0</v>
      </c>
      <c r="AT646" s="68">
        <v>0</v>
      </c>
      <c r="AU646" s="68">
        <v>0</v>
      </c>
      <c r="AV646" s="68">
        <v>0</v>
      </c>
      <c r="AW646" s="68">
        <v>0</v>
      </c>
      <c r="AX646" s="170">
        <f t="shared" si="93"/>
        <v>8000</v>
      </c>
      <c r="AY646" s="170"/>
      <c r="AZ646" s="64" t="s">
        <v>77</v>
      </c>
      <c r="BA646" s="64" t="s">
        <v>77</v>
      </c>
      <c r="BB646" s="15" t="s">
        <v>77</v>
      </c>
      <c r="BC646" s="74">
        <v>637</v>
      </c>
      <c r="BD646" s="70"/>
      <c r="BE646" s="67"/>
      <c r="BF646" s="71"/>
      <c r="BG646" s="15"/>
      <c r="BH646" s="72" t="s">
        <v>77</v>
      </c>
      <c r="BI646" s="72" t="s">
        <v>77</v>
      </c>
    </row>
    <row r="647" spans="1:61" s="16" customFormat="1" ht="42" customHeight="1" x14ac:dyDescent="0.3">
      <c r="A647" s="26">
        <v>638</v>
      </c>
      <c r="B647" s="62">
        <v>252248</v>
      </c>
      <c r="C647" s="62">
        <v>638</v>
      </c>
      <c r="D647" s="63">
        <v>46203</v>
      </c>
      <c r="E647" s="63">
        <f t="shared" si="89"/>
        <v>46202</v>
      </c>
      <c r="F647" s="63">
        <f t="shared" si="90"/>
        <v>46213</v>
      </c>
      <c r="G647" s="63">
        <v>46295</v>
      </c>
      <c r="H647" s="63">
        <f t="shared" ca="1" si="92"/>
        <v>46277</v>
      </c>
      <c r="I647" s="63" t="s">
        <v>321</v>
      </c>
      <c r="J647" s="64" t="s">
        <v>1390</v>
      </c>
      <c r="K647" s="65">
        <f t="shared" si="91"/>
        <v>82</v>
      </c>
      <c r="L647" s="65">
        <v>1242269</v>
      </c>
      <c r="M647" s="64" t="s">
        <v>77</v>
      </c>
      <c r="N647" s="64" t="s">
        <v>77</v>
      </c>
      <c r="O647" s="64" t="s">
        <v>77</v>
      </c>
      <c r="P647" s="103" t="s">
        <v>77</v>
      </c>
      <c r="Q647" s="103" t="s">
        <v>77</v>
      </c>
      <c r="R647" s="73" t="s">
        <v>211</v>
      </c>
      <c r="S647" s="66" t="s">
        <v>451</v>
      </c>
      <c r="T647" s="67">
        <v>1</v>
      </c>
      <c r="U647" s="75" t="s">
        <v>106</v>
      </c>
      <c r="V647" s="68">
        <v>186</v>
      </c>
      <c r="W647" s="68"/>
      <c r="X647" s="69">
        <v>0</v>
      </c>
      <c r="Y647" s="68">
        <v>0</v>
      </c>
      <c r="Z647" s="68">
        <v>0</v>
      </c>
      <c r="AA647" s="68">
        <v>0</v>
      </c>
      <c r="AB647" s="68">
        <v>0</v>
      </c>
      <c r="AC647" s="68">
        <v>0</v>
      </c>
      <c r="AD647" s="68">
        <v>0</v>
      </c>
      <c r="AE647" s="68">
        <v>0</v>
      </c>
      <c r="AF647" s="68">
        <v>0</v>
      </c>
      <c r="AG647" s="68">
        <v>0</v>
      </c>
      <c r="AH647" s="68">
        <v>0</v>
      </c>
      <c r="AI647" s="68">
        <v>0</v>
      </c>
      <c r="AJ647" s="68">
        <v>0</v>
      </c>
      <c r="AK647" s="68">
        <v>0</v>
      </c>
      <c r="AL647" s="68">
        <v>1</v>
      </c>
      <c r="AM647" s="68"/>
      <c r="AN647" s="68">
        <v>1</v>
      </c>
      <c r="AO647" s="68"/>
      <c r="AP647" s="68">
        <v>0</v>
      </c>
      <c r="AQ647" s="68">
        <v>0</v>
      </c>
      <c r="AR647" s="68">
        <v>0</v>
      </c>
      <c r="AS647" s="68">
        <v>0</v>
      </c>
      <c r="AT647" s="68">
        <v>0</v>
      </c>
      <c r="AU647" s="68">
        <v>0</v>
      </c>
      <c r="AV647" s="68">
        <v>0</v>
      </c>
      <c r="AW647" s="68">
        <v>0</v>
      </c>
      <c r="AX647" s="170">
        <f t="shared" si="93"/>
        <v>11810</v>
      </c>
      <c r="AY647" s="170"/>
      <c r="AZ647" s="64" t="s">
        <v>77</v>
      </c>
      <c r="BA647" s="64" t="s">
        <v>77</v>
      </c>
      <c r="BB647" s="15" t="s">
        <v>77</v>
      </c>
      <c r="BC647" s="74">
        <v>638</v>
      </c>
      <c r="BD647" s="70"/>
      <c r="BE647" s="67"/>
      <c r="BF647" s="71"/>
      <c r="BG647" s="15"/>
      <c r="BH647" s="72" t="s">
        <v>77</v>
      </c>
      <c r="BI647" s="72" t="s">
        <v>77</v>
      </c>
    </row>
    <row r="648" spans="1:61" s="16" customFormat="1" ht="42" customHeight="1" x14ac:dyDescent="0.3">
      <c r="A648" s="26">
        <v>639</v>
      </c>
      <c r="B648" s="62">
        <v>252344</v>
      </c>
      <c r="C648" s="62">
        <v>639</v>
      </c>
      <c r="D648" s="63">
        <v>46205</v>
      </c>
      <c r="E648" s="63">
        <f t="shared" si="89"/>
        <v>46204</v>
      </c>
      <c r="F648" s="63">
        <f t="shared" si="90"/>
        <v>46215</v>
      </c>
      <c r="G648" s="63">
        <v>46297</v>
      </c>
      <c r="H648" s="63">
        <f t="shared" ca="1" si="92"/>
        <v>46277</v>
      </c>
      <c r="I648" s="63" t="s">
        <v>321</v>
      </c>
      <c r="J648" s="64" t="s">
        <v>1395</v>
      </c>
      <c r="K648" s="65">
        <f t="shared" si="91"/>
        <v>82</v>
      </c>
      <c r="L648" s="65">
        <v>1242984</v>
      </c>
      <c r="M648" s="64" t="s">
        <v>77</v>
      </c>
      <c r="N648" s="64">
        <v>838766</v>
      </c>
      <c r="O648" s="79" t="s">
        <v>246</v>
      </c>
      <c r="P648" s="103">
        <v>46272</v>
      </c>
      <c r="Q648" s="103">
        <v>46452</v>
      </c>
      <c r="R648" s="73" t="s">
        <v>211</v>
      </c>
      <c r="S648" s="66" t="s">
        <v>280</v>
      </c>
      <c r="T648" s="67">
        <v>1</v>
      </c>
      <c r="U648" s="75" t="s">
        <v>82</v>
      </c>
      <c r="V648" s="68">
        <v>64</v>
      </c>
      <c r="W648" s="68"/>
      <c r="X648" s="69">
        <v>0</v>
      </c>
      <c r="Y648" s="68">
        <v>0</v>
      </c>
      <c r="Z648" s="68">
        <v>0</v>
      </c>
      <c r="AA648" s="68">
        <v>0</v>
      </c>
      <c r="AB648" s="68">
        <v>0</v>
      </c>
      <c r="AC648" s="68">
        <v>0</v>
      </c>
      <c r="AD648" s="68">
        <v>0</v>
      </c>
      <c r="AE648" s="68">
        <v>0</v>
      </c>
      <c r="AF648" s="68">
        <v>0</v>
      </c>
      <c r="AG648" s="68">
        <v>0</v>
      </c>
      <c r="AH648" s="68">
        <v>0</v>
      </c>
      <c r="AI648" s="68">
        <v>0</v>
      </c>
      <c r="AJ648" s="68">
        <v>0</v>
      </c>
      <c r="AK648" s="68">
        <v>0</v>
      </c>
      <c r="AL648" s="68">
        <v>1</v>
      </c>
      <c r="AM648" s="68"/>
      <c r="AN648" s="68">
        <v>4</v>
      </c>
      <c r="AO648" s="68"/>
      <c r="AP648" s="68">
        <v>6</v>
      </c>
      <c r="AQ648" s="68"/>
      <c r="AR648" s="68">
        <v>0</v>
      </c>
      <c r="AS648" s="68">
        <v>0</v>
      </c>
      <c r="AT648" s="68">
        <v>0</v>
      </c>
      <c r="AU648" s="68">
        <v>0</v>
      </c>
      <c r="AV648" s="68">
        <v>0</v>
      </c>
      <c r="AW648" s="68">
        <v>0</v>
      </c>
      <c r="AX648" s="170">
        <f t="shared" si="93"/>
        <v>8450</v>
      </c>
      <c r="AY648" s="170"/>
      <c r="AZ648" s="64" t="s">
        <v>77</v>
      </c>
      <c r="BA648" s="64" t="s">
        <v>77</v>
      </c>
      <c r="BB648" s="15" t="s">
        <v>77</v>
      </c>
      <c r="BC648" s="74">
        <v>639</v>
      </c>
      <c r="BD648" s="70"/>
      <c r="BE648" s="67"/>
      <c r="BF648" s="71"/>
      <c r="BG648" s="15"/>
      <c r="BH648" s="72" t="s">
        <v>77</v>
      </c>
      <c r="BI648" s="72" t="s">
        <v>77</v>
      </c>
    </row>
    <row r="649" spans="1:61" s="16" customFormat="1" ht="42" customHeight="1" x14ac:dyDescent="0.3">
      <c r="A649" s="26">
        <v>640</v>
      </c>
      <c r="B649" s="77">
        <v>252353</v>
      </c>
      <c r="C649" s="77" t="s">
        <v>1581</v>
      </c>
      <c r="D649" s="78">
        <v>46257</v>
      </c>
      <c r="E649" s="78">
        <f t="shared" si="89"/>
        <v>46256</v>
      </c>
      <c r="F649" s="78">
        <f t="shared" si="90"/>
        <v>46267</v>
      </c>
      <c r="G649" s="78">
        <v>46318</v>
      </c>
      <c r="H649" s="78">
        <f t="shared" ca="1" si="92"/>
        <v>46277</v>
      </c>
      <c r="I649" s="78" t="s">
        <v>123</v>
      </c>
      <c r="J649" s="79" t="s">
        <v>1544</v>
      </c>
      <c r="K649" s="76">
        <f t="shared" si="91"/>
        <v>51</v>
      </c>
      <c r="L649" s="76">
        <v>1242990</v>
      </c>
      <c r="M649" s="79" t="s">
        <v>210</v>
      </c>
      <c r="N649" s="79">
        <v>839317</v>
      </c>
      <c r="O649" s="80" t="s">
        <v>246</v>
      </c>
      <c r="P649" s="104">
        <v>46261</v>
      </c>
      <c r="Q649" s="104">
        <v>46441</v>
      </c>
      <c r="R649" s="194" t="s">
        <v>211</v>
      </c>
      <c r="S649" s="81" t="s">
        <v>1396</v>
      </c>
      <c r="T649" s="82">
        <v>2</v>
      </c>
      <c r="U649" s="195" t="s">
        <v>1172</v>
      </c>
      <c r="V649" s="83">
        <v>476</v>
      </c>
      <c r="W649" s="83">
        <v>476</v>
      </c>
      <c r="X649" s="84">
        <v>0</v>
      </c>
      <c r="Y649" s="83">
        <v>0</v>
      </c>
      <c r="Z649" s="83">
        <v>0</v>
      </c>
      <c r="AA649" s="83">
        <v>0</v>
      </c>
      <c r="AB649" s="83">
        <v>372</v>
      </c>
      <c r="AC649" s="83">
        <v>372</v>
      </c>
      <c r="AD649" s="83">
        <v>104</v>
      </c>
      <c r="AE649" s="83">
        <v>104</v>
      </c>
      <c r="AF649" s="83">
        <v>0</v>
      </c>
      <c r="AG649" s="83">
        <v>0</v>
      </c>
      <c r="AH649" s="83">
        <v>0</v>
      </c>
      <c r="AI649" s="83">
        <v>0</v>
      </c>
      <c r="AJ649" s="83">
        <v>2</v>
      </c>
      <c r="AK649" s="83">
        <v>2</v>
      </c>
      <c r="AL649" s="83">
        <v>4</v>
      </c>
      <c r="AM649" s="83">
        <v>4</v>
      </c>
      <c r="AN649" s="83">
        <v>2</v>
      </c>
      <c r="AO649" s="83">
        <v>2</v>
      </c>
      <c r="AP649" s="83">
        <v>0</v>
      </c>
      <c r="AQ649" s="83">
        <v>0</v>
      </c>
      <c r="AR649" s="83">
        <v>0</v>
      </c>
      <c r="AS649" s="83">
        <v>0</v>
      </c>
      <c r="AT649" s="83">
        <v>0</v>
      </c>
      <c r="AU649" s="83">
        <v>0</v>
      </c>
      <c r="AV649" s="83">
        <v>0</v>
      </c>
      <c r="AW649" s="83">
        <v>0</v>
      </c>
      <c r="AX649" s="83">
        <f t="shared" si="93"/>
        <v>60794</v>
      </c>
      <c r="AY649" s="83">
        <f t="shared" si="93"/>
        <v>60794</v>
      </c>
      <c r="AZ649" s="79" t="s">
        <v>210</v>
      </c>
      <c r="BA649" s="79" t="s">
        <v>77</v>
      </c>
      <c r="BB649" s="80" t="s">
        <v>77</v>
      </c>
      <c r="BC649" s="196">
        <v>640</v>
      </c>
      <c r="BD649" s="85"/>
      <c r="BE649" s="82"/>
      <c r="BF649" s="86"/>
      <c r="BG649" s="237">
        <v>46273</v>
      </c>
      <c r="BH649" s="87" t="s">
        <v>77</v>
      </c>
      <c r="BI649" s="87" t="s">
        <v>77</v>
      </c>
    </row>
    <row r="650" spans="1:61" s="16" customFormat="1" ht="42" customHeight="1" x14ac:dyDescent="0.3">
      <c r="A650" s="26">
        <v>641</v>
      </c>
      <c r="B650" s="62">
        <v>252367</v>
      </c>
      <c r="C650" s="62">
        <v>641</v>
      </c>
      <c r="D650" s="63">
        <v>46205</v>
      </c>
      <c r="E650" s="63">
        <f t="shared" si="89"/>
        <v>46204</v>
      </c>
      <c r="F650" s="63">
        <f t="shared" si="90"/>
        <v>46215</v>
      </c>
      <c r="G650" s="63">
        <v>46297</v>
      </c>
      <c r="H650" s="63">
        <f t="shared" ca="1" si="92"/>
        <v>46277</v>
      </c>
      <c r="I650" s="63" t="s">
        <v>321</v>
      </c>
      <c r="J650" s="64" t="s">
        <v>1397</v>
      </c>
      <c r="K650" s="65">
        <f t="shared" si="91"/>
        <v>82</v>
      </c>
      <c r="L650" s="65">
        <v>1243003</v>
      </c>
      <c r="M650" s="64" t="s">
        <v>77</v>
      </c>
      <c r="N650" s="64" t="s">
        <v>77</v>
      </c>
      <c r="O650" s="64" t="s">
        <v>77</v>
      </c>
      <c r="P650" s="103" t="s">
        <v>77</v>
      </c>
      <c r="Q650" s="103" t="s">
        <v>77</v>
      </c>
      <c r="R650" s="73" t="s">
        <v>211</v>
      </c>
      <c r="S650" s="66" t="s">
        <v>1093</v>
      </c>
      <c r="T650" s="67">
        <v>1</v>
      </c>
      <c r="U650" s="75" t="s">
        <v>840</v>
      </c>
      <c r="V650" s="68">
        <v>117</v>
      </c>
      <c r="W650" s="68"/>
      <c r="X650" s="69">
        <v>0</v>
      </c>
      <c r="Y650" s="68">
        <v>0</v>
      </c>
      <c r="Z650" s="68">
        <v>0</v>
      </c>
      <c r="AA650" s="68">
        <v>0</v>
      </c>
      <c r="AB650" s="68">
        <v>0</v>
      </c>
      <c r="AC650" s="68">
        <v>0</v>
      </c>
      <c r="AD650" s="68">
        <v>0</v>
      </c>
      <c r="AE650" s="68">
        <v>0</v>
      </c>
      <c r="AF650" s="68">
        <v>0</v>
      </c>
      <c r="AG650" s="68">
        <v>0</v>
      </c>
      <c r="AH650" s="68">
        <v>0</v>
      </c>
      <c r="AI650" s="68">
        <v>0</v>
      </c>
      <c r="AJ650" s="68">
        <v>0</v>
      </c>
      <c r="AK650" s="68">
        <v>0</v>
      </c>
      <c r="AL650" s="68">
        <v>0</v>
      </c>
      <c r="AM650" s="68"/>
      <c r="AN650" s="68">
        <v>1</v>
      </c>
      <c r="AO650" s="68"/>
      <c r="AP650" s="68">
        <v>1</v>
      </c>
      <c r="AQ650" s="68"/>
      <c r="AR650" s="68">
        <v>0</v>
      </c>
      <c r="AS650" s="68">
        <v>0</v>
      </c>
      <c r="AT650" s="68">
        <v>0</v>
      </c>
      <c r="AU650" s="68">
        <v>0</v>
      </c>
      <c r="AV650" s="68">
        <v>0</v>
      </c>
      <c r="AW650" s="68">
        <v>0</v>
      </c>
      <c r="AX650" s="170">
        <f t="shared" si="93"/>
        <v>7710</v>
      </c>
      <c r="AY650" s="170"/>
      <c r="AZ650" s="64" t="s">
        <v>77</v>
      </c>
      <c r="BA650" s="64" t="s">
        <v>77</v>
      </c>
      <c r="BB650" s="15" t="s">
        <v>77</v>
      </c>
      <c r="BC650" s="74">
        <v>641</v>
      </c>
      <c r="BD650" s="70"/>
      <c r="BE650" s="67"/>
      <c r="BF650" s="71"/>
      <c r="BG650" s="15"/>
      <c r="BH650" s="72" t="s">
        <v>77</v>
      </c>
      <c r="BI650" s="72" t="s">
        <v>77</v>
      </c>
    </row>
    <row r="651" spans="1:61" s="16" customFormat="1" ht="42" customHeight="1" x14ac:dyDescent="0.3">
      <c r="A651" s="26">
        <v>642</v>
      </c>
      <c r="B651" s="62">
        <v>252389</v>
      </c>
      <c r="C651" s="62">
        <v>642</v>
      </c>
      <c r="D651" s="63">
        <v>46205</v>
      </c>
      <c r="E651" s="63">
        <f t="shared" si="89"/>
        <v>46204</v>
      </c>
      <c r="F651" s="63">
        <f t="shared" si="90"/>
        <v>46215</v>
      </c>
      <c r="G651" s="63">
        <v>46297</v>
      </c>
      <c r="H651" s="63">
        <f t="shared" ca="1" si="92"/>
        <v>46277</v>
      </c>
      <c r="I651" s="63" t="s">
        <v>321</v>
      </c>
      <c r="J651" s="64" t="s">
        <v>1399</v>
      </c>
      <c r="K651" s="65">
        <f t="shared" si="91"/>
        <v>82</v>
      </c>
      <c r="L651" s="65">
        <v>1243033</v>
      </c>
      <c r="M651" s="64" t="s">
        <v>77</v>
      </c>
      <c r="N651" s="64">
        <v>838766</v>
      </c>
      <c r="O651" s="79" t="s">
        <v>246</v>
      </c>
      <c r="P651" s="103">
        <v>46272</v>
      </c>
      <c r="Q651" s="103">
        <v>46452</v>
      </c>
      <c r="R651" s="73" t="s">
        <v>211</v>
      </c>
      <c r="S651" s="66" t="s">
        <v>1398</v>
      </c>
      <c r="T651" s="67">
        <v>1</v>
      </c>
      <c r="U651" s="75" t="s">
        <v>82</v>
      </c>
      <c r="V651" s="68">
        <v>80</v>
      </c>
      <c r="W651" s="68"/>
      <c r="X651" s="69">
        <v>0</v>
      </c>
      <c r="Y651" s="68">
        <v>0</v>
      </c>
      <c r="Z651" s="68">
        <v>0</v>
      </c>
      <c r="AA651" s="68">
        <v>0</v>
      </c>
      <c r="AB651" s="68">
        <v>0</v>
      </c>
      <c r="AC651" s="68">
        <v>0</v>
      </c>
      <c r="AD651" s="68">
        <v>0</v>
      </c>
      <c r="AE651" s="68">
        <v>0</v>
      </c>
      <c r="AF651" s="68">
        <v>0</v>
      </c>
      <c r="AG651" s="68">
        <v>0</v>
      </c>
      <c r="AH651" s="68">
        <v>0</v>
      </c>
      <c r="AI651" s="68">
        <v>0</v>
      </c>
      <c r="AJ651" s="68">
        <v>0</v>
      </c>
      <c r="AK651" s="68">
        <v>0</v>
      </c>
      <c r="AL651" s="68">
        <v>0</v>
      </c>
      <c r="AM651" s="68"/>
      <c r="AN651" s="68">
        <v>1</v>
      </c>
      <c r="AO651" s="68"/>
      <c r="AP651" s="68">
        <v>1</v>
      </c>
      <c r="AQ651" s="68"/>
      <c r="AR651" s="68">
        <v>0</v>
      </c>
      <c r="AS651" s="68">
        <v>0</v>
      </c>
      <c r="AT651" s="68">
        <v>0</v>
      </c>
      <c r="AU651" s="68">
        <v>0</v>
      </c>
      <c r="AV651" s="68">
        <v>0</v>
      </c>
      <c r="AW651" s="68">
        <v>0</v>
      </c>
      <c r="AX651" s="170">
        <f t="shared" si="93"/>
        <v>5490</v>
      </c>
      <c r="AY651" s="170"/>
      <c r="AZ651" s="64" t="s">
        <v>77</v>
      </c>
      <c r="BA651" s="64" t="s">
        <v>77</v>
      </c>
      <c r="BB651" s="15" t="s">
        <v>77</v>
      </c>
      <c r="BC651" s="74">
        <v>642</v>
      </c>
      <c r="BD651" s="70"/>
      <c r="BE651" s="67"/>
      <c r="BF651" s="71"/>
      <c r="BG651" s="15"/>
      <c r="BH651" s="72" t="s">
        <v>77</v>
      </c>
      <c r="BI651" s="72" t="s">
        <v>77</v>
      </c>
    </row>
    <row r="652" spans="1:61" s="16" customFormat="1" ht="42" customHeight="1" x14ac:dyDescent="0.3">
      <c r="A652" s="26">
        <v>643</v>
      </c>
      <c r="B652" s="62">
        <v>252390</v>
      </c>
      <c r="C652" s="62">
        <v>643</v>
      </c>
      <c r="D652" s="63">
        <v>46205</v>
      </c>
      <c r="E652" s="63">
        <f t="shared" si="89"/>
        <v>46204</v>
      </c>
      <c r="F652" s="63">
        <f t="shared" si="90"/>
        <v>46215</v>
      </c>
      <c r="G652" s="63">
        <v>46297</v>
      </c>
      <c r="H652" s="63">
        <f t="shared" ca="1" si="92"/>
        <v>46277</v>
      </c>
      <c r="I652" s="63" t="s">
        <v>321</v>
      </c>
      <c r="J652" s="64" t="s">
        <v>1401</v>
      </c>
      <c r="K652" s="65">
        <f t="shared" si="91"/>
        <v>82</v>
      </c>
      <c r="L652" s="65">
        <v>1243034</v>
      </c>
      <c r="M652" s="64" t="s">
        <v>77</v>
      </c>
      <c r="N652" s="64" t="s">
        <v>77</v>
      </c>
      <c r="O652" s="64" t="s">
        <v>77</v>
      </c>
      <c r="P652" s="103" t="s">
        <v>77</v>
      </c>
      <c r="Q652" s="103" t="s">
        <v>77</v>
      </c>
      <c r="R652" s="73" t="s">
        <v>211</v>
      </c>
      <c r="S652" s="66" t="s">
        <v>1400</v>
      </c>
      <c r="T652" s="67">
        <v>1</v>
      </c>
      <c r="U652" s="75" t="s">
        <v>81</v>
      </c>
      <c r="V652" s="68">
        <v>135</v>
      </c>
      <c r="W652" s="68"/>
      <c r="X652" s="69">
        <v>0</v>
      </c>
      <c r="Y652" s="68">
        <v>0</v>
      </c>
      <c r="Z652" s="68">
        <v>0</v>
      </c>
      <c r="AA652" s="68">
        <v>0</v>
      </c>
      <c r="AB652" s="68">
        <v>0</v>
      </c>
      <c r="AC652" s="68">
        <v>0</v>
      </c>
      <c r="AD652" s="68">
        <v>0</v>
      </c>
      <c r="AE652" s="68">
        <v>0</v>
      </c>
      <c r="AF652" s="68">
        <v>0</v>
      </c>
      <c r="AG652" s="68">
        <v>0</v>
      </c>
      <c r="AH652" s="68">
        <v>0</v>
      </c>
      <c r="AI652" s="68">
        <v>0</v>
      </c>
      <c r="AJ652" s="68">
        <v>0</v>
      </c>
      <c r="AK652" s="68">
        <v>0</v>
      </c>
      <c r="AL652" s="68">
        <v>0</v>
      </c>
      <c r="AM652" s="68"/>
      <c r="AN652" s="68">
        <v>3</v>
      </c>
      <c r="AO652" s="68"/>
      <c r="AP652" s="68">
        <v>2</v>
      </c>
      <c r="AQ652" s="68"/>
      <c r="AR652" s="68">
        <v>0</v>
      </c>
      <c r="AS652" s="68">
        <v>0</v>
      </c>
      <c r="AT652" s="68">
        <v>0</v>
      </c>
      <c r="AU652" s="68">
        <v>0</v>
      </c>
      <c r="AV652" s="68">
        <v>0</v>
      </c>
      <c r="AW652" s="68">
        <v>0</v>
      </c>
      <c r="AX652" s="170">
        <f t="shared" si="93"/>
        <v>9540</v>
      </c>
      <c r="AY652" s="170"/>
      <c r="AZ652" s="64" t="s">
        <v>77</v>
      </c>
      <c r="BA652" s="64" t="s">
        <v>77</v>
      </c>
      <c r="BB652" s="15" t="s">
        <v>77</v>
      </c>
      <c r="BC652" s="74">
        <v>643</v>
      </c>
      <c r="BD652" s="70"/>
      <c r="BE652" s="67"/>
      <c r="BF652" s="71"/>
      <c r="BG652" s="15"/>
      <c r="BH652" s="72" t="s">
        <v>77</v>
      </c>
      <c r="BI652" s="72" t="s">
        <v>77</v>
      </c>
    </row>
    <row r="653" spans="1:61" s="16" customFormat="1" ht="42" customHeight="1" x14ac:dyDescent="0.3">
      <c r="A653" s="26">
        <v>644</v>
      </c>
      <c r="B653" s="62">
        <v>252391</v>
      </c>
      <c r="C653" s="62">
        <v>644</v>
      </c>
      <c r="D653" s="63">
        <v>46205</v>
      </c>
      <c r="E653" s="63">
        <f t="shared" si="89"/>
        <v>46204</v>
      </c>
      <c r="F653" s="63">
        <f t="shared" si="90"/>
        <v>46215</v>
      </c>
      <c r="G653" s="63">
        <v>46297</v>
      </c>
      <c r="H653" s="63">
        <f t="shared" ca="1" si="92"/>
        <v>46277</v>
      </c>
      <c r="I653" s="63" t="s">
        <v>321</v>
      </c>
      <c r="J653" s="64" t="s">
        <v>1402</v>
      </c>
      <c r="K653" s="65">
        <f t="shared" si="91"/>
        <v>82</v>
      </c>
      <c r="L653" s="65">
        <v>1243035</v>
      </c>
      <c r="M653" s="64" t="s">
        <v>77</v>
      </c>
      <c r="N653" s="64">
        <v>838766</v>
      </c>
      <c r="O653" s="79" t="s">
        <v>246</v>
      </c>
      <c r="P653" s="103">
        <v>46272</v>
      </c>
      <c r="Q653" s="103">
        <v>46452</v>
      </c>
      <c r="R653" s="73" t="s">
        <v>211</v>
      </c>
      <c r="S653" s="66" t="s">
        <v>357</v>
      </c>
      <c r="T653" s="67">
        <v>1</v>
      </c>
      <c r="U653" s="75" t="s">
        <v>82</v>
      </c>
      <c r="V653" s="68">
        <v>201</v>
      </c>
      <c r="W653" s="68"/>
      <c r="X653" s="69">
        <v>0</v>
      </c>
      <c r="Y653" s="68">
        <v>0</v>
      </c>
      <c r="Z653" s="68">
        <v>0</v>
      </c>
      <c r="AA653" s="68">
        <v>0</v>
      </c>
      <c r="AB653" s="68">
        <v>0</v>
      </c>
      <c r="AC653" s="68">
        <v>0</v>
      </c>
      <c r="AD653" s="68">
        <v>0</v>
      </c>
      <c r="AE653" s="68">
        <v>0</v>
      </c>
      <c r="AF653" s="68">
        <v>0</v>
      </c>
      <c r="AG653" s="68">
        <v>0</v>
      </c>
      <c r="AH653" s="68">
        <v>0</v>
      </c>
      <c r="AI653" s="68">
        <v>0</v>
      </c>
      <c r="AJ653" s="68">
        <v>0</v>
      </c>
      <c r="AK653" s="68">
        <v>0</v>
      </c>
      <c r="AL653" s="68">
        <v>3</v>
      </c>
      <c r="AM653" s="68"/>
      <c r="AN653" s="68">
        <v>2</v>
      </c>
      <c r="AO653" s="68"/>
      <c r="AP653" s="68">
        <v>0</v>
      </c>
      <c r="AQ653" s="68"/>
      <c r="AR653" s="68">
        <v>0</v>
      </c>
      <c r="AS653" s="68">
        <v>0</v>
      </c>
      <c r="AT653" s="68">
        <v>0</v>
      </c>
      <c r="AU653" s="68">
        <v>0</v>
      </c>
      <c r="AV653" s="68">
        <v>0</v>
      </c>
      <c r="AW653" s="68">
        <v>0</v>
      </c>
      <c r="AX653" s="170">
        <f t="shared" si="93"/>
        <v>13950</v>
      </c>
      <c r="AY653" s="170"/>
      <c r="AZ653" s="64" t="s">
        <v>77</v>
      </c>
      <c r="BA653" s="64" t="s">
        <v>77</v>
      </c>
      <c r="BB653" s="15" t="s">
        <v>77</v>
      </c>
      <c r="BC653" s="74">
        <v>644</v>
      </c>
      <c r="BD653" s="70"/>
      <c r="BE653" s="67"/>
      <c r="BF653" s="71"/>
      <c r="BG653" s="15"/>
      <c r="BH653" s="72" t="s">
        <v>77</v>
      </c>
      <c r="BI653" s="72" t="s">
        <v>77</v>
      </c>
    </row>
    <row r="654" spans="1:61" s="16" customFormat="1" ht="42" customHeight="1" x14ac:dyDescent="0.3">
      <c r="A654" s="26">
        <v>645</v>
      </c>
      <c r="B654" s="163">
        <v>252392</v>
      </c>
      <c r="C654" s="163">
        <v>645</v>
      </c>
      <c r="D654" s="164">
        <v>46229</v>
      </c>
      <c r="E654" s="164">
        <f t="shared" si="89"/>
        <v>46228</v>
      </c>
      <c r="F654" s="164">
        <f t="shared" si="90"/>
        <v>46239</v>
      </c>
      <c r="G654" s="164">
        <v>46289</v>
      </c>
      <c r="H654" s="164">
        <v>46250</v>
      </c>
      <c r="I654" s="164" t="s">
        <v>123</v>
      </c>
      <c r="J654" s="165" t="s">
        <v>1495</v>
      </c>
      <c r="K654" s="166">
        <f t="shared" si="91"/>
        <v>50</v>
      </c>
      <c r="L654" s="166">
        <v>1243037</v>
      </c>
      <c r="M654" s="165" t="s">
        <v>15</v>
      </c>
      <c r="N654" s="165">
        <v>837433</v>
      </c>
      <c r="O654" s="165" t="s">
        <v>246</v>
      </c>
      <c r="P654" s="167">
        <v>46243</v>
      </c>
      <c r="Q654" s="167">
        <v>46415</v>
      </c>
      <c r="R654" s="179" t="s">
        <v>211</v>
      </c>
      <c r="S654" s="168" t="s">
        <v>116</v>
      </c>
      <c r="T654" s="169">
        <v>1</v>
      </c>
      <c r="U654" s="180" t="s">
        <v>82</v>
      </c>
      <c r="V654" s="170">
        <v>22</v>
      </c>
      <c r="W654" s="170">
        <v>22</v>
      </c>
      <c r="X654" s="171">
        <v>0</v>
      </c>
      <c r="Y654" s="170">
        <v>0</v>
      </c>
      <c r="Z654" s="170">
        <v>0</v>
      </c>
      <c r="AA654" s="170">
        <v>0</v>
      </c>
      <c r="AB654" s="170">
        <v>12</v>
      </c>
      <c r="AC654" s="170">
        <v>12</v>
      </c>
      <c r="AD654" s="170">
        <v>0</v>
      </c>
      <c r="AE654" s="170">
        <v>0</v>
      </c>
      <c r="AF654" s="170">
        <v>0</v>
      </c>
      <c r="AG654" s="170">
        <v>0</v>
      </c>
      <c r="AH654" s="170">
        <v>1</v>
      </c>
      <c r="AI654" s="170">
        <v>1</v>
      </c>
      <c r="AJ654" s="170">
        <v>0</v>
      </c>
      <c r="AK654" s="170">
        <v>0</v>
      </c>
      <c r="AL654" s="170">
        <v>1</v>
      </c>
      <c r="AM654" s="170">
        <v>1</v>
      </c>
      <c r="AN654" s="170">
        <v>2</v>
      </c>
      <c r="AO654" s="170">
        <v>2</v>
      </c>
      <c r="AP654" s="170">
        <v>3</v>
      </c>
      <c r="AQ654" s="170">
        <v>3</v>
      </c>
      <c r="AR654" s="170">
        <v>0</v>
      </c>
      <c r="AS654" s="170">
        <v>0</v>
      </c>
      <c r="AT654" s="170">
        <v>1</v>
      </c>
      <c r="AU654" s="170">
        <v>1</v>
      </c>
      <c r="AV654" s="170">
        <v>0</v>
      </c>
      <c r="AW654" s="170">
        <v>0</v>
      </c>
      <c r="AX654" s="170">
        <f t="shared" si="93"/>
        <v>5124</v>
      </c>
      <c r="AY654" s="170">
        <f>(W654*60)+(Y654*80)+(AA654*38)+(AC654*57)+(AE654*75)+(AG654*155)+(AI654*170)+(AK654*375)+(AM654*590)+(AO654*60)+(AQ654*630)+(AS654*400)+(AU654*350)+(AW654*950)</f>
        <v>5124</v>
      </c>
      <c r="AZ654" s="165" t="s">
        <v>15</v>
      </c>
      <c r="BA654" s="165" t="s">
        <v>77</v>
      </c>
      <c r="BB654" s="162" t="s">
        <v>77</v>
      </c>
      <c r="BC654" s="181">
        <v>645</v>
      </c>
      <c r="BD654" s="173"/>
      <c r="BE654" s="169"/>
      <c r="BF654" s="174"/>
      <c r="BG654" s="178">
        <v>46245</v>
      </c>
      <c r="BH654" s="175" t="s">
        <v>77</v>
      </c>
      <c r="BI654" s="175" t="s">
        <v>77</v>
      </c>
    </row>
    <row r="655" spans="1:61" s="16" customFormat="1" ht="42" customHeight="1" x14ac:dyDescent="0.3">
      <c r="A655" s="26">
        <v>646</v>
      </c>
      <c r="B655" s="62">
        <v>252433</v>
      </c>
      <c r="C655" s="62">
        <v>646</v>
      </c>
      <c r="D655" s="63">
        <v>46209</v>
      </c>
      <c r="E655" s="63">
        <f t="shared" si="89"/>
        <v>46208</v>
      </c>
      <c r="F655" s="63">
        <f t="shared" si="90"/>
        <v>46219</v>
      </c>
      <c r="G655" s="63">
        <v>46301</v>
      </c>
      <c r="H655" s="63">
        <f t="shared" ref="H655:H666" ca="1" si="94">TODAY()</f>
        <v>46277</v>
      </c>
      <c r="I655" s="63" t="s">
        <v>321</v>
      </c>
      <c r="J655" s="64" t="s">
        <v>1404</v>
      </c>
      <c r="K655" s="65">
        <f t="shared" si="91"/>
        <v>82</v>
      </c>
      <c r="L655" s="65">
        <v>1243948</v>
      </c>
      <c r="M655" s="64" t="s">
        <v>77</v>
      </c>
      <c r="N655" s="64" t="s">
        <v>77</v>
      </c>
      <c r="O655" s="64" t="s">
        <v>77</v>
      </c>
      <c r="P655" s="103" t="s">
        <v>77</v>
      </c>
      <c r="Q655" s="103" t="s">
        <v>77</v>
      </c>
      <c r="R655" s="73" t="s">
        <v>211</v>
      </c>
      <c r="S655" s="66" t="s">
        <v>1403</v>
      </c>
      <c r="T655" s="67">
        <v>1</v>
      </c>
      <c r="U655" s="75" t="s">
        <v>1029</v>
      </c>
      <c r="V655" s="68">
        <v>69</v>
      </c>
      <c r="W655" s="68"/>
      <c r="X655" s="69">
        <v>0</v>
      </c>
      <c r="Y655" s="68">
        <v>0</v>
      </c>
      <c r="Z655" s="68">
        <v>0</v>
      </c>
      <c r="AA655" s="68">
        <v>0</v>
      </c>
      <c r="AB655" s="68">
        <v>0</v>
      </c>
      <c r="AC655" s="68">
        <v>0</v>
      </c>
      <c r="AD655" s="68">
        <v>0</v>
      </c>
      <c r="AE655" s="68">
        <v>0</v>
      </c>
      <c r="AF655" s="68">
        <v>0</v>
      </c>
      <c r="AG655" s="68">
        <v>0</v>
      </c>
      <c r="AH655" s="68">
        <v>0</v>
      </c>
      <c r="AI655" s="68">
        <v>0</v>
      </c>
      <c r="AJ655" s="68">
        <v>0</v>
      </c>
      <c r="AK655" s="68">
        <v>0</v>
      </c>
      <c r="AL655" s="68">
        <v>1</v>
      </c>
      <c r="AM655" s="68"/>
      <c r="AN655" s="68">
        <v>1</v>
      </c>
      <c r="AO655" s="68"/>
      <c r="AP655" s="68">
        <v>1</v>
      </c>
      <c r="AQ655" s="68"/>
      <c r="AR655" s="68">
        <v>0</v>
      </c>
      <c r="AS655" s="68">
        <v>0</v>
      </c>
      <c r="AT655" s="68">
        <v>0</v>
      </c>
      <c r="AU655" s="68">
        <v>0</v>
      </c>
      <c r="AV655" s="68">
        <v>0</v>
      </c>
      <c r="AW655" s="68">
        <v>0</v>
      </c>
      <c r="AX655" s="170">
        <f t="shared" si="93"/>
        <v>5420</v>
      </c>
      <c r="AY655" s="170"/>
      <c r="AZ655" s="64" t="s">
        <v>77</v>
      </c>
      <c r="BA655" s="64" t="s">
        <v>77</v>
      </c>
      <c r="BB655" s="15" t="s">
        <v>77</v>
      </c>
      <c r="BC655" s="74">
        <v>646</v>
      </c>
      <c r="BD655" s="70"/>
      <c r="BE655" s="67"/>
      <c r="BF655" s="71"/>
      <c r="BG655" s="15"/>
      <c r="BH655" s="72" t="s">
        <v>77</v>
      </c>
      <c r="BI655" s="72" t="s">
        <v>77</v>
      </c>
    </row>
    <row r="656" spans="1:61" s="16" customFormat="1" ht="42" customHeight="1" x14ac:dyDescent="0.3">
      <c r="A656" s="26">
        <v>647</v>
      </c>
      <c r="B656" s="62">
        <v>252434</v>
      </c>
      <c r="C656" s="62">
        <v>647</v>
      </c>
      <c r="D656" s="63">
        <v>46209</v>
      </c>
      <c r="E656" s="63">
        <f t="shared" si="89"/>
        <v>46208</v>
      </c>
      <c r="F656" s="63">
        <f t="shared" si="90"/>
        <v>46219</v>
      </c>
      <c r="G656" s="63">
        <v>46301</v>
      </c>
      <c r="H656" s="63">
        <f t="shared" ca="1" si="94"/>
        <v>46277</v>
      </c>
      <c r="I656" s="63" t="s">
        <v>321</v>
      </c>
      <c r="J656" s="64" t="s">
        <v>1406</v>
      </c>
      <c r="K656" s="65">
        <f t="shared" si="91"/>
        <v>82</v>
      </c>
      <c r="L656" s="65">
        <v>1243954</v>
      </c>
      <c r="M656" s="64" t="s">
        <v>77</v>
      </c>
      <c r="N656" s="64" t="s">
        <v>77</v>
      </c>
      <c r="O656" s="64" t="s">
        <v>77</v>
      </c>
      <c r="P656" s="103" t="s">
        <v>77</v>
      </c>
      <c r="Q656" s="103" t="s">
        <v>77</v>
      </c>
      <c r="R656" s="73" t="s">
        <v>211</v>
      </c>
      <c r="S656" s="66" t="s">
        <v>1405</v>
      </c>
      <c r="T656" s="67">
        <v>1</v>
      </c>
      <c r="U656" s="75" t="s">
        <v>81</v>
      </c>
      <c r="V656" s="68">
        <v>72</v>
      </c>
      <c r="W656" s="68"/>
      <c r="X656" s="69">
        <v>0</v>
      </c>
      <c r="Y656" s="68">
        <v>0</v>
      </c>
      <c r="Z656" s="68">
        <v>0</v>
      </c>
      <c r="AA656" s="68">
        <v>0</v>
      </c>
      <c r="AB656" s="68">
        <v>0</v>
      </c>
      <c r="AC656" s="68">
        <v>0</v>
      </c>
      <c r="AD656" s="68">
        <v>0</v>
      </c>
      <c r="AE656" s="68">
        <v>0</v>
      </c>
      <c r="AF656" s="68">
        <v>0</v>
      </c>
      <c r="AG656" s="68">
        <v>0</v>
      </c>
      <c r="AH656" s="68">
        <v>0</v>
      </c>
      <c r="AI656" s="68">
        <v>0</v>
      </c>
      <c r="AJ656" s="68">
        <v>0</v>
      </c>
      <c r="AK656" s="68">
        <v>0</v>
      </c>
      <c r="AL656" s="68">
        <v>1</v>
      </c>
      <c r="AM656" s="68"/>
      <c r="AN656" s="68">
        <v>1</v>
      </c>
      <c r="AO656" s="68"/>
      <c r="AP656" s="68">
        <v>1</v>
      </c>
      <c r="AQ656" s="68"/>
      <c r="AR656" s="68">
        <v>0</v>
      </c>
      <c r="AS656" s="68">
        <v>0</v>
      </c>
      <c r="AT656" s="68">
        <v>0</v>
      </c>
      <c r="AU656" s="68">
        <v>0</v>
      </c>
      <c r="AV656" s="68">
        <v>0</v>
      </c>
      <c r="AW656" s="68">
        <v>0</v>
      </c>
      <c r="AX656" s="170">
        <f t="shared" si="93"/>
        <v>5600</v>
      </c>
      <c r="AY656" s="170"/>
      <c r="AZ656" s="64" t="s">
        <v>77</v>
      </c>
      <c r="BA656" s="64" t="s">
        <v>77</v>
      </c>
      <c r="BB656" s="15" t="s">
        <v>77</v>
      </c>
      <c r="BC656" s="74">
        <v>647</v>
      </c>
      <c r="BD656" s="70"/>
      <c r="BE656" s="67"/>
      <c r="BF656" s="71"/>
      <c r="BG656" s="15"/>
      <c r="BH656" s="72" t="s">
        <v>77</v>
      </c>
      <c r="BI656" s="72" t="s">
        <v>77</v>
      </c>
    </row>
    <row r="657" spans="1:61" s="16" customFormat="1" ht="42" customHeight="1" x14ac:dyDescent="0.3">
      <c r="A657" s="26">
        <v>648</v>
      </c>
      <c r="B657" s="62">
        <v>252435</v>
      </c>
      <c r="C657" s="62">
        <v>648</v>
      </c>
      <c r="D657" s="63">
        <v>46209</v>
      </c>
      <c r="E657" s="63">
        <f t="shared" si="89"/>
        <v>46208</v>
      </c>
      <c r="F657" s="63">
        <f t="shared" si="90"/>
        <v>46219</v>
      </c>
      <c r="G657" s="63">
        <v>46301</v>
      </c>
      <c r="H657" s="63">
        <f t="shared" ca="1" si="94"/>
        <v>46277</v>
      </c>
      <c r="I657" s="63" t="s">
        <v>321</v>
      </c>
      <c r="J657" s="64" t="s">
        <v>1408</v>
      </c>
      <c r="K657" s="65">
        <f t="shared" si="91"/>
        <v>82</v>
      </c>
      <c r="L657" s="65">
        <v>1243956</v>
      </c>
      <c r="M657" s="64" t="s">
        <v>77</v>
      </c>
      <c r="N657" s="64">
        <v>841112</v>
      </c>
      <c r="O657" s="79" t="s">
        <v>246</v>
      </c>
      <c r="P657" s="103">
        <v>46263</v>
      </c>
      <c r="Q657" s="103">
        <v>46443</v>
      </c>
      <c r="R657" s="73" t="s">
        <v>211</v>
      </c>
      <c r="S657" s="66" t="s">
        <v>1407</v>
      </c>
      <c r="T657" s="67">
        <v>1</v>
      </c>
      <c r="U657" s="75" t="s">
        <v>81</v>
      </c>
      <c r="V657" s="68">
        <v>194</v>
      </c>
      <c r="W657" s="68"/>
      <c r="X657" s="69">
        <v>0</v>
      </c>
      <c r="Y657" s="68">
        <v>0</v>
      </c>
      <c r="Z657" s="68">
        <v>0</v>
      </c>
      <c r="AA657" s="68">
        <v>0</v>
      </c>
      <c r="AB657" s="68">
        <v>0</v>
      </c>
      <c r="AC657" s="68">
        <v>0</v>
      </c>
      <c r="AD657" s="68">
        <v>0</v>
      </c>
      <c r="AE657" s="68">
        <v>0</v>
      </c>
      <c r="AF657" s="68">
        <v>0</v>
      </c>
      <c r="AG657" s="68">
        <v>0</v>
      </c>
      <c r="AH657" s="68">
        <v>0</v>
      </c>
      <c r="AI657" s="68">
        <v>0</v>
      </c>
      <c r="AJ657" s="68">
        <v>0</v>
      </c>
      <c r="AK657" s="68">
        <v>0</v>
      </c>
      <c r="AL657" s="68">
        <v>1</v>
      </c>
      <c r="AM657" s="68"/>
      <c r="AN657" s="68">
        <v>1</v>
      </c>
      <c r="AO657" s="68"/>
      <c r="AP657" s="68">
        <v>1</v>
      </c>
      <c r="AQ657" s="68"/>
      <c r="AR657" s="68">
        <v>0</v>
      </c>
      <c r="AS657" s="68">
        <v>0</v>
      </c>
      <c r="AT657" s="68">
        <v>0</v>
      </c>
      <c r="AU657" s="68">
        <v>0</v>
      </c>
      <c r="AV657" s="68">
        <v>0</v>
      </c>
      <c r="AW657" s="68">
        <v>0</v>
      </c>
      <c r="AX657" s="170">
        <f t="shared" si="93"/>
        <v>12920</v>
      </c>
      <c r="AY657" s="170"/>
      <c r="AZ657" s="64" t="s">
        <v>77</v>
      </c>
      <c r="BA657" s="64" t="s">
        <v>77</v>
      </c>
      <c r="BB657" s="15" t="s">
        <v>77</v>
      </c>
      <c r="BC657" s="74">
        <v>648</v>
      </c>
      <c r="BD657" s="70"/>
      <c r="BE657" s="67"/>
      <c r="BF657" s="71"/>
      <c r="BG657" s="15"/>
      <c r="BH657" s="72" t="s">
        <v>77</v>
      </c>
      <c r="BI657" s="72" t="s">
        <v>77</v>
      </c>
    </row>
    <row r="658" spans="1:61" s="16" customFormat="1" ht="42" customHeight="1" x14ac:dyDescent="0.3">
      <c r="A658" s="26">
        <v>649</v>
      </c>
      <c r="B658" s="62">
        <v>252436</v>
      </c>
      <c r="C658" s="62">
        <v>649</v>
      </c>
      <c r="D658" s="63">
        <v>46209</v>
      </c>
      <c r="E658" s="63">
        <f t="shared" si="89"/>
        <v>46208</v>
      </c>
      <c r="F658" s="63">
        <f t="shared" si="90"/>
        <v>46219</v>
      </c>
      <c r="G658" s="63">
        <v>46301</v>
      </c>
      <c r="H658" s="63">
        <f t="shared" ca="1" si="94"/>
        <v>46277</v>
      </c>
      <c r="I658" s="63" t="s">
        <v>321</v>
      </c>
      <c r="J658" s="64" t="s">
        <v>1410</v>
      </c>
      <c r="K658" s="65">
        <f t="shared" si="91"/>
        <v>82</v>
      </c>
      <c r="L658" s="65">
        <v>1243957</v>
      </c>
      <c r="M658" s="64" t="s">
        <v>77</v>
      </c>
      <c r="N658" s="64">
        <v>837400</v>
      </c>
      <c r="O658" s="80" t="s">
        <v>246</v>
      </c>
      <c r="P658" s="103">
        <v>46256</v>
      </c>
      <c r="Q658" s="103">
        <v>46436</v>
      </c>
      <c r="R658" s="73" t="s">
        <v>211</v>
      </c>
      <c r="S658" s="66" t="s">
        <v>1409</v>
      </c>
      <c r="T658" s="67">
        <v>1</v>
      </c>
      <c r="U658" s="75" t="s">
        <v>1114</v>
      </c>
      <c r="V658" s="68">
        <v>97</v>
      </c>
      <c r="W658" s="68"/>
      <c r="X658" s="69">
        <v>0</v>
      </c>
      <c r="Y658" s="68">
        <v>0</v>
      </c>
      <c r="Z658" s="68">
        <v>0</v>
      </c>
      <c r="AA658" s="68">
        <v>0</v>
      </c>
      <c r="AB658" s="68">
        <v>0</v>
      </c>
      <c r="AC658" s="68">
        <v>0</v>
      </c>
      <c r="AD658" s="68">
        <v>0</v>
      </c>
      <c r="AE658" s="68">
        <v>0</v>
      </c>
      <c r="AF658" s="68">
        <v>0</v>
      </c>
      <c r="AG658" s="68">
        <v>0</v>
      </c>
      <c r="AH658" s="68">
        <v>0</v>
      </c>
      <c r="AI658" s="68">
        <v>0</v>
      </c>
      <c r="AJ658" s="68">
        <v>0</v>
      </c>
      <c r="AK658" s="68">
        <v>0</v>
      </c>
      <c r="AL658" s="68">
        <v>1</v>
      </c>
      <c r="AM658" s="68"/>
      <c r="AN658" s="68">
        <v>1</v>
      </c>
      <c r="AO658" s="68"/>
      <c r="AP658" s="68">
        <v>1</v>
      </c>
      <c r="AQ658" s="68"/>
      <c r="AR658" s="68">
        <v>0</v>
      </c>
      <c r="AS658" s="68">
        <v>0</v>
      </c>
      <c r="AT658" s="68">
        <v>0</v>
      </c>
      <c r="AU658" s="68">
        <v>0</v>
      </c>
      <c r="AV658" s="68">
        <v>0</v>
      </c>
      <c r="AW658" s="68">
        <v>0</v>
      </c>
      <c r="AX658" s="170">
        <f t="shared" si="93"/>
        <v>7100</v>
      </c>
      <c r="AY658" s="170"/>
      <c r="AZ658" s="64" t="s">
        <v>77</v>
      </c>
      <c r="BA658" s="64" t="s">
        <v>77</v>
      </c>
      <c r="BB658" s="15" t="s">
        <v>77</v>
      </c>
      <c r="BC658" s="74">
        <v>649</v>
      </c>
      <c r="BD658" s="70"/>
      <c r="BE658" s="67"/>
      <c r="BF658" s="71"/>
      <c r="BG658" s="15"/>
      <c r="BH658" s="72" t="s">
        <v>77</v>
      </c>
      <c r="BI658" s="72" t="s">
        <v>77</v>
      </c>
    </row>
    <row r="659" spans="1:61" s="16" customFormat="1" ht="42" customHeight="1" x14ac:dyDescent="0.3">
      <c r="A659" s="26">
        <v>650</v>
      </c>
      <c r="B659" s="62">
        <v>252465</v>
      </c>
      <c r="C659" s="62">
        <v>650</v>
      </c>
      <c r="D659" s="63">
        <v>46209</v>
      </c>
      <c r="E659" s="63">
        <f t="shared" ref="E659:E690" si="95">D659-1</f>
        <v>46208</v>
      </c>
      <c r="F659" s="63">
        <f t="shared" ref="F659:F690" si="96">D659+10</f>
        <v>46219</v>
      </c>
      <c r="G659" s="63">
        <v>46301</v>
      </c>
      <c r="H659" s="63">
        <f t="shared" ca="1" si="94"/>
        <v>46277</v>
      </c>
      <c r="I659" s="63" t="s">
        <v>321</v>
      </c>
      <c r="J659" s="64" t="s">
        <v>1412</v>
      </c>
      <c r="K659" s="65">
        <f t="shared" ref="K659:K690" si="97">G659-F659</f>
        <v>82</v>
      </c>
      <c r="L659" s="65">
        <v>1244044</v>
      </c>
      <c r="M659" s="64" t="s">
        <v>77</v>
      </c>
      <c r="N659" s="64" t="s">
        <v>77</v>
      </c>
      <c r="O659" s="64" t="s">
        <v>77</v>
      </c>
      <c r="P659" s="103" t="s">
        <v>77</v>
      </c>
      <c r="Q659" s="103" t="s">
        <v>77</v>
      </c>
      <c r="R659" s="73" t="s">
        <v>211</v>
      </c>
      <c r="S659" s="66" t="s">
        <v>1411</v>
      </c>
      <c r="T659" s="67">
        <v>1</v>
      </c>
      <c r="U659" s="75" t="s">
        <v>106</v>
      </c>
      <c r="V659" s="68">
        <v>5</v>
      </c>
      <c r="W659" s="68"/>
      <c r="X659" s="69">
        <v>0</v>
      </c>
      <c r="Y659" s="68">
        <v>0</v>
      </c>
      <c r="Z659" s="68">
        <v>0</v>
      </c>
      <c r="AA659" s="68">
        <v>0</v>
      </c>
      <c r="AB659" s="68">
        <v>0</v>
      </c>
      <c r="AC659" s="68">
        <v>0</v>
      </c>
      <c r="AD659" s="68">
        <v>0</v>
      </c>
      <c r="AE659" s="68">
        <v>0</v>
      </c>
      <c r="AF659" s="68">
        <v>0</v>
      </c>
      <c r="AG659" s="68">
        <v>0</v>
      </c>
      <c r="AH659" s="68">
        <v>0</v>
      </c>
      <c r="AI659" s="68">
        <v>0</v>
      </c>
      <c r="AJ659" s="68">
        <v>0</v>
      </c>
      <c r="AK659" s="68">
        <v>0</v>
      </c>
      <c r="AL659" s="68">
        <v>1</v>
      </c>
      <c r="AM659" s="68"/>
      <c r="AN659" s="68">
        <v>1</v>
      </c>
      <c r="AO659" s="68"/>
      <c r="AP659" s="68">
        <v>0</v>
      </c>
      <c r="AQ659" s="68">
        <v>0</v>
      </c>
      <c r="AR659" s="68">
        <v>0</v>
      </c>
      <c r="AS659" s="68">
        <v>0</v>
      </c>
      <c r="AT659" s="68">
        <v>0</v>
      </c>
      <c r="AU659" s="68">
        <v>0</v>
      </c>
      <c r="AV659" s="68">
        <v>0</v>
      </c>
      <c r="AW659" s="68">
        <v>0</v>
      </c>
      <c r="AX659" s="170">
        <f t="shared" si="93"/>
        <v>950</v>
      </c>
      <c r="AY659" s="170"/>
      <c r="AZ659" s="64" t="s">
        <v>77</v>
      </c>
      <c r="BA659" s="64" t="s">
        <v>77</v>
      </c>
      <c r="BB659" s="15" t="s">
        <v>77</v>
      </c>
      <c r="BC659" s="74">
        <v>650</v>
      </c>
      <c r="BD659" s="70"/>
      <c r="BE659" s="67"/>
      <c r="BF659" s="71"/>
      <c r="BG659" s="15"/>
      <c r="BH659" s="72" t="s">
        <v>77</v>
      </c>
      <c r="BI659" s="72" t="s">
        <v>77</v>
      </c>
    </row>
    <row r="660" spans="1:61" s="16" customFormat="1" ht="42" customHeight="1" x14ac:dyDescent="0.3">
      <c r="A660" s="26">
        <v>651</v>
      </c>
      <c r="B660" s="62">
        <v>252466</v>
      </c>
      <c r="C660" s="62">
        <v>651</v>
      </c>
      <c r="D660" s="63">
        <v>46209</v>
      </c>
      <c r="E660" s="63">
        <f t="shared" si="95"/>
        <v>46208</v>
      </c>
      <c r="F660" s="63">
        <f t="shared" si="96"/>
        <v>46219</v>
      </c>
      <c r="G660" s="63">
        <v>46301</v>
      </c>
      <c r="H660" s="63">
        <f t="shared" ca="1" si="94"/>
        <v>46277</v>
      </c>
      <c r="I660" s="63" t="s">
        <v>321</v>
      </c>
      <c r="J660" s="64" t="s">
        <v>1414</v>
      </c>
      <c r="K660" s="65">
        <f t="shared" si="97"/>
        <v>82</v>
      </c>
      <c r="L660" s="65">
        <v>1244045</v>
      </c>
      <c r="M660" s="64" t="s">
        <v>77</v>
      </c>
      <c r="N660" s="64" t="s">
        <v>77</v>
      </c>
      <c r="O660" s="64" t="s">
        <v>77</v>
      </c>
      <c r="P660" s="103" t="s">
        <v>77</v>
      </c>
      <c r="Q660" s="103" t="s">
        <v>77</v>
      </c>
      <c r="R660" s="73" t="s">
        <v>211</v>
      </c>
      <c r="S660" s="66" t="s">
        <v>1413</v>
      </c>
      <c r="T660" s="67">
        <v>1</v>
      </c>
      <c r="U660" s="75" t="s">
        <v>81</v>
      </c>
      <c r="V660" s="68">
        <v>103</v>
      </c>
      <c r="W660" s="68"/>
      <c r="X660" s="69">
        <v>0</v>
      </c>
      <c r="Y660" s="68">
        <v>0</v>
      </c>
      <c r="Z660" s="68">
        <v>0</v>
      </c>
      <c r="AA660" s="68">
        <v>0</v>
      </c>
      <c r="AB660" s="68">
        <v>0</v>
      </c>
      <c r="AC660" s="68">
        <v>0</v>
      </c>
      <c r="AD660" s="68">
        <v>0</v>
      </c>
      <c r="AE660" s="68">
        <v>0</v>
      </c>
      <c r="AF660" s="68">
        <v>0</v>
      </c>
      <c r="AG660" s="68">
        <v>0</v>
      </c>
      <c r="AH660" s="68">
        <v>0</v>
      </c>
      <c r="AI660" s="68">
        <v>0</v>
      </c>
      <c r="AJ660" s="68">
        <v>0</v>
      </c>
      <c r="AK660" s="68">
        <v>0</v>
      </c>
      <c r="AL660" s="68">
        <v>1</v>
      </c>
      <c r="AM660" s="68"/>
      <c r="AN660" s="68">
        <v>1</v>
      </c>
      <c r="AO660" s="68"/>
      <c r="AP660" s="68">
        <v>1</v>
      </c>
      <c r="AQ660" s="68"/>
      <c r="AR660" s="68">
        <v>0</v>
      </c>
      <c r="AS660" s="68">
        <v>0</v>
      </c>
      <c r="AT660" s="68">
        <v>0</v>
      </c>
      <c r="AU660" s="68">
        <v>0</v>
      </c>
      <c r="AV660" s="68">
        <v>0</v>
      </c>
      <c r="AW660" s="68">
        <v>0</v>
      </c>
      <c r="AX660" s="170">
        <f t="shared" si="93"/>
        <v>7460</v>
      </c>
      <c r="AY660" s="170"/>
      <c r="AZ660" s="64" t="s">
        <v>77</v>
      </c>
      <c r="BA660" s="64" t="s">
        <v>77</v>
      </c>
      <c r="BB660" s="15" t="s">
        <v>77</v>
      </c>
      <c r="BC660" s="74">
        <v>651</v>
      </c>
      <c r="BD660" s="70"/>
      <c r="BE660" s="67"/>
      <c r="BF660" s="71"/>
      <c r="BG660" s="15"/>
      <c r="BH660" s="72" t="s">
        <v>77</v>
      </c>
      <c r="BI660" s="72" t="s">
        <v>77</v>
      </c>
    </row>
    <row r="661" spans="1:61" s="16" customFormat="1" ht="42" customHeight="1" x14ac:dyDescent="0.3">
      <c r="A661" s="26">
        <v>652</v>
      </c>
      <c r="B661" s="62">
        <v>252467</v>
      </c>
      <c r="C661" s="62">
        <v>652</v>
      </c>
      <c r="D661" s="63">
        <v>46209</v>
      </c>
      <c r="E661" s="63">
        <f t="shared" si="95"/>
        <v>46208</v>
      </c>
      <c r="F661" s="63">
        <f t="shared" si="96"/>
        <v>46219</v>
      </c>
      <c r="G661" s="63">
        <v>46301</v>
      </c>
      <c r="H661" s="63">
        <f t="shared" ca="1" si="94"/>
        <v>46277</v>
      </c>
      <c r="I661" s="63" t="s">
        <v>321</v>
      </c>
      <c r="J661" s="64" t="s">
        <v>1415</v>
      </c>
      <c r="K661" s="65">
        <f t="shared" si="97"/>
        <v>82</v>
      </c>
      <c r="L661" s="65">
        <v>1244047</v>
      </c>
      <c r="M661" s="64" t="s">
        <v>77</v>
      </c>
      <c r="N661" s="64" t="s">
        <v>77</v>
      </c>
      <c r="O661" s="64" t="s">
        <v>77</v>
      </c>
      <c r="P661" s="103" t="s">
        <v>77</v>
      </c>
      <c r="Q661" s="103" t="s">
        <v>77</v>
      </c>
      <c r="R661" s="73" t="s">
        <v>211</v>
      </c>
      <c r="S661" s="66" t="s">
        <v>789</v>
      </c>
      <c r="T661" s="67">
        <v>1</v>
      </c>
      <c r="U661" s="75" t="s">
        <v>790</v>
      </c>
      <c r="V661" s="68">
        <v>157</v>
      </c>
      <c r="W661" s="68"/>
      <c r="X661" s="69">
        <v>0</v>
      </c>
      <c r="Y661" s="68">
        <v>0</v>
      </c>
      <c r="Z661" s="68">
        <v>0</v>
      </c>
      <c r="AA661" s="68">
        <v>0</v>
      </c>
      <c r="AB661" s="68">
        <v>0</v>
      </c>
      <c r="AC661" s="68">
        <v>0</v>
      </c>
      <c r="AD661" s="68">
        <v>0</v>
      </c>
      <c r="AE661" s="68">
        <v>0</v>
      </c>
      <c r="AF661" s="68">
        <v>0</v>
      </c>
      <c r="AG661" s="68">
        <v>0</v>
      </c>
      <c r="AH661" s="68">
        <v>0</v>
      </c>
      <c r="AI661" s="68">
        <v>0</v>
      </c>
      <c r="AJ661" s="68">
        <v>0</v>
      </c>
      <c r="AK661" s="68">
        <v>0</v>
      </c>
      <c r="AL661" s="68">
        <v>0</v>
      </c>
      <c r="AM661" s="68"/>
      <c r="AN661" s="68">
        <v>1</v>
      </c>
      <c r="AO661" s="68"/>
      <c r="AP661" s="68">
        <v>1</v>
      </c>
      <c r="AQ661" s="68"/>
      <c r="AR661" s="68">
        <v>0</v>
      </c>
      <c r="AS661" s="68">
        <v>0</v>
      </c>
      <c r="AT661" s="68">
        <v>0</v>
      </c>
      <c r="AU661" s="68">
        <v>0</v>
      </c>
      <c r="AV661" s="68">
        <v>0</v>
      </c>
      <c r="AW661" s="68">
        <v>0</v>
      </c>
      <c r="AX661" s="170">
        <f t="shared" si="93"/>
        <v>10110</v>
      </c>
      <c r="AY661" s="170"/>
      <c r="AZ661" s="64" t="s">
        <v>77</v>
      </c>
      <c r="BA661" s="64" t="s">
        <v>77</v>
      </c>
      <c r="BB661" s="15" t="s">
        <v>77</v>
      </c>
      <c r="BC661" s="74">
        <v>652</v>
      </c>
      <c r="BD661" s="70"/>
      <c r="BE661" s="67"/>
      <c r="BF661" s="71"/>
      <c r="BG661" s="15"/>
      <c r="BH661" s="72" t="s">
        <v>77</v>
      </c>
      <c r="BI661" s="72" t="s">
        <v>77</v>
      </c>
    </row>
    <row r="662" spans="1:61" s="16" customFormat="1" ht="42" customHeight="1" x14ac:dyDescent="0.3">
      <c r="A662" s="26">
        <v>653</v>
      </c>
      <c r="B662" s="62">
        <v>252468</v>
      </c>
      <c r="C662" s="62">
        <v>653</v>
      </c>
      <c r="D662" s="63">
        <v>46209</v>
      </c>
      <c r="E662" s="63">
        <f t="shared" si="95"/>
        <v>46208</v>
      </c>
      <c r="F662" s="63">
        <f t="shared" si="96"/>
        <v>46219</v>
      </c>
      <c r="G662" s="63">
        <v>46301</v>
      </c>
      <c r="H662" s="63">
        <f t="shared" ca="1" si="94"/>
        <v>46277</v>
      </c>
      <c r="I662" s="63" t="s">
        <v>321</v>
      </c>
      <c r="J662" s="64" t="s">
        <v>1416</v>
      </c>
      <c r="K662" s="65">
        <f t="shared" si="97"/>
        <v>82</v>
      </c>
      <c r="L662" s="65">
        <v>1244047</v>
      </c>
      <c r="M662" s="64" t="s">
        <v>77</v>
      </c>
      <c r="N662" s="64" t="s">
        <v>77</v>
      </c>
      <c r="O662" s="64" t="s">
        <v>77</v>
      </c>
      <c r="P662" s="103" t="s">
        <v>77</v>
      </c>
      <c r="Q662" s="103" t="s">
        <v>77</v>
      </c>
      <c r="R662" s="73" t="s">
        <v>211</v>
      </c>
      <c r="S662" s="66" t="s">
        <v>1417</v>
      </c>
      <c r="T662" s="67">
        <v>1</v>
      </c>
      <c r="U662" s="75" t="s">
        <v>81</v>
      </c>
      <c r="V662" s="68">
        <v>318</v>
      </c>
      <c r="W662" s="68"/>
      <c r="X662" s="69">
        <v>0</v>
      </c>
      <c r="Y662" s="68">
        <v>0</v>
      </c>
      <c r="Z662" s="68">
        <v>0</v>
      </c>
      <c r="AA662" s="68">
        <v>0</v>
      </c>
      <c r="AB662" s="68">
        <v>0</v>
      </c>
      <c r="AC662" s="68">
        <v>0</v>
      </c>
      <c r="AD662" s="68">
        <v>0</v>
      </c>
      <c r="AE662" s="68">
        <v>0</v>
      </c>
      <c r="AF662" s="68">
        <v>0</v>
      </c>
      <c r="AG662" s="68">
        <v>0</v>
      </c>
      <c r="AH662" s="68">
        <v>0</v>
      </c>
      <c r="AI662" s="68">
        <v>0</v>
      </c>
      <c r="AJ662" s="68">
        <v>0</v>
      </c>
      <c r="AK662" s="68">
        <v>0</v>
      </c>
      <c r="AL662" s="68">
        <v>1</v>
      </c>
      <c r="AM662" s="68"/>
      <c r="AN662" s="68">
        <v>1</v>
      </c>
      <c r="AO662" s="68"/>
      <c r="AP662" s="68">
        <v>1</v>
      </c>
      <c r="AQ662" s="68"/>
      <c r="AR662" s="68">
        <v>0</v>
      </c>
      <c r="AS662" s="68">
        <v>0</v>
      </c>
      <c r="AT662" s="68">
        <v>0</v>
      </c>
      <c r="AU662" s="68">
        <v>0</v>
      </c>
      <c r="AV662" s="68">
        <v>0</v>
      </c>
      <c r="AW662" s="68">
        <v>0</v>
      </c>
      <c r="AX662" s="170">
        <f t="shared" si="93"/>
        <v>20360</v>
      </c>
      <c r="AY662" s="170"/>
      <c r="AZ662" s="64" t="s">
        <v>77</v>
      </c>
      <c r="BA662" s="64" t="s">
        <v>77</v>
      </c>
      <c r="BB662" s="15" t="s">
        <v>77</v>
      </c>
      <c r="BC662" s="74">
        <v>653</v>
      </c>
      <c r="BD662" s="70"/>
      <c r="BE662" s="67"/>
      <c r="BF662" s="71"/>
      <c r="BG662" s="15"/>
      <c r="BH662" s="72" t="s">
        <v>77</v>
      </c>
      <c r="BI662" s="72" t="s">
        <v>77</v>
      </c>
    </row>
    <row r="663" spans="1:61" s="16" customFormat="1" ht="44.1" customHeight="1" x14ac:dyDescent="0.3">
      <c r="A663" s="26">
        <v>654</v>
      </c>
      <c r="B663" s="110">
        <v>252469</v>
      </c>
      <c r="C663" s="110">
        <v>654</v>
      </c>
      <c r="D663" s="111">
        <v>46209</v>
      </c>
      <c r="E663" s="111">
        <f t="shared" si="95"/>
        <v>46208</v>
      </c>
      <c r="F663" s="111">
        <f t="shared" si="96"/>
        <v>46219</v>
      </c>
      <c r="G663" s="111">
        <v>46301</v>
      </c>
      <c r="H663" s="111">
        <f t="shared" ca="1" si="94"/>
        <v>46277</v>
      </c>
      <c r="I663" s="111" t="s">
        <v>321</v>
      </c>
      <c r="J663" s="112" t="s">
        <v>1418</v>
      </c>
      <c r="K663" s="113">
        <f t="shared" si="97"/>
        <v>82</v>
      </c>
      <c r="L663" s="113">
        <v>1244049</v>
      </c>
      <c r="M663" s="114" t="s">
        <v>366</v>
      </c>
      <c r="N663" s="112" t="s">
        <v>77</v>
      </c>
      <c r="O663" s="109" t="s">
        <v>365</v>
      </c>
      <c r="P663" s="115" t="s">
        <v>77</v>
      </c>
      <c r="Q663" s="115" t="s">
        <v>77</v>
      </c>
      <c r="R663" s="131" t="s">
        <v>211</v>
      </c>
      <c r="S663" s="117" t="s">
        <v>334</v>
      </c>
      <c r="T663" s="118">
        <v>1</v>
      </c>
      <c r="U663" s="132" t="s">
        <v>82</v>
      </c>
      <c r="V663" s="119">
        <v>104</v>
      </c>
      <c r="W663" s="119"/>
      <c r="X663" s="120">
        <v>0</v>
      </c>
      <c r="Y663" s="119">
        <v>0</v>
      </c>
      <c r="Z663" s="119">
        <v>0</v>
      </c>
      <c r="AA663" s="119">
        <v>0</v>
      </c>
      <c r="AB663" s="119">
        <v>0</v>
      </c>
      <c r="AC663" s="119">
        <v>0</v>
      </c>
      <c r="AD663" s="119">
        <v>0</v>
      </c>
      <c r="AE663" s="119">
        <v>0</v>
      </c>
      <c r="AF663" s="119">
        <v>0</v>
      </c>
      <c r="AG663" s="119">
        <v>0</v>
      </c>
      <c r="AH663" s="119">
        <v>0</v>
      </c>
      <c r="AI663" s="119">
        <v>0</v>
      </c>
      <c r="AJ663" s="119">
        <v>0</v>
      </c>
      <c r="AK663" s="119">
        <v>0</v>
      </c>
      <c r="AL663" s="119">
        <v>1</v>
      </c>
      <c r="AM663" s="119"/>
      <c r="AN663" s="119">
        <v>1</v>
      </c>
      <c r="AO663" s="119"/>
      <c r="AP663" s="119">
        <v>0</v>
      </c>
      <c r="AQ663" s="119">
        <v>0</v>
      </c>
      <c r="AR663" s="119">
        <v>0</v>
      </c>
      <c r="AS663" s="119">
        <v>0</v>
      </c>
      <c r="AT663" s="119">
        <v>0</v>
      </c>
      <c r="AU663" s="119">
        <v>0</v>
      </c>
      <c r="AV663" s="119">
        <v>0</v>
      </c>
      <c r="AW663" s="119">
        <v>0</v>
      </c>
      <c r="AX663" s="119">
        <f t="shared" si="93"/>
        <v>6890</v>
      </c>
      <c r="AY663" s="119"/>
      <c r="AZ663" s="109" t="s">
        <v>77</v>
      </c>
      <c r="BA663" s="112" t="s">
        <v>77</v>
      </c>
      <c r="BB663" s="109" t="s">
        <v>77</v>
      </c>
      <c r="BC663" s="133">
        <v>654</v>
      </c>
      <c r="BD663" s="122"/>
      <c r="BE663" s="118"/>
      <c r="BF663" s="123"/>
      <c r="BG663" s="109"/>
      <c r="BH663" s="125" t="s">
        <v>77</v>
      </c>
      <c r="BI663" s="125" t="s">
        <v>77</v>
      </c>
    </row>
    <row r="664" spans="1:61" s="16" customFormat="1" ht="42" customHeight="1" x14ac:dyDescent="0.3">
      <c r="A664" s="26">
        <v>655</v>
      </c>
      <c r="B664" s="62">
        <v>252500</v>
      </c>
      <c r="C664" s="62">
        <v>655</v>
      </c>
      <c r="D664" s="63">
        <v>46210</v>
      </c>
      <c r="E664" s="63">
        <f t="shared" si="95"/>
        <v>46209</v>
      </c>
      <c r="F664" s="63">
        <f t="shared" si="96"/>
        <v>46220</v>
      </c>
      <c r="G664" s="63">
        <v>46302</v>
      </c>
      <c r="H664" s="63">
        <f t="shared" ca="1" si="94"/>
        <v>46277</v>
      </c>
      <c r="I664" s="63" t="s">
        <v>321</v>
      </c>
      <c r="J664" s="64" t="s">
        <v>1421</v>
      </c>
      <c r="K664" s="65">
        <f t="shared" si="97"/>
        <v>82</v>
      </c>
      <c r="L664" s="65">
        <v>1244449</v>
      </c>
      <c r="M664" s="64" t="s">
        <v>77</v>
      </c>
      <c r="N664" s="64" t="s">
        <v>77</v>
      </c>
      <c r="O664" s="64" t="s">
        <v>77</v>
      </c>
      <c r="P664" s="103" t="s">
        <v>77</v>
      </c>
      <c r="Q664" s="103" t="s">
        <v>77</v>
      </c>
      <c r="R664" s="73" t="s">
        <v>211</v>
      </c>
      <c r="S664" s="66" t="s">
        <v>1424</v>
      </c>
      <c r="T664" s="67">
        <v>1</v>
      </c>
      <c r="U664" s="75" t="s">
        <v>1356</v>
      </c>
      <c r="V664" s="68">
        <v>33</v>
      </c>
      <c r="W664" s="68"/>
      <c r="X664" s="69">
        <v>0</v>
      </c>
      <c r="Y664" s="68">
        <v>0</v>
      </c>
      <c r="Z664" s="68">
        <v>0</v>
      </c>
      <c r="AA664" s="68">
        <v>0</v>
      </c>
      <c r="AB664" s="68">
        <v>0</v>
      </c>
      <c r="AC664" s="68">
        <v>0</v>
      </c>
      <c r="AD664" s="68">
        <v>0</v>
      </c>
      <c r="AE664" s="68">
        <v>0</v>
      </c>
      <c r="AF664" s="68">
        <v>0</v>
      </c>
      <c r="AG664" s="68">
        <v>0</v>
      </c>
      <c r="AH664" s="68">
        <v>0</v>
      </c>
      <c r="AI664" s="68">
        <v>0</v>
      </c>
      <c r="AJ664" s="68">
        <v>0</v>
      </c>
      <c r="AK664" s="68">
        <v>0</v>
      </c>
      <c r="AL664" s="68">
        <v>0</v>
      </c>
      <c r="AM664" s="68"/>
      <c r="AN664" s="68">
        <v>1</v>
      </c>
      <c r="AO664" s="68"/>
      <c r="AP664" s="68">
        <v>1</v>
      </c>
      <c r="AQ664" s="68">
        <v>0</v>
      </c>
      <c r="AR664" s="68">
        <v>0</v>
      </c>
      <c r="AS664" s="68">
        <v>0</v>
      </c>
      <c r="AT664" s="68">
        <v>0</v>
      </c>
      <c r="AU664" s="68">
        <v>0</v>
      </c>
      <c r="AV664" s="68">
        <v>0</v>
      </c>
      <c r="AW664" s="68">
        <v>0</v>
      </c>
      <c r="AX664" s="170">
        <f t="shared" si="93"/>
        <v>2670</v>
      </c>
      <c r="AY664" s="170"/>
      <c r="AZ664" s="64" t="s">
        <v>77</v>
      </c>
      <c r="BA664" s="64" t="s">
        <v>77</v>
      </c>
      <c r="BB664" s="15" t="s">
        <v>77</v>
      </c>
      <c r="BC664" s="74">
        <v>655</v>
      </c>
      <c r="BD664" s="70"/>
      <c r="BE664" s="67"/>
      <c r="BF664" s="71"/>
      <c r="BG664" s="15"/>
      <c r="BH664" s="72" t="s">
        <v>77</v>
      </c>
      <c r="BI664" s="72" t="s">
        <v>77</v>
      </c>
    </row>
    <row r="665" spans="1:61" s="16" customFormat="1" ht="42" customHeight="1" x14ac:dyDescent="0.3">
      <c r="A665" s="26">
        <v>656</v>
      </c>
      <c r="B665" s="62">
        <v>252502</v>
      </c>
      <c r="C665" s="62">
        <v>656</v>
      </c>
      <c r="D665" s="63">
        <v>46210</v>
      </c>
      <c r="E665" s="63">
        <f t="shared" si="95"/>
        <v>46209</v>
      </c>
      <c r="F665" s="63">
        <f t="shared" si="96"/>
        <v>46220</v>
      </c>
      <c r="G665" s="63">
        <v>46302</v>
      </c>
      <c r="H665" s="63">
        <f t="shared" ca="1" si="94"/>
        <v>46277</v>
      </c>
      <c r="I665" s="63" t="s">
        <v>321</v>
      </c>
      <c r="J665" s="64" t="s">
        <v>1422</v>
      </c>
      <c r="K665" s="65">
        <f t="shared" si="97"/>
        <v>82</v>
      </c>
      <c r="L665" s="65">
        <v>1244475</v>
      </c>
      <c r="M665" s="64" t="s">
        <v>77</v>
      </c>
      <c r="N665" s="64" t="s">
        <v>77</v>
      </c>
      <c r="O665" s="64" t="s">
        <v>77</v>
      </c>
      <c r="P665" s="103" t="s">
        <v>77</v>
      </c>
      <c r="Q665" s="103" t="s">
        <v>77</v>
      </c>
      <c r="R665" s="73" t="s">
        <v>211</v>
      </c>
      <c r="S665" s="66" t="s">
        <v>1425</v>
      </c>
      <c r="T665" s="67">
        <v>1</v>
      </c>
      <c r="U665" s="75" t="s">
        <v>81</v>
      </c>
      <c r="V665" s="68">
        <v>80</v>
      </c>
      <c r="W665" s="68"/>
      <c r="X665" s="69">
        <v>0</v>
      </c>
      <c r="Y665" s="68">
        <v>0</v>
      </c>
      <c r="Z665" s="68">
        <v>0</v>
      </c>
      <c r="AA665" s="68">
        <v>0</v>
      </c>
      <c r="AB665" s="68">
        <v>0</v>
      </c>
      <c r="AC665" s="68">
        <v>0</v>
      </c>
      <c r="AD665" s="68">
        <v>0</v>
      </c>
      <c r="AE665" s="68">
        <v>0</v>
      </c>
      <c r="AF665" s="68">
        <v>0</v>
      </c>
      <c r="AG665" s="68">
        <v>0</v>
      </c>
      <c r="AH665" s="68">
        <v>0</v>
      </c>
      <c r="AI665" s="68">
        <v>0</v>
      </c>
      <c r="AJ665" s="68">
        <v>0</v>
      </c>
      <c r="AK665" s="68">
        <v>0</v>
      </c>
      <c r="AL665" s="68">
        <v>0</v>
      </c>
      <c r="AM665" s="68"/>
      <c r="AN665" s="68">
        <v>1</v>
      </c>
      <c r="AO665" s="68"/>
      <c r="AP665" s="68">
        <v>1</v>
      </c>
      <c r="AQ665" s="68">
        <v>0</v>
      </c>
      <c r="AR665" s="68">
        <v>0</v>
      </c>
      <c r="AS665" s="68">
        <v>0</v>
      </c>
      <c r="AT665" s="68">
        <v>0</v>
      </c>
      <c r="AU665" s="68">
        <v>0</v>
      </c>
      <c r="AV665" s="68">
        <v>0</v>
      </c>
      <c r="AW665" s="68">
        <v>0</v>
      </c>
      <c r="AX665" s="170">
        <f t="shared" si="93"/>
        <v>5490</v>
      </c>
      <c r="AY665" s="170"/>
      <c r="AZ665" s="64" t="s">
        <v>77</v>
      </c>
      <c r="BA665" s="64" t="s">
        <v>77</v>
      </c>
      <c r="BB665" s="15" t="s">
        <v>77</v>
      </c>
      <c r="BC665" s="74">
        <v>656</v>
      </c>
      <c r="BD665" s="70"/>
      <c r="BE665" s="67"/>
      <c r="BF665" s="71"/>
      <c r="BG665" s="15"/>
      <c r="BH665" s="72" t="s">
        <v>77</v>
      </c>
      <c r="BI665" s="72" t="s">
        <v>77</v>
      </c>
    </row>
    <row r="666" spans="1:61" s="16" customFormat="1" ht="42" customHeight="1" x14ac:dyDescent="0.3">
      <c r="A666" s="26">
        <v>657</v>
      </c>
      <c r="B666" s="62">
        <v>252503</v>
      </c>
      <c r="C666" s="62">
        <v>657</v>
      </c>
      <c r="D666" s="63">
        <v>46210</v>
      </c>
      <c r="E666" s="63">
        <f t="shared" si="95"/>
        <v>46209</v>
      </c>
      <c r="F666" s="63">
        <f t="shared" si="96"/>
        <v>46220</v>
      </c>
      <c r="G666" s="63">
        <v>46302</v>
      </c>
      <c r="H666" s="63">
        <f t="shared" ca="1" si="94"/>
        <v>46277</v>
      </c>
      <c r="I666" s="63" t="s">
        <v>321</v>
      </c>
      <c r="J666" s="64" t="s">
        <v>1423</v>
      </c>
      <c r="K666" s="65">
        <f t="shared" si="97"/>
        <v>82</v>
      </c>
      <c r="L666" s="65">
        <v>1244486</v>
      </c>
      <c r="M666" s="64" t="s">
        <v>77</v>
      </c>
      <c r="N666" s="64">
        <v>838766</v>
      </c>
      <c r="O666" s="79" t="s">
        <v>246</v>
      </c>
      <c r="P666" s="103">
        <v>46272</v>
      </c>
      <c r="Q666" s="103">
        <v>46452</v>
      </c>
      <c r="R666" s="73" t="s">
        <v>211</v>
      </c>
      <c r="S666" s="66" t="s">
        <v>1318</v>
      </c>
      <c r="T666" s="67">
        <v>1</v>
      </c>
      <c r="U666" s="75" t="s">
        <v>82</v>
      </c>
      <c r="V666" s="68">
        <v>53</v>
      </c>
      <c r="W666" s="68"/>
      <c r="X666" s="69">
        <v>0</v>
      </c>
      <c r="Y666" s="68">
        <v>0</v>
      </c>
      <c r="Z666" s="68">
        <v>0</v>
      </c>
      <c r="AA666" s="68">
        <v>0</v>
      </c>
      <c r="AB666" s="68">
        <v>0</v>
      </c>
      <c r="AC666" s="68">
        <v>0</v>
      </c>
      <c r="AD666" s="68">
        <v>0</v>
      </c>
      <c r="AE666" s="68">
        <v>0</v>
      </c>
      <c r="AF666" s="68">
        <v>0</v>
      </c>
      <c r="AG666" s="68">
        <v>0</v>
      </c>
      <c r="AH666" s="68">
        <v>0</v>
      </c>
      <c r="AI666" s="68">
        <v>0</v>
      </c>
      <c r="AJ666" s="68">
        <v>0</v>
      </c>
      <c r="AK666" s="68">
        <v>0</v>
      </c>
      <c r="AL666" s="68">
        <v>1</v>
      </c>
      <c r="AM666" s="68"/>
      <c r="AN666" s="68">
        <v>1</v>
      </c>
      <c r="AO666" s="68"/>
      <c r="AP666" s="68">
        <v>1</v>
      </c>
      <c r="AQ666" s="68">
        <v>0</v>
      </c>
      <c r="AR666" s="68">
        <v>0</v>
      </c>
      <c r="AS666" s="68">
        <v>0</v>
      </c>
      <c r="AT666" s="68">
        <v>0</v>
      </c>
      <c r="AU666" s="68">
        <v>0</v>
      </c>
      <c r="AV666" s="68">
        <v>0</v>
      </c>
      <c r="AW666" s="68">
        <v>0</v>
      </c>
      <c r="AX666" s="170">
        <f t="shared" si="93"/>
        <v>4460</v>
      </c>
      <c r="AY666" s="170"/>
      <c r="AZ666" s="64" t="s">
        <v>77</v>
      </c>
      <c r="BA666" s="64" t="s">
        <v>77</v>
      </c>
      <c r="BB666" s="15" t="s">
        <v>77</v>
      </c>
      <c r="BC666" s="74">
        <v>657</v>
      </c>
      <c r="BD666" s="70"/>
      <c r="BE666" s="67"/>
      <c r="BF666" s="71"/>
      <c r="BG666" s="15"/>
      <c r="BH666" s="72" t="s">
        <v>77</v>
      </c>
      <c r="BI666" s="72" t="s">
        <v>77</v>
      </c>
    </row>
    <row r="667" spans="1:61" s="16" customFormat="1" ht="42" customHeight="1" x14ac:dyDescent="0.3">
      <c r="A667" s="26">
        <v>658</v>
      </c>
      <c r="B667" s="163">
        <v>252512</v>
      </c>
      <c r="C667" s="163">
        <v>658</v>
      </c>
      <c r="D667" s="164">
        <v>46210</v>
      </c>
      <c r="E667" s="164">
        <f t="shared" si="95"/>
        <v>46209</v>
      </c>
      <c r="F667" s="164">
        <f t="shared" si="96"/>
        <v>46220</v>
      </c>
      <c r="G667" s="164">
        <v>46272</v>
      </c>
      <c r="H667" s="164">
        <v>46249</v>
      </c>
      <c r="I667" s="164" t="s">
        <v>123</v>
      </c>
      <c r="J667" s="165" t="s">
        <v>1426</v>
      </c>
      <c r="K667" s="166">
        <f t="shared" si="97"/>
        <v>52</v>
      </c>
      <c r="L667" s="166">
        <v>1244502</v>
      </c>
      <c r="M667" s="165" t="s">
        <v>15</v>
      </c>
      <c r="N667" s="165">
        <v>835032</v>
      </c>
      <c r="O667" s="165" t="s">
        <v>246</v>
      </c>
      <c r="P667" s="167">
        <v>46225</v>
      </c>
      <c r="Q667" s="167">
        <v>46398</v>
      </c>
      <c r="R667" s="179" t="s">
        <v>211</v>
      </c>
      <c r="S667" s="168" t="s">
        <v>1427</v>
      </c>
      <c r="T667" s="169">
        <v>4</v>
      </c>
      <c r="U667" s="180" t="s">
        <v>840</v>
      </c>
      <c r="V667" s="170">
        <v>107</v>
      </c>
      <c r="W667" s="170">
        <v>107</v>
      </c>
      <c r="X667" s="171">
        <v>0</v>
      </c>
      <c r="Y667" s="170">
        <v>0</v>
      </c>
      <c r="Z667" s="170">
        <v>0</v>
      </c>
      <c r="AA667" s="170">
        <v>0</v>
      </c>
      <c r="AB667" s="170">
        <v>90</v>
      </c>
      <c r="AC667" s="170">
        <v>90</v>
      </c>
      <c r="AD667" s="170">
        <v>0</v>
      </c>
      <c r="AE667" s="170">
        <v>0</v>
      </c>
      <c r="AF667" s="170">
        <v>0</v>
      </c>
      <c r="AG667" s="170">
        <v>0</v>
      </c>
      <c r="AH667" s="170">
        <v>4</v>
      </c>
      <c r="AI667" s="170">
        <v>4</v>
      </c>
      <c r="AJ667" s="170">
        <v>0</v>
      </c>
      <c r="AK667" s="170">
        <v>0</v>
      </c>
      <c r="AL667" s="170">
        <v>0</v>
      </c>
      <c r="AM667" s="170">
        <v>0</v>
      </c>
      <c r="AN667" s="170">
        <v>1</v>
      </c>
      <c r="AO667" s="170">
        <v>1</v>
      </c>
      <c r="AP667" s="170">
        <v>4</v>
      </c>
      <c r="AQ667" s="170">
        <v>4</v>
      </c>
      <c r="AR667" s="170">
        <v>0</v>
      </c>
      <c r="AS667" s="170">
        <v>0</v>
      </c>
      <c r="AT667" s="170">
        <v>4</v>
      </c>
      <c r="AU667" s="170">
        <v>4</v>
      </c>
      <c r="AV667" s="170">
        <v>0</v>
      </c>
      <c r="AW667" s="170">
        <v>0</v>
      </c>
      <c r="AX667" s="170">
        <f t="shared" si="93"/>
        <v>16210</v>
      </c>
      <c r="AY667" s="170">
        <f>(W667*60)+(Y667*80)+(AA667*38)+(AC667*57)+(AE667*75)+(AG667*155)+(AI667*170)+(AK667*375)+(AM667*590)+(AO667*60)+(AQ667*630)+(AS667*400)+(AU667*350)+(AW667*950)</f>
        <v>16210</v>
      </c>
      <c r="AZ667" s="165" t="s">
        <v>15</v>
      </c>
      <c r="BA667" s="165" t="s">
        <v>77</v>
      </c>
      <c r="BB667" s="162" t="s">
        <v>77</v>
      </c>
      <c r="BC667" s="181">
        <v>658</v>
      </c>
      <c r="BD667" s="173"/>
      <c r="BE667" s="169"/>
      <c r="BF667" s="174"/>
      <c r="BG667" s="178">
        <v>46243</v>
      </c>
      <c r="BH667" s="175" t="s">
        <v>77</v>
      </c>
      <c r="BI667" s="175" t="s">
        <v>77</v>
      </c>
    </row>
    <row r="668" spans="1:61" s="16" customFormat="1" ht="42" customHeight="1" x14ac:dyDescent="0.3">
      <c r="A668" s="26">
        <v>659</v>
      </c>
      <c r="B668" s="163">
        <v>252514</v>
      </c>
      <c r="C668" s="163">
        <v>659</v>
      </c>
      <c r="D668" s="164">
        <v>46210</v>
      </c>
      <c r="E668" s="164">
        <f t="shared" si="95"/>
        <v>46209</v>
      </c>
      <c r="F668" s="164">
        <f t="shared" si="96"/>
        <v>46220</v>
      </c>
      <c r="G668" s="164">
        <v>46272</v>
      </c>
      <c r="H668" s="164">
        <v>46239</v>
      </c>
      <c r="I668" s="164" t="s">
        <v>123</v>
      </c>
      <c r="J668" s="165" t="s">
        <v>1428</v>
      </c>
      <c r="K668" s="166">
        <f t="shared" si="97"/>
        <v>52</v>
      </c>
      <c r="L668" s="166">
        <v>1244506</v>
      </c>
      <c r="M668" s="165" t="s">
        <v>15</v>
      </c>
      <c r="N668" s="165">
        <v>833201</v>
      </c>
      <c r="O668" s="165" t="s">
        <v>246</v>
      </c>
      <c r="P668" s="167">
        <v>46229</v>
      </c>
      <c r="Q668" s="167">
        <v>46408</v>
      </c>
      <c r="R668" s="179" t="s">
        <v>211</v>
      </c>
      <c r="S668" s="168" t="s">
        <v>681</v>
      </c>
      <c r="T668" s="169">
        <v>1</v>
      </c>
      <c r="U668" s="180" t="s">
        <v>81</v>
      </c>
      <c r="V668" s="170">
        <v>38</v>
      </c>
      <c r="W668" s="170">
        <v>38</v>
      </c>
      <c r="X668" s="171">
        <v>0</v>
      </c>
      <c r="Y668" s="170">
        <v>0</v>
      </c>
      <c r="Z668" s="170">
        <v>0</v>
      </c>
      <c r="AA668" s="170">
        <v>0</v>
      </c>
      <c r="AB668" s="170">
        <v>38</v>
      </c>
      <c r="AC668" s="170">
        <v>38</v>
      </c>
      <c r="AD668" s="170">
        <v>0</v>
      </c>
      <c r="AE668" s="170">
        <v>0</v>
      </c>
      <c r="AF668" s="170">
        <v>0</v>
      </c>
      <c r="AG668" s="170">
        <v>0</v>
      </c>
      <c r="AH668" s="170">
        <v>1</v>
      </c>
      <c r="AI668" s="170">
        <v>1</v>
      </c>
      <c r="AJ668" s="170">
        <v>0</v>
      </c>
      <c r="AK668" s="170">
        <v>0</v>
      </c>
      <c r="AL668" s="170">
        <v>0</v>
      </c>
      <c r="AM668" s="170"/>
      <c r="AN668" s="170">
        <v>2</v>
      </c>
      <c r="AO668" s="170">
        <v>2</v>
      </c>
      <c r="AP668" s="170">
        <v>3</v>
      </c>
      <c r="AQ668" s="170">
        <v>3</v>
      </c>
      <c r="AR668" s="170">
        <v>0</v>
      </c>
      <c r="AS668" s="170">
        <v>0</v>
      </c>
      <c r="AT668" s="170">
        <v>1</v>
      </c>
      <c r="AU668" s="170">
        <v>1</v>
      </c>
      <c r="AV668" s="170">
        <v>0</v>
      </c>
      <c r="AW668" s="170">
        <v>0</v>
      </c>
      <c r="AX668" s="170">
        <f t="shared" si="93"/>
        <v>6976</v>
      </c>
      <c r="AY668" s="170">
        <f>(W668*60)+(Y668*80)+(AA668*38)+(AC668*57)+(AE668*75)+(AG668*155)+(AI668*170)+(AK668*375)+(AM668*590)+(AO668*60)+(AQ668*630)+(AS668*400)+(AU668*350)+(AW668*950)</f>
        <v>6976</v>
      </c>
      <c r="AZ668" s="165" t="s">
        <v>15</v>
      </c>
      <c r="BA668" s="165" t="s">
        <v>77</v>
      </c>
      <c r="BB668" s="162" t="s">
        <v>77</v>
      </c>
      <c r="BC668" s="181">
        <v>659</v>
      </c>
      <c r="BD668" s="173"/>
      <c r="BE668" s="169"/>
      <c r="BF668" s="174"/>
      <c r="BG668" s="178">
        <v>46238</v>
      </c>
      <c r="BH668" s="175" t="s">
        <v>77</v>
      </c>
      <c r="BI668" s="175" t="s">
        <v>77</v>
      </c>
    </row>
    <row r="669" spans="1:61" s="16" customFormat="1" ht="42" customHeight="1" x14ac:dyDescent="0.3">
      <c r="A669" s="26">
        <v>660</v>
      </c>
      <c r="B669" s="62">
        <v>252518</v>
      </c>
      <c r="C669" s="62">
        <v>660</v>
      </c>
      <c r="D669" s="63">
        <v>46210</v>
      </c>
      <c r="E669" s="63">
        <f t="shared" si="95"/>
        <v>46209</v>
      </c>
      <c r="F669" s="63">
        <f t="shared" si="96"/>
        <v>46220</v>
      </c>
      <c r="G669" s="63">
        <v>46302</v>
      </c>
      <c r="H669" s="63">
        <f ca="1">TODAY()</f>
        <v>46277</v>
      </c>
      <c r="I669" s="63" t="s">
        <v>321</v>
      </c>
      <c r="J669" s="64" t="s">
        <v>1429</v>
      </c>
      <c r="K669" s="65">
        <f t="shared" si="97"/>
        <v>82</v>
      </c>
      <c r="L669" s="65">
        <v>1244513</v>
      </c>
      <c r="M669" s="64" t="s">
        <v>77</v>
      </c>
      <c r="N669" s="64" t="s">
        <v>77</v>
      </c>
      <c r="O669" s="64" t="s">
        <v>77</v>
      </c>
      <c r="P669" s="103" t="s">
        <v>77</v>
      </c>
      <c r="Q669" s="103" t="s">
        <v>77</v>
      </c>
      <c r="R669" s="73" t="s">
        <v>211</v>
      </c>
      <c r="S669" s="66" t="s">
        <v>1430</v>
      </c>
      <c r="T669" s="67">
        <v>1</v>
      </c>
      <c r="U669" s="75" t="s">
        <v>106</v>
      </c>
      <c r="V669" s="68">
        <v>130</v>
      </c>
      <c r="W669" s="68"/>
      <c r="X669" s="69">
        <v>0</v>
      </c>
      <c r="Y669" s="68">
        <v>0</v>
      </c>
      <c r="Z669" s="68">
        <v>0</v>
      </c>
      <c r="AA669" s="68">
        <v>0</v>
      </c>
      <c r="AB669" s="68">
        <v>0</v>
      </c>
      <c r="AC669" s="68">
        <v>0</v>
      </c>
      <c r="AD669" s="68">
        <v>0</v>
      </c>
      <c r="AE669" s="68">
        <v>0</v>
      </c>
      <c r="AF669" s="68">
        <v>0</v>
      </c>
      <c r="AG669" s="68">
        <v>0</v>
      </c>
      <c r="AH669" s="68">
        <v>0</v>
      </c>
      <c r="AI669" s="68">
        <v>0</v>
      </c>
      <c r="AJ669" s="68">
        <v>0</v>
      </c>
      <c r="AK669" s="68">
        <v>0</v>
      </c>
      <c r="AL669" s="68">
        <v>0</v>
      </c>
      <c r="AM669" s="68">
        <v>0</v>
      </c>
      <c r="AN669" s="68">
        <v>1</v>
      </c>
      <c r="AO669" s="68"/>
      <c r="AP669" s="68">
        <v>0</v>
      </c>
      <c r="AQ669" s="68">
        <v>0</v>
      </c>
      <c r="AR669" s="68">
        <v>0</v>
      </c>
      <c r="AS669" s="68">
        <v>0</v>
      </c>
      <c r="AT669" s="68">
        <v>0</v>
      </c>
      <c r="AU669" s="68">
        <v>0</v>
      </c>
      <c r="AV669" s="68">
        <v>0</v>
      </c>
      <c r="AW669" s="68">
        <v>0</v>
      </c>
      <c r="AX669" s="170">
        <f t="shared" si="93"/>
        <v>7860</v>
      </c>
      <c r="AY669" s="170"/>
      <c r="AZ669" s="64" t="s">
        <v>77</v>
      </c>
      <c r="BA669" s="64" t="s">
        <v>77</v>
      </c>
      <c r="BB669" s="15" t="s">
        <v>77</v>
      </c>
      <c r="BC669" s="74">
        <v>660</v>
      </c>
      <c r="BD669" s="70"/>
      <c r="BE669" s="67"/>
      <c r="BF669" s="71"/>
      <c r="BG669" s="15"/>
      <c r="BH669" s="72" t="s">
        <v>77</v>
      </c>
      <c r="BI669" s="72" t="s">
        <v>77</v>
      </c>
    </row>
    <row r="670" spans="1:61" s="16" customFormat="1" ht="42" customHeight="1" x14ac:dyDescent="0.3">
      <c r="A670" s="26">
        <v>661</v>
      </c>
      <c r="B670" s="62">
        <v>252519</v>
      </c>
      <c r="C670" s="62">
        <v>661</v>
      </c>
      <c r="D670" s="63">
        <v>46210</v>
      </c>
      <c r="E670" s="63">
        <f t="shared" si="95"/>
        <v>46209</v>
      </c>
      <c r="F670" s="63">
        <f t="shared" si="96"/>
        <v>46220</v>
      </c>
      <c r="G670" s="63">
        <v>46302</v>
      </c>
      <c r="H670" s="63">
        <f ca="1">TODAY()</f>
        <v>46277</v>
      </c>
      <c r="I670" s="63" t="s">
        <v>321</v>
      </c>
      <c r="J670" s="64" t="s">
        <v>1431</v>
      </c>
      <c r="K670" s="65">
        <f t="shared" si="97"/>
        <v>82</v>
      </c>
      <c r="L670" s="65">
        <v>1244514</v>
      </c>
      <c r="M670" s="64" t="s">
        <v>77</v>
      </c>
      <c r="N670" s="64" t="s">
        <v>77</v>
      </c>
      <c r="O670" s="64" t="s">
        <v>77</v>
      </c>
      <c r="P670" s="103" t="s">
        <v>77</v>
      </c>
      <c r="Q670" s="103" t="s">
        <v>77</v>
      </c>
      <c r="R670" s="73" t="s">
        <v>211</v>
      </c>
      <c r="S670" s="66" t="s">
        <v>1432</v>
      </c>
      <c r="T670" s="67">
        <v>1</v>
      </c>
      <c r="U670" s="75" t="s">
        <v>1195</v>
      </c>
      <c r="V670" s="68">
        <v>38</v>
      </c>
      <c r="W670" s="68"/>
      <c r="X670" s="69">
        <v>0</v>
      </c>
      <c r="Y670" s="68">
        <v>0</v>
      </c>
      <c r="Z670" s="68">
        <v>0</v>
      </c>
      <c r="AA670" s="68">
        <v>0</v>
      </c>
      <c r="AB670" s="68">
        <v>0</v>
      </c>
      <c r="AC670" s="68"/>
      <c r="AD670" s="68">
        <v>0</v>
      </c>
      <c r="AE670" s="68">
        <v>0</v>
      </c>
      <c r="AF670" s="68">
        <v>0</v>
      </c>
      <c r="AG670" s="68">
        <v>0</v>
      </c>
      <c r="AH670" s="68">
        <v>0</v>
      </c>
      <c r="AI670" s="68">
        <v>0</v>
      </c>
      <c r="AJ670" s="68">
        <v>0</v>
      </c>
      <c r="AK670" s="68">
        <v>0</v>
      </c>
      <c r="AL670" s="68">
        <v>0</v>
      </c>
      <c r="AM670" s="68">
        <v>0</v>
      </c>
      <c r="AN670" s="68">
        <v>1</v>
      </c>
      <c r="AO670" s="68"/>
      <c r="AP670" s="68">
        <v>1</v>
      </c>
      <c r="AQ670" s="68">
        <v>0</v>
      </c>
      <c r="AR670" s="68">
        <v>0</v>
      </c>
      <c r="AS670" s="68">
        <v>0</v>
      </c>
      <c r="AT670" s="68">
        <v>0</v>
      </c>
      <c r="AU670" s="68">
        <v>0</v>
      </c>
      <c r="AV670" s="68">
        <v>0</v>
      </c>
      <c r="AW670" s="68">
        <v>0</v>
      </c>
      <c r="AX670" s="170">
        <f t="shared" si="93"/>
        <v>2970</v>
      </c>
      <c r="AY670" s="170"/>
      <c r="AZ670" s="64" t="s">
        <v>77</v>
      </c>
      <c r="BA670" s="64" t="s">
        <v>77</v>
      </c>
      <c r="BB670" s="15" t="s">
        <v>77</v>
      </c>
      <c r="BC670" s="74">
        <v>661</v>
      </c>
      <c r="BD670" s="70"/>
      <c r="BE670" s="67"/>
      <c r="BF670" s="71"/>
      <c r="BG670" s="15"/>
      <c r="BH670" s="72" t="s">
        <v>77</v>
      </c>
      <c r="BI670" s="72" t="s">
        <v>77</v>
      </c>
    </row>
    <row r="671" spans="1:61" s="16" customFormat="1" ht="42" customHeight="1" x14ac:dyDescent="0.3">
      <c r="A671" s="26">
        <v>662</v>
      </c>
      <c r="B671" s="62">
        <v>252526</v>
      </c>
      <c r="C671" s="62">
        <v>662</v>
      </c>
      <c r="D671" s="63">
        <v>46211</v>
      </c>
      <c r="E671" s="63">
        <f t="shared" si="95"/>
        <v>46210</v>
      </c>
      <c r="F671" s="63">
        <f t="shared" si="96"/>
        <v>46221</v>
      </c>
      <c r="G671" s="63">
        <v>46303</v>
      </c>
      <c r="H671" s="63">
        <f ca="1">TODAY()</f>
        <v>46277</v>
      </c>
      <c r="I671" s="63" t="s">
        <v>321</v>
      </c>
      <c r="J671" s="64" t="s">
        <v>1433</v>
      </c>
      <c r="K671" s="65">
        <f t="shared" si="97"/>
        <v>82</v>
      </c>
      <c r="L671" s="65">
        <v>1244831</v>
      </c>
      <c r="M671" s="64" t="s">
        <v>77</v>
      </c>
      <c r="N671" s="64" t="s">
        <v>77</v>
      </c>
      <c r="O671" s="64" t="s">
        <v>77</v>
      </c>
      <c r="P671" s="103" t="s">
        <v>77</v>
      </c>
      <c r="Q671" s="103" t="s">
        <v>77</v>
      </c>
      <c r="R671" s="73" t="s">
        <v>211</v>
      </c>
      <c r="S671" s="66" t="s">
        <v>806</v>
      </c>
      <c r="T671" s="67">
        <v>1</v>
      </c>
      <c r="U671" s="75" t="s">
        <v>81</v>
      </c>
      <c r="V671" s="68">
        <v>31</v>
      </c>
      <c r="W671" s="68"/>
      <c r="X671" s="69">
        <v>0</v>
      </c>
      <c r="Y671" s="68">
        <v>0</v>
      </c>
      <c r="Z671" s="68">
        <v>0</v>
      </c>
      <c r="AA671" s="68">
        <v>0</v>
      </c>
      <c r="AB671" s="68">
        <v>0</v>
      </c>
      <c r="AC671" s="68">
        <v>0</v>
      </c>
      <c r="AD671" s="68">
        <v>0</v>
      </c>
      <c r="AE671" s="68">
        <v>0</v>
      </c>
      <c r="AF671" s="68">
        <v>0</v>
      </c>
      <c r="AG671" s="68">
        <v>0</v>
      </c>
      <c r="AH671" s="68">
        <v>0</v>
      </c>
      <c r="AI671" s="68">
        <v>0</v>
      </c>
      <c r="AJ671" s="68">
        <v>0</v>
      </c>
      <c r="AK671" s="68">
        <v>0</v>
      </c>
      <c r="AL671" s="68">
        <v>1</v>
      </c>
      <c r="AM671" s="68"/>
      <c r="AN671" s="68">
        <v>1</v>
      </c>
      <c r="AO671" s="68"/>
      <c r="AP671" s="68">
        <v>0</v>
      </c>
      <c r="AQ671" s="68">
        <v>0</v>
      </c>
      <c r="AR671" s="68">
        <v>0</v>
      </c>
      <c r="AS671" s="68">
        <v>0</v>
      </c>
      <c r="AT671" s="68">
        <v>0</v>
      </c>
      <c r="AU671" s="68">
        <v>0</v>
      </c>
      <c r="AV671" s="68">
        <v>0</v>
      </c>
      <c r="AW671" s="68">
        <v>0</v>
      </c>
      <c r="AX671" s="170">
        <f t="shared" si="93"/>
        <v>2510</v>
      </c>
      <c r="AY671" s="170"/>
      <c r="AZ671" s="64" t="s">
        <v>77</v>
      </c>
      <c r="BA671" s="64" t="s">
        <v>77</v>
      </c>
      <c r="BB671" s="15" t="s">
        <v>77</v>
      </c>
      <c r="BC671" s="74">
        <v>662</v>
      </c>
      <c r="BD671" s="70"/>
      <c r="BE671" s="67"/>
      <c r="BF671" s="71"/>
      <c r="BG671" s="15"/>
      <c r="BH671" s="72" t="s">
        <v>77</v>
      </c>
      <c r="BI671" s="72" t="s">
        <v>77</v>
      </c>
    </row>
    <row r="672" spans="1:61" s="16" customFormat="1" ht="42" customHeight="1" x14ac:dyDescent="0.3">
      <c r="A672" s="26">
        <v>663</v>
      </c>
      <c r="B672" s="62">
        <v>252527</v>
      </c>
      <c r="C672" s="62">
        <v>663</v>
      </c>
      <c r="D672" s="63">
        <v>46211</v>
      </c>
      <c r="E672" s="63">
        <f t="shared" si="95"/>
        <v>46210</v>
      </c>
      <c r="F672" s="63">
        <f t="shared" si="96"/>
        <v>46221</v>
      </c>
      <c r="G672" s="63">
        <v>46303</v>
      </c>
      <c r="H672" s="63">
        <f ca="1">TODAY()</f>
        <v>46277</v>
      </c>
      <c r="I672" s="63" t="s">
        <v>321</v>
      </c>
      <c r="J672" s="64" t="s">
        <v>1435</v>
      </c>
      <c r="K672" s="65">
        <f t="shared" si="97"/>
        <v>82</v>
      </c>
      <c r="L672" s="65">
        <v>1244834</v>
      </c>
      <c r="M672" s="64" t="s">
        <v>77</v>
      </c>
      <c r="N672" s="64" t="s">
        <v>77</v>
      </c>
      <c r="O672" s="64" t="s">
        <v>77</v>
      </c>
      <c r="P672" s="103" t="s">
        <v>77</v>
      </c>
      <c r="Q672" s="103" t="s">
        <v>77</v>
      </c>
      <c r="R672" s="73" t="s">
        <v>211</v>
      </c>
      <c r="S672" s="66" t="s">
        <v>1434</v>
      </c>
      <c r="T672" s="67">
        <v>1</v>
      </c>
      <c r="U672" s="75" t="s">
        <v>81</v>
      </c>
      <c r="V672" s="68">
        <v>145</v>
      </c>
      <c r="W672" s="68"/>
      <c r="X672" s="69">
        <v>0</v>
      </c>
      <c r="Y672" s="68">
        <v>0</v>
      </c>
      <c r="Z672" s="68">
        <v>0</v>
      </c>
      <c r="AA672" s="68">
        <v>0</v>
      </c>
      <c r="AB672" s="68">
        <v>0</v>
      </c>
      <c r="AC672" s="68">
        <v>0</v>
      </c>
      <c r="AD672" s="68">
        <v>0</v>
      </c>
      <c r="AE672" s="68">
        <v>0</v>
      </c>
      <c r="AF672" s="68">
        <v>0</v>
      </c>
      <c r="AG672" s="68">
        <v>0</v>
      </c>
      <c r="AH672" s="68">
        <v>0</v>
      </c>
      <c r="AI672" s="68">
        <v>0</v>
      </c>
      <c r="AJ672" s="68">
        <v>0</v>
      </c>
      <c r="AK672" s="68">
        <v>0</v>
      </c>
      <c r="AL672" s="68">
        <v>1</v>
      </c>
      <c r="AM672" s="68"/>
      <c r="AN672" s="68">
        <v>1</v>
      </c>
      <c r="AO672" s="68"/>
      <c r="AP672" s="68">
        <v>0</v>
      </c>
      <c r="AQ672" s="68">
        <v>0</v>
      </c>
      <c r="AR672" s="68">
        <v>0</v>
      </c>
      <c r="AS672" s="68">
        <v>0</v>
      </c>
      <c r="AT672" s="68">
        <v>0</v>
      </c>
      <c r="AU672" s="68">
        <v>0</v>
      </c>
      <c r="AV672" s="68">
        <v>0</v>
      </c>
      <c r="AW672" s="68">
        <v>0</v>
      </c>
      <c r="AX672" s="170">
        <f t="shared" si="93"/>
        <v>9350</v>
      </c>
      <c r="AY672" s="170"/>
      <c r="AZ672" s="64" t="s">
        <v>77</v>
      </c>
      <c r="BA672" s="64" t="s">
        <v>77</v>
      </c>
      <c r="BB672" s="15" t="s">
        <v>77</v>
      </c>
      <c r="BC672" s="74">
        <v>663</v>
      </c>
      <c r="BD672" s="70"/>
      <c r="BE672" s="67"/>
      <c r="BF672" s="71"/>
      <c r="BG672" s="15"/>
      <c r="BH672" s="72" t="s">
        <v>77</v>
      </c>
      <c r="BI672" s="72" t="s">
        <v>77</v>
      </c>
    </row>
    <row r="673" spans="1:61" s="16" customFormat="1" ht="42" customHeight="1" x14ac:dyDescent="0.3">
      <c r="A673" s="26">
        <v>664</v>
      </c>
      <c r="B673" s="62">
        <v>252549</v>
      </c>
      <c r="C673" s="62">
        <v>664</v>
      </c>
      <c r="D673" s="63">
        <v>46211</v>
      </c>
      <c r="E673" s="63">
        <f t="shared" si="95"/>
        <v>46210</v>
      </c>
      <c r="F673" s="63">
        <f t="shared" si="96"/>
        <v>46221</v>
      </c>
      <c r="G673" s="63">
        <v>46303</v>
      </c>
      <c r="H673" s="63">
        <f ca="1">TODAY()</f>
        <v>46277</v>
      </c>
      <c r="I673" s="63" t="s">
        <v>321</v>
      </c>
      <c r="J673" s="64" t="s">
        <v>1436</v>
      </c>
      <c r="K673" s="65">
        <f t="shared" si="97"/>
        <v>82</v>
      </c>
      <c r="L673" s="65">
        <v>1244875</v>
      </c>
      <c r="M673" s="64" t="s">
        <v>77</v>
      </c>
      <c r="N673" s="64">
        <v>838767</v>
      </c>
      <c r="O673" s="79" t="s">
        <v>246</v>
      </c>
      <c r="P673" s="103">
        <v>46274</v>
      </c>
      <c r="Q673" s="103">
        <v>46454</v>
      </c>
      <c r="R673" s="73" t="s">
        <v>211</v>
      </c>
      <c r="S673" s="66" t="s">
        <v>1438</v>
      </c>
      <c r="T673" s="67">
        <v>1</v>
      </c>
      <c r="U673" s="75" t="s">
        <v>1440</v>
      </c>
      <c r="V673" s="68">
        <v>275</v>
      </c>
      <c r="W673" s="68"/>
      <c r="X673" s="69">
        <v>0</v>
      </c>
      <c r="Y673" s="68">
        <v>0</v>
      </c>
      <c r="Z673" s="68">
        <v>0</v>
      </c>
      <c r="AA673" s="68">
        <v>0</v>
      </c>
      <c r="AB673" s="68">
        <v>0</v>
      </c>
      <c r="AC673" s="68">
        <v>0</v>
      </c>
      <c r="AD673" s="68">
        <v>0</v>
      </c>
      <c r="AE673" s="68">
        <v>0</v>
      </c>
      <c r="AF673" s="68">
        <v>0</v>
      </c>
      <c r="AG673" s="68">
        <v>0</v>
      </c>
      <c r="AH673" s="68">
        <v>0</v>
      </c>
      <c r="AI673" s="68">
        <v>0</v>
      </c>
      <c r="AJ673" s="68">
        <v>0</v>
      </c>
      <c r="AK673" s="68">
        <v>0</v>
      </c>
      <c r="AL673" s="68">
        <v>1</v>
      </c>
      <c r="AM673" s="68"/>
      <c r="AN673" s="68">
        <v>1</v>
      </c>
      <c r="AO673" s="68"/>
      <c r="AP673" s="68">
        <v>0</v>
      </c>
      <c r="AQ673" s="68">
        <v>0</v>
      </c>
      <c r="AR673" s="68">
        <v>0</v>
      </c>
      <c r="AS673" s="68">
        <v>0</v>
      </c>
      <c r="AT673" s="68">
        <v>0</v>
      </c>
      <c r="AU673" s="68">
        <v>0</v>
      </c>
      <c r="AV673" s="68">
        <v>0</v>
      </c>
      <c r="AW673" s="68">
        <v>0</v>
      </c>
      <c r="AX673" s="170">
        <f t="shared" si="93"/>
        <v>17150</v>
      </c>
      <c r="AY673" s="170"/>
      <c r="AZ673" s="64" t="s">
        <v>77</v>
      </c>
      <c r="BA673" s="64" t="s">
        <v>77</v>
      </c>
      <c r="BB673" s="15" t="s">
        <v>77</v>
      </c>
      <c r="BC673" s="74">
        <v>664</v>
      </c>
      <c r="BD673" s="70"/>
      <c r="BE673" s="67"/>
      <c r="BF673" s="71"/>
      <c r="BG673" s="15"/>
      <c r="BH673" s="72" t="s">
        <v>77</v>
      </c>
      <c r="BI673" s="72" t="s">
        <v>77</v>
      </c>
    </row>
    <row r="674" spans="1:61" s="16" customFormat="1" ht="42" hidden="1" customHeight="1" x14ac:dyDescent="0.3">
      <c r="A674" s="26">
        <v>665</v>
      </c>
      <c r="B674" s="138">
        <v>252550</v>
      </c>
      <c r="C674" s="138">
        <v>665</v>
      </c>
      <c r="D674" s="139">
        <v>46224</v>
      </c>
      <c r="E674" s="139">
        <f t="shared" si="95"/>
        <v>46223</v>
      </c>
      <c r="F674" s="139">
        <f t="shared" si="96"/>
        <v>46234</v>
      </c>
      <c r="G674" s="139">
        <v>46286</v>
      </c>
      <c r="H674" s="139">
        <v>46233</v>
      </c>
      <c r="I674" s="139" t="s">
        <v>123</v>
      </c>
      <c r="J674" s="140" t="s">
        <v>1480</v>
      </c>
      <c r="K674" s="141">
        <f t="shared" si="97"/>
        <v>52</v>
      </c>
      <c r="L674" s="141">
        <v>1244876</v>
      </c>
      <c r="M674" s="140" t="s">
        <v>15</v>
      </c>
      <c r="N674" s="140">
        <v>837603</v>
      </c>
      <c r="O674" s="140" t="s">
        <v>246</v>
      </c>
      <c r="P674" s="143">
        <v>46231</v>
      </c>
      <c r="Q674" s="143">
        <v>46246</v>
      </c>
      <c r="R674" s="185" t="s">
        <v>211</v>
      </c>
      <c r="S674" s="144" t="s">
        <v>1439</v>
      </c>
      <c r="T674" s="145">
        <v>1</v>
      </c>
      <c r="U674" s="186" t="s">
        <v>1441</v>
      </c>
      <c r="V674" s="146">
        <v>15</v>
      </c>
      <c r="W674" s="146">
        <v>15</v>
      </c>
      <c r="X674" s="147">
        <v>0</v>
      </c>
      <c r="Y674" s="146">
        <v>0</v>
      </c>
      <c r="Z674" s="146">
        <v>0</v>
      </c>
      <c r="AA674" s="146">
        <v>0</v>
      </c>
      <c r="AB674" s="146">
        <v>2</v>
      </c>
      <c r="AC674" s="146">
        <v>2</v>
      </c>
      <c r="AD674" s="146">
        <v>0</v>
      </c>
      <c r="AE674" s="146">
        <v>0</v>
      </c>
      <c r="AF674" s="146">
        <v>0</v>
      </c>
      <c r="AG674" s="146">
        <v>0</v>
      </c>
      <c r="AH674" s="146">
        <v>1</v>
      </c>
      <c r="AI674" s="146">
        <v>1</v>
      </c>
      <c r="AJ674" s="146">
        <v>0</v>
      </c>
      <c r="AK674" s="146">
        <v>0</v>
      </c>
      <c r="AL674" s="146">
        <v>2</v>
      </c>
      <c r="AM674" s="146">
        <v>2</v>
      </c>
      <c r="AN674" s="146">
        <v>2</v>
      </c>
      <c r="AO674" s="146">
        <v>2</v>
      </c>
      <c r="AP674" s="146">
        <v>1</v>
      </c>
      <c r="AQ674" s="146">
        <v>1</v>
      </c>
      <c r="AR674" s="146">
        <v>0</v>
      </c>
      <c r="AS674" s="146">
        <v>0</v>
      </c>
      <c r="AT674" s="146">
        <v>1</v>
      </c>
      <c r="AU674" s="146">
        <v>1</v>
      </c>
      <c r="AV674" s="146">
        <v>0</v>
      </c>
      <c r="AW674" s="146">
        <v>0</v>
      </c>
      <c r="AX674" s="146">
        <f t="shared" si="93"/>
        <v>3464</v>
      </c>
      <c r="AY674" s="146">
        <f>(W674*60)+(Y674*80)+(AA674*38)+(AC674*57)+(AE674*75)+(AG674*155)+(AI674*170)+(AK674*375)+(AM674*590)+(AO674*60)+(AQ674*630)+(AS674*400)+(AU674*350)+(AW674*950)</f>
        <v>3464</v>
      </c>
      <c r="AZ674" s="140" t="s">
        <v>562</v>
      </c>
      <c r="BA674" s="140" t="s">
        <v>562</v>
      </c>
      <c r="BB674" s="137">
        <v>13</v>
      </c>
      <c r="BC674" s="187">
        <v>665</v>
      </c>
      <c r="BD674" s="149"/>
      <c r="BE674" s="145"/>
      <c r="BF674" s="150"/>
      <c r="BG674" s="188">
        <v>46231</v>
      </c>
      <c r="BH674" s="153" t="s">
        <v>15</v>
      </c>
      <c r="BI674" s="153" t="s">
        <v>562</v>
      </c>
    </row>
    <row r="675" spans="1:61" s="16" customFormat="1" ht="42" customHeight="1" x14ac:dyDescent="0.3">
      <c r="A675" s="26">
        <v>666</v>
      </c>
      <c r="B675" s="62">
        <v>252551</v>
      </c>
      <c r="C675" s="62">
        <v>666</v>
      </c>
      <c r="D675" s="63">
        <v>46211</v>
      </c>
      <c r="E675" s="63">
        <f t="shared" si="95"/>
        <v>46210</v>
      </c>
      <c r="F675" s="63">
        <f t="shared" si="96"/>
        <v>46221</v>
      </c>
      <c r="G675" s="63">
        <v>46303</v>
      </c>
      <c r="H675" s="63">
        <f ca="1">TODAY()</f>
        <v>46277</v>
      </c>
      <c r="I675" s="63" t="s">
        <v>321</v>
      </c>
      <c r="J675" s="64" t="s">
        <v>1437</v>
      </c>
      <c r="K675" s="65">
        <f t="shared" si="97"/>
        <v>82</v>
      </c>
      <c r="L675" s="65">
        <v>1244878</v>
      </c>
      <c r="M675" s="64" t="s">
        <v>77</v>
      </c>
      <c r="N675" s="64">
        <v>838766</v>
      </c>
      <c r="O675" s="79" t="s">
        <v>246</v>
      </c>
      <c r="P675" s="103">
        <v>46272</v>
      </c>
      <c r="Q675" s="103">
        <v>46452</v>
      </c>
      <c r="R675" s="73" t="s">
        <v>211</v>
      </c>
      <c r="S675" s="66" t="s">
        <v>757</v>
      </c>
      <c r="T675" s="67">
        <v>1</v>
      </c>
      <c r="U675" s="75" t="s">
        <v>82</v>
      </c>
      <c r="V675" s="68">
        <v>79</v>
      </c>
      <c r="W675" s="68"/>
      <c r="X675" s="69">
        <v>0</v>
      </c>
      <c r="Y675" s="68">
        <v>0</v>
      </c>
      <c r="Z675" s="68">
        <v>0</v>
      </c>
      <c r="AA675" s="68">
        <v>0</v>
      </c>
      <c r="AB675" s="68">
        <v>0</v>
      </c>
      <c r="AC675" s="68">
        <v>0</v>
      </c>
      <c r="AD675" s="68">
        <v>0</v>
      </c>
      <c r="AE675" s="68">
        <v>0</v>
      </c>
      <c r="AF675" s="68">
        <v>0</v>
      </c>
      <c r="AG675" s="68">
        <v>0</v>
      </c>
      <c r="AH675" s="68">
        <v>0</v>
      </c>
      <c r="AI675" s="68">
        <v>0</v>
      </c>
      <c r="AJ675" s="68">
        <v>0</v>
      </c>
      <c r="AK675" s="68">
        <v>0</v>
      </c>
      <c r="AL675" s="68">
        <v>1</v>
      </c>
      <c r="AM675" s="68"/>
      <c r="AN675" s="68">
        <v>1</v>
      </c>
      <c r="AO675" s="68"/>
      <c r="AP675" s="68">
        <v>0</v>
      </c>
      <c r="AQ675" s="68">
        <v>0</v>
      </c>
      <c r="AR675" s="68">
        <v>0</v>
      </c>
      <c r="AS675" s="68">
        <v>0</v>
      </c>
      <c r="AT675" s="68">
        <v>0</v>
      </c>
      <c r="AU675" s="68">
        <v>0</v>
      </c>
      <c r="AV675" s="68">
        <v>0</v>
      </c>
      <c r="AW675" s="68">
        <v>0</v>
      </c>
      <c r="AX675" s="170">
        <f t="shared" si="93"/>
        <v>5390</v>
      </c>
      <c r="AY675" s="170"/>
      <c r="AZ675" s="64" t="s">
        <v>77</v>
      </c>
      <c r="BA675" s="64" t="s">
        <v>77</v>
      </c>
      <c r="BB675" s="15" t="s">
        <v>77</v>
      </c>
      <c r="BC675" s="74">
        <v>666</v>
      </c>
      <c r="BD675" s="70"/>
      <c r="BE675" s="67"/>
      <c r="BF675" s="71"/>
      <c r="BG675" s="15"/>
      <c r="BH675" s="72" t="s">
        <v>77</v>
      </c>
      <c r="BI675" s="72" t="s">
        <v>77</v>
      </c>
    </row>
    <row r="676" spans="1:61" s="16" customFormat="1" ht="42" customHeight="1" x14ac:dyDescent="0.3">
      <c r="A676" s="26">
        <v>667</v>
      </c>
      <c r="B676" s="62">
        <v>252601</v>
      </c>
      <c r="C676" s="62">
        <v>667</v>
      </c>
      <c r="D676" s="63">
        <v>46215</v>
      </c>
      <c r="E676" s="63">
        <f t="shared" si="95"/>
        <v>46214</v>
      </c>
      <c r="F676" s="63">
        <f t="shared" si="96"/>
        <v>46225</v>
      </c>
      <c r="G676" s="63">
        <v>46307</v>
      </c>
      <c r="H676" s="63">
        <f ca="1">TODAY()</f>
        <v>46277</v>
      </c>
      <c r="I676" s="63" t="s">
        <v>321</v>
      </c>
      <c r="J676" s="64" t="s">
        <v>1442</v>
      </c>
      <c r="K676" s="65">
        <f t="shared" si="97"/>
        <v>82</v>
      </c>
      <c r="L676" s="65">
        <v>1245942</v>
      </c>
      <c r="M676" s="64" t="s">
        <v>77</v>
      </c>
      <c r="N676" s="64" t="s">
        <v>77</v>
      </c>
      <c r="O676" s="64" t="s">
        <v>77</v>
      </c>
      <c r="P676" s="103" t="s">
        <v>77</v>
      </c>
      <c r="Q676" s="103" t="s">
        <v>77</v>
      </c>
      <c r="R676" s="73" t="s">
        <v>211</v>
      </c>
      <c r="S676" s="66" t="s">
        <v>1443</v>
      </c>
      <c r="T676" s="67">
        <v>1</v>
      </c>
      <c r="U676" s="75" t="s">
        <v>1444</v>
      </c>
      <c r="V676" s="68">
        <v>96</v>
      </c>
      <c r="W676" s="68"/>
      <c r="X676" s="69">
        <v>0</v>
      </c>
      <c r="Y676" s="68">
        <v>0</v>
      </c>
      <c r="Z676" s="68">
        <v>0</v>
      </c>
      <c r="AA676" s="68">
        <v>0</v>
      </c>
      <c r="AB676" s="68">
        <v>0</v>
      </c>
      <c r="AC676" s="68">
        <v>0</v>
      </c>
      <c r="AD676" s="68">
        <v>0</v>
      </c>
      <c r="AE676" s="68">
        <v>0</v>
      </c>
      <c r="AF676" s="68">
        <v>0</v>
      </c>
      <c r="AG676" s="68">
        <v>0</v>
      </c>
      <c r="AH676" s="68">
        <v>0</v>
      </c>
      <c r="AI676" s="68">
        <v>0</v>
      </c>
      <c r="AJ676" s="68">
        <v>0</v>
      </c>
      <c r="AK676" s="68">
        <v>0</v>
      </c>
      <c r="AL676" s="68">
        <v>0</v>
      </c>
      <c r="AM676" s="68"/>
      <c r="AN676" s="68">
        <v>1</v>
      </c>
      <c r="AO676" s="68"/>
      <c r="AP676" s="68">
        <v>1</v>
      </c>
      <c r="AQ676" s="68"/>
      <c r="AR676" s="68">
        <v>0</v>
      </c>
      <c r="AS676" s="68">
        <v>0</v>
      </c>
      <c r="AT676" s="68">
        <v>0</v>
      </c>
      <c r="AU676" s="68">
        <v>0</v>
      </c>
      <c r="AV676" s="68">
        <v>0</v>
      </c>
      <c r="AW676" s="68">
        <v>0</v>
      </c>
      <c r="AX676" s="170">
        <f t="shared" si="93"/>
        <v>6450</v>
      </c>
      <c r="AY676" s="170"/>
      <c r="AZ676" s="64" t="s">
        <v>77</v>
      </c>
      <c r="BA676" s="64" t="s">
        <v>77</v>
      </c>
      <c r="BB676" s="15" t="s">
        <v>77</v>
      </c>
      <c r="BC676" s="74">
        <v>667</v>
      </c>
      <c r="BD676" s="70"/>
      <c r="BE676" s="67"/>
      <c r="BF676" s="71"/>
      <c r="BG676" s="15"/>
      <c r="BH676" s="72" t="s">
        <v>77</v>
      </c>
      <c r="BI676" s="72" t="s">
        <v>77</v>
      </c>
    </row>
    <row r="677" spans="1:61" s="16" customFormat="1" ht="42" customHeight="1" x14ac:dyDescent="0.3">
      <c r="A677" s="26">
        <v>668</v>
      </c>
      <c r="B677" s="62">
        <v>252602</v>
      </c>
      <c r="C677" s="62">
        <v>668</v>
      </c>
      <c r="D677" s="63">
        <v>46215</v>
      </c>
      <c r="E677" s="63">
        <f t="shared" si="95"/>
        <v>46214</v>
      </c>
      <c r="F677" s="63">
        <f t="shared" si="96"/>
        <v>46225</v>
      </c>
      <c r="G677" s="63">
        <v>46307</v>
      </c>
      <c r="H677" s="63">
        <f ca="1">TODAY()</f>
        <v>46277</v>
      </c>
      <c r="I677" s="63" t="s">
        <v>321</v>
      </c>
      <c r="J677" s="64" t="s">
        <v>1445</v>
      </c>
      <c r="K677" s="65">
        <f t="shared" si="97"/>
        <v>82</v>
      </c>
      <c r="L677" s="65">
        <v>1245946</v>
      </c>
      <c r="M677" s="64" t="s">
        <v>77</v>
      </c>
      <c r="N677" s="64">
        <v>843432</v>
      </c>
      <c r="O677" s="64" t="s">
        <v>1335</v>
      </c>
      <c r="P677" s="103" t="s">
        <v>77</v>
      </c>
      <c r="Q677" s="103" t="s">
        <v>77</v>
      </c>
      <c r="R677" s="73" t="s">
        <v>211</v>
      </c>
      <c r="S677" s="66" t="s">
        <v>545</v>
      </c>
      <c r="T677" s="67">
        <v>1</v>
      </c>
      <c r="U677" s="75" t="s">
        <v>82</v>
      </c>
      <c r="V677" s="68">
        <v>92</v>
      </c>
      <c r="W677" s="68"/>
      <c r="X677" s="69">
        <v>0</v>
      </c>
      <c r="Y677" s="68">
        <v>0</v>
      </c>
      <c r="Z677" s="68">
        <v>0</v>
      </c>
      <c r="AA677" s="68">
        <v>0</v>
      </c>
      <c r="AB677" s="68">
        <v>0</v>
      </c>
      <c r="AC677" s="68">
        <v>0</v>
      </c>
      <c r="AD677" s="68">
        <v>0</v>
      </c>
      <c r="AE677" s="68">
        <v>0</v>
      </c>
      <c r="AF677" s="68">
        <v>0</v>
      </c>
      <c r="AG677" s="68">
        <v>0</v>
      </c>
      <c r="AH677" s="68">
        <v>0</v>
      </c>
      <c r="AI677" s="68">
        <v>0</v>
      </c>
      <c r="AJ677" s="68">
        <v>0</v>
      </c>
      <c r="AK677" s="68">
        <v>0</v>
      </c>
      <c r="AL677" s="68">
        <v>1</v>
      </c>
      <c r="AM677" s="68"/>
      <c r="AN677" s="68">
        <v>1</v>
      </c>
      <c r="AO677" s="68"/>
      <c r="AP677" s="68">
        <v>0</v>
      </c>
      <c r="AQ677" s="68">
        <v>0</v>
      </c>
      <c r="AR677" s="68">
        <v>0</v>
      </c>
      <c r="AS677" s="68">
        <v>0</v>
      </c>
      <c r="AT677" s="68">
        <v>0</v>
      </c>
      <c r="AU677" s="68">
        <v>0</v>
      </c>
      <c r="AV677" s="68">
        <v>0</v>
      </c>
      <c r="AW677" s="68">
        <v>0</v>
      </c>
      <c r="AX677" s="170">
        <f t="shared" si="93"/>
        <v>6170</v>
      </c>
      <c r="AY677" s="170"/>
      <c r="AZ677" s="64" t="s">
        <v>77</v>
      </c>
      <c r="BA677" s="64" t="s">
        <v>77</v>
      </c>
      <c r="BB677" s="15" t="s">
        <v>77</v>
      </c>
      <c r="BC677" s="74">
        <v>668</v>
      </c>
      <c r="BD677" s="70"/>
      <c r="BE677" s="67"/>
      <c r="BF677" s="71"/>
      <c r="BG677" s="15"/>
      <c r="BH677" s="72" t="s">
        <v>77</v>
      </c>
      <c r="BI677" s="72" t="s">
        <v>77</v>
      </c>
    </row>
    <row r="678" spans="1:61" s="16" customFormat="1" ht="42" customHeight="1" x14ac:dyDescent="0.3">
      <c r="A678" s="26">
        <v>669</v>
      </c>
      <c r="B678" s="62">
        <v>252604</v>
      </c>
      <c r="C678" s="62">
        <v>669</v>
      </c>
      <c r="D678" s="63">
        <v>46215</v>
      </c>
      <c r="E678" s="63">
        <f t="shared" si="95"/>
        <v>46214</v>
      </c>
      <c r="F678" s="63">
        <f t="shared" si="96"/>
        <v>46225</v>
      </c>
      <c r="G678" s="63">
        <v>46307</v>
      </c>
      <c r="H678" s="63">
        <f ca="1">TODAY()</f>
        <v>46277</v>
      </c>
      <c r="I678" s="63" t="s">
        <v>321</v>
      </c>
      <c r="J678" s="64" t="s">
        <v>1446</v>
      </c>
      <c r="K678" s="65">
        <f t="shared" si="97"/>
        <v>82</v>
      </c>
      <c r="L678" s="65">
        <v>1245949</v>
      </c>
      <c r="M678" s="64" t="s">
        <v>77</v>
      </c>
      <c r="N678" s="64">
        <v>843435</v>
      </c>
      <c r="O678" s="64" t="s">
        <v>1335</v>
      </c>
      <c r="P678" s="103" t="s">
        <v>77</v>
      </c>
      <c r="Q678" s="103" t="s">
        <v>77</v>
      </c>
      <c r="R678" s="73" t="s">
        <v>211</v>
      </c>
      <c r="S678" s="66" t="s">
        <v>1447</v>
      </c>
      <c r="T678" s="67">
        <v>1</v>
      </c>
      <c r="U678" s="75" t="s">
        <v>82</v>
      </c>
      <c r="V678" s="68">
        <v>49</v>
      </c>
      <c r="W678" s="68"/>
      <c r="X678" s="69">
        <v>0</v>
      </c>
      <c r="Y678" s="68">
        <v>0</v>
      </c>
      <c r="Z678" s="68">
        <v>0</v>
      </c>
      <c r="AA678" s="68">
        <v>0</v>
      </c>
      <c r="AB678" s="68">
        <v>0</v>
      </c>
      <c r="AC678" s="68">
        <v>0</v>
      </c>
      <c r="AD678" s="68">
        <v>0</v>
      </c>
      <c r="AE678" s="68">
        <v>0</v>
      </c>
      <c r="AF678" s="68">
        <v>0</v>
      </c>
      <c r="AG678" s="68">
        <v>0</v>
      </c>
      <c r="AH678" s="68">
        <v>0</v>
      </c>
      <c r="AI678" s="68">
        <v>0</v>
      </c>
      <c r="AJ678" s="68">
        <v>0</v>
      </c>
      <c r="AK678" s="68">
        <v>0</v>
      </c>
      <c r="AL678" s="68">
        <v>1</v>
      </c>
      <c r="AM678" s="68"/>
      <c r="AN678" s="68">
        <v>1</v>
      </c>
      <c r="AO678" s="68"/>
      <c r="AP678" s="68">
        <v>0</v>
      </c>
      <c r="AQ678" s="68">
        <v>0</v>
      </c>
      <c r="AR678" s="68">
        <v>0</v>
      </c>
      <c r="AS678" s="68">
        <v>0</v>
      </c>
      <c r="AT678" s="68">
        <v>0</v>
      </c>
      <c r="AU678" s="68">
        <v>0</v>
      </c>
      <c r="AV678" s="68">
        <v>0</v>
      </c>
      <c r="AW678" s="68">
        <v>0</v>
      </c>
      <c r="AX678" s="170">
        <f t="shared" si="93"/>
        <v>3590</v>
      </c>
      <c r="AY678" s="170"/>
      <c r="AZ678" s="64" t="s">
        <v>77</v>
      </c>
      <c r="BA678" s="64" t="s">
        <v>77</v>
      </c>
      <c r="BB678" s="15" t="s">
        <v>77</v>
      </c>
      <c r="BC678" s="74">
        <v>669</v>
      </c>
      <c r="BD678" s="70"/>
      <c r="BE678" s="67"/>
      <c r="BF678" s="71"/>
      <c r="BG678" s="15"/>
      <c r="BH678" s="72" t="s">
        <v>77</v>
      </c>
      <c r="BI678" s="72" t="s">
        <v>77</v>
      </c>
    </row>
    <row r="679" spans="1:61" s="16" customFormat="1" ht="42" customHeight="1" x14ac:dyDescent="0.3">
      <c r="A679" s="26">
        <v>670</v>
      </c>
      <c r="B679" s="163">
        <v>252651</v>
      </c>
      <c r="C679" s="163">
        <v>670</v>
      </c>
      <c r="D679" s="164">
        <v>46215</v>
      </c>
      <c r="E679" s="164">
        <f t="shared" si="95"/>
        <v>46214</v>
      </c>
      <c r="F679" s="164">
        <f t="shared" si="96"/>
        <v>46225</v>
      </c>
      <c r="G679" s="164">
        <v>46277</v>
      </c>
      <c r="H679" s="164">
        <v>46245</v>
      </c>
      <c r="I679" s="164" t="s">
        <v>123</v>
      </c>
      <c r="J679" s="165" t="s">
        <v>1449</v>
      </c>
      <c r="K679" s="166">
        <f t="shared" si="97"/>
        <v>52</v>
      </c>
      <c r="L679" s="166">
        <v>1246019</v>
      </c>
      <c r="M679" s="165" t="s">
        <v>15</v>
      </c>
      <c r="N679" s="165">
        <v>833203</v>
      </c>
      <c r="O679" s="165" t="s">
        <v>246</v>
      </c>
      <c r="P679" s="167">
        <v>46228</v>
      </c>
      <c r="Q679" s="167">
        <v>46408</v>
      </c>
      <c r="R679" s="179" t="s">
        <v>211</v>
      </c>
      <c r="S679" s="168" t="s">
        <v>1448</v>
      </c>
      <c r="T679" s="169">
        <v>1</v>
      </c>
      <c r="U679" s="180" t="s">
        <v>82</v>
      </c>
      <c r="V679" s="170">
        <v>65</v>
      </c>
      <c r="W679" s="170">
        <v>65</v>
      </c>
      <c r="X679" s="171">
        <v>0</v>
      </c>
      <c r="Y679" s="170">
        <v>0</v>
      </c>
      <c r="Z679" s="170">
        <v>0</v>
      </c>
      <c r="AA679" s="170">
        <v>0</v>
      </c>
      <c r="AB679" s="170">
        <v>50</v>
      </c>
      <c r="AC679" s="170">
        <v>50</v>
      </c>
      <c r="AD679" s="170">
        <v>0</v>
      </c>
      <c r="AE679" s="170">
        <v>0</v>
      </c>
      <c r="AF679" s="170">
        <v>0</v>
      </c>
      <c r="AG679" s="170">
        <v>0</v>
      </c>
      <c r="AH679" s="170">
        <v>1</v>
      </c>
      <c r="AI679" s="170">
        <v>1</v>
      </c>
      <c r="AJ679" s="170">
        <v>0</v>
      </c>
      <c r="AK679" s="170">
        <v>0</v>
      </c>
      <c r="AL679" s="170">
        <v>0</v>
      </c>
      <c r="AM679" s="170">
        <v>0</v>
      </c>
      <c r="AN679" s="170">
        <v>1</v>
      </c>
      <c r="AO679" s="170">
        <v>1</v>
      </c>
      <c r="AP679" s="170">
        <v>2</v>
      </c>
      <c r="AQ679" s="170">
        <v>2</v>
      </c>
      <c r="AR679" s="170">
        <v>0</v>
      </c>
      <c r="AS679" s="170">
        <v>0</v>
      </c>
      <c r="AT679" s="170">
        <v>1</v>
      </c>
      <c r="AU679" s="170">
        <v>1</v>
      </c>
      <c r="AV679" s="170">
        <v>0</v>
      </c>
      <c r="AW679" s="170">
        <v>0</v>
      </c>
      <c r="AX679" s="170">
        <f t="shared" si="93"/>
        <v>8590</v>
      </c>
      <c r="AY679" s="170">
        <f>(W679*60)+(Y679*80)+(AA679*38)+(AC679*57)+(AE679*75)+(AG679*155)+(AI679*170)+(AK679*375)+(AM679*590)+(AO679*60)+(AQ679*630)+(AS679*400)+(AU679*350)+(AW679*950)</f>
        <v>8590</v>
      </c>
      <c r="AZ679" s="165" t="s">
        <v>15</v>
      </c>
      <c r="BA679" s="165" t="s">
        <v>77</v>
      </c>
      <c r="BB679" s="162" t="s">
        <v>77</v>
      </c>
      <c r="BC679" s="181">
        <v>670</v>
      </c>
      <c r="BD679" s="173"/>
      <c r="BE679" s="169"/>
      <c r="BF679" s="174"/>
      <c r="BG679" s="178">
        <v>46240</v>
      </c>
      <c r="BH679" s="175" t="s">
        <v>77</v>
      </c>
      <c r="BI679" s="175" t="s">
        <v>77</v>
      </c>
    </row>
    <row r="680" spans="1:61" s="16" customFormat="1" ht="42" customHeight="1" x14ac:dyDescent="0.3">
      <c r="A680" s="26">
        <v>671</v>
      </c>
      <c r="B680" s="62">
        <v>252657</v>
      </c>
      <c r="C680" s="62">
        <v>671</v>
      </c>
      <c r="D680" s="63">
        <v>46215</v>
      </c>
      <c r="E680" s="63">
        <f t="shared" si="95"/>
        <v>46214</v>
      </c>
      <c r="F680" s="63">
        <f t="shared" si="96"/>
        <v>46225</v>
      </c>
      <c r="G680" s="63">
        <v>46307</v>
      </c>
      <c r="H680" s="63">
        <f ca="1">TODAY()</f>
        <v>46277</v>
      </c>
      <c r="I680" s="63" t="s">
        <v>321</v>
      </c>
      <c r="J680" s="64" t="s">
        <v>1450</v>
      </c>
      <c r="K680" s="65">
        <f t="shared" si="97"/>
        <v>82</v>
      </c>
      <c r="L680" s="65">
        <v>1246030</v>
      </c>
      <c r="M680" s="64" t="s">
        <v>77</v>
      </c>
      <c r="N680" s="64" t="s">
        <v>77</v>
      </c>
      <c r="O680" s="64" t="s">
        <v>77</v>
      </c>
      <c r="P680" s="103" t="s">
        <v>77</v>
      </c>
      <c r="Q680" s="103" t="s">
        <v>77</v>
      </c>
      <c r="R680" s="73" t="s">
        <v>211</v>
      </c>
      <c r="S680" s="66" t="s">
        <v>1452</v>
      </c>
      <c r="T680" s="67">
        <v>1</v>
      </c>
      <c r="U680" s="75" t="s">
        <v>1451</v>
      </c>
      <c r="V680" s="68">
        <v>339</v>
      </c>
      <c r="W680" s="68"/>
      <c r="X680" s="69">
        <v>0</v>
      </c>
      <c r="Y680" s="68">
        <v>0</v>
      </c>
      <c r="Z680" s="68">
        <v>0</v>
      </c>
      <c r="AA680" s="68">
        <v>0</v>
      </c>
      <c r="AB680" s="68">
        <v>0</v>
      </c>
      <c r="AC680" s="68">
        <v>0</v>
      </c>
      <c r="AD680" s="68">
        <v>0</v>
      </c>
      <c r="AE680" s="68">
        <v>0</v>
      </c>
      <c r="AF680" s="68">
        <v>0</v>
      </c>
      <c r="AG680" s="68">
        <v>0</v>
      </c>
      <c r="AH680" s="68">
        <v>0</v>
      </c>
      <c r="AI680" s="68">
        <v>0</v>
      </c>
      <c r="AJ680" s="68">
        <v>0</v>
      </c>
      <c r="AK680" s="68">
        <v>0</v>
      </c>
      <c r="AL680" s="68">
        <v>1</v>
      </c>
      <c r="AM680" s="68"/>
      <c r="AN680" s="68">
        <v>1</v>
      </c>
      <c r="AO680" s="68"/>
      <c r="AP680" s="68">
        <v>0</v>
      </c>
      <c r="AQ680" s="68">
        <v>0</v>
      </c>
      <c r="AR680" s="68">
        <v>0</v>
      </c>
      <c r="AS680" s="68">
        <v>0</v>
      </c>
      <c r="AT680" s="68">
        <v>0</v>
      </c>
      <c r="AU680" s="68">
        <v>0</v>
      </c>
      <c r="AV680" s="68">
        <v>0</v>
      </c>
      <c r="AW680" s="68">
        <v>0</v>
      </c>
      <c r="AX680" s="170">
        <f t="shared" si="93"/>
        <v>20990</v>
      </c>
      <c r="AY680" s="170"/>
      <c r="AZ680" s="64" t="s">
        <v>77</v>
      </c>
      <c r="BA680" s="64" t="s">
        <v>77</v>
      </c>
      <c r="BB680" s="15" t="s">
        <v>77</v>
      </c>
      <c r="BC680" s="74">
        <v>671</v>
      </c>
      <c r="BD680" s="70"/>
      <c r="BE680" s="67"/>
      <c r="BF680" s="71"/>
      <c r="BG680" s="15"/>
      <c r="BH680" s="72" t="s">
        <v>77</v>
      </c>
      <c r="BI680" s="72" t="s">
        <v>77</v>
      </c>
    </row>
    <row r="681" spans="1:61" s="16" customFormat="1" ht="42" customHeight="1" x14ac:dyDescent="0.3">
      <c r="A681" s="26">
        <v>672</v>
      </c>
      <c r="B681" s="163">
        <v>252664</v>
      </c>
      <c r="C681" s="163">
        <v>672</v>
      </c>
      <c r="D681" s="164">
        <v>46216</v>
      </c>
      <c r="E681" s="164">
        <f t="shared" si="95"/>
        <v>46215</v>
      </c>
      <c r="F681" s="164">
        <f t="shared" si="96"/>
        <v>46226</v>
      </c>
      <c r="G681" s="164">
        <v>46278</v>
      </c>
      <c r="H681" s="164">
        <v>46231</v>
      </c>
      <c r="I681" s="164" t="s">
        <v>123</v>
      </c>
      <c r="J681" s="165" t="s">
        <v>1460</v>
      </c>
      <c r="K681" s="166">
        <f t="shared" si="97"/>
        <v>52</v>
      </c>
      <c r="L681" s="166">
        <v>1246260</v>
      </c>
      <c r="M681" s="165" t="s">
        <v>15</v>
      </c>
      <c r="N681" s="165">
        <v>833203</v>
      </c>
      <c r="O681" s="162" t="s">
        <v>246</v>
      </c>
      <c r="P681" s="167">
        <v>46228</v>
      </c>
      <c r="Q681" s="167">
        <v>46408</v>
      </c>
      <c r="R681" s="179" t="s">
        <v>211</v>
      </c>
      <c r="S681" s="168" t="s">
        <v>1461</v>
      </c>
      <c r="T681" s="169">
        <v>1</v>
      </c>
      <c r="U681" s="180" t="s">
        <v>82</v>
      </c>
      <c r="V681" s="170">
        <v>35</v>
      </c>
      <c r="W681" s="170">
        <v>35</v>
      </c>
      <c r="X681" s="171">
        <v>0</v>
      </c>
      <c r="Y681" s="170">
        <v>0</v>
      </c>
      <c r="Z681" s="170">
        <v>0</v>
      </c>
      <c r="AA681" s="170">
        <v>0</v>
      </c>
      <c r="AB681" s="170">
        <v>0</v>
      </c>
      <c r="AC681" s="170">
        <v>0</v>
      </c>
      <c r="AD681" s="170">
        <v>0</v>
      </c>
      <c r="AE681" s="170"/>
      <c r="AF681" s="170">
        <v>0</v>
      </c>
      <c r="AG681" s="170">
        <v>0</v>
      </c>
      <c r="AH681" s="170">
        <v>1</v>
      </c>
      <c r="AI681" s="170">
        <v>1</v>
      </c>
      <c r="AJ681" s="170">
        <v>0</v>
      </c>
      <c r="AK681" s="170">
        <v>0</v>
      </c>
      <c r="AL681" s="170">
        <v>1</v>
      </c>
      <c r="AM681" s="170">
        <v>1</v>
      </c>
      <c r="AN681" s="170">
        <v>1</v>
      </c>
      <c r="AO681" s="170">
        <v>1</v>
      </c>
      <c r="AP681" s="170">
        <v>1</v>
      </c>
      <c r="AQ681" s="170">
        <v>1</v>
      </c>
      <c r="AR681" s="170">
        <v>0</v>
      </c>
      <c r="AS681" s="170">
        <v>0</v>
      </c>
      <c r="AT681" s="170">
        <v>1</v>
      </c>
      <c r="AU681" s="170">
        <v>1</v>
      </c>
      <c r="AV681" s="170">
        <v>0</v>
      </c>
      <c r="AW681" s="170">
        <v>0</v>
      </c>
      <c r="AX681" s="170">
        <f t="shared" si="93"/>
        <v>3900</v>
      </c>
      <c r="AY681" s="170">
        <f>(W681*60)+(Y681*80)+(AA681*38)+(AC681*57)+(AE681*75)+(AG681*155)+(AI681*170)+(AK681*375)+(AM681*590)+(AO681*60)+(AQ681*630)+(AS681*400)+(AU681*350)+(AW681*950)</f>
        <v>3900</v>
      </c>
      <c r="AZ681" s="165" t="s">
        <v>15</v>
      </c>
      <c r="BA681" s="165" t="s">
        <v>77</v>
      </c>
      <c r="BB681" s="162" t="s">
        <v>77</v>
      </c>
      <c r="BC681" s="181">
        <v>672</v>
      </c>
      <c r="BD681" s="173"/>
      <c r="BE681" s="169"/>
      <c r="BF681" s="174"/>
      <c r="BG681" s="178">
        <v>46230</v>
      </c>
      <c r="BH681" s="175" t="s">
        <v>77</v>
      </c>
      <c r="BI681" s="175" t="s">
        <v>77</v>
      </c>
    </row>
    <row r="682" spans="1:61" s="16" customFormat="1" ht="42" customHeight="1" x14ac:dyDescent="0.3">
      <c r="A682" s="26">
        <v>673</v>
      </c>
      <c r="B682" s="62">
        <v>252805</v>
      </c>
      <c r="C682" s="62">
        <v>673</v>
      </c>
      <c r="D682" s="63">
        <v>46222</v>
      </c>
      <c r="E682" s="63">
        <f t="shared" si="95"/>
        <v>46221</v>
      </c>
      <c r="F682" s="63">
        <f t="shared" si="96"/>
        <v>46232</v>
      </c>
      <c r="G682" s="63">
        <v>46314</v>
      </c>
      <c r="H682" s="63">
        <f t="shared" ref="H682:H697" ca="1" si="98">TODAY()</f>
        <v>46277</v>
      </c>
      <c r="I682" s="63" t="s">
        <v>321</v>
      </c>
      <c r="J682" s="64" t="s">
        <v>1464</v>
      </c>
      <c r="K682" s="65">
        <f t="shared" si="97"/>
        <v>82</v>
      </c>
      <c r="L682" s="65">
        <v>1247724</v>
      </c>
      <c r="M682" s="64" t="s">
        <v>77</v>
      </c>
      <c r="N682" s="64" t="s">
        <v>77</v>
      </c>
      <c r="O682" s="64" t="s">
        <v>77</v>
      </c>
      <c r="P682" s="103" t="s">
        <v>77</v>
      </c>
      <c r="Q682" s="103" t="s">
        <v>77</v>
      </c>
      <c r="R682" s="73" t="s">
        <v>211</v>
      </c>
      <c r="S682" s="66" t="s">
        <v>1465</v>
      </c>
      <c r="T682" s="67">
        <v>1</v>
      </c>
      <c r="U682" s="75" t="s">
        <v>81</v>
      </c>
      <c r="V682" s="68">
        <v>189</v>
      </c>
      <c r="W682" s="68"/>
      <c r="X682" s="69">
        <v>0</v>
      </c>
      <c r="Y682" s="68">
        <v>0</v>
      </c>
      <c r="Z682" s="68">
        <v>0</v>
      </c>
      <c r="AA682" s="68">
        <v>0</v>
      </c>
      <c r="AB682" s="68">
        <v>0</v>
      </c>
      <c r="AC682" s="68">
        <v>0</v>
      </c>
      <c r="AD682" s="68">
        <v>0</v>
      </c>
      <c r="AE682" s="68">
        <v>0</v>
      </c>
      <c r="AF682" s="68">
        <v>0</v>
      </c>
      <c r="AG682" s="68">
        <v>0</v>
      </c>
      <c r="AH682" s="68">
        <v>0</v>
      </c>
      <c r="AI682" s="68">
        <v>0</v>
      </c>
      <c r="AJ682" s="68">
        <v>0</v>
      </c>
      <c r="AK682" s="68">
        <v>0</v>
      </c>
      <c r="AL682" s="68">
        <v>1</v>
      </c>
      <c r="AM682" s="68"/>
      <c r="AN682" s="68">
        <v>1</v>
      </c>
      <c r="AO682" s="68"/>
      <c r="AP682" s="68">
        <v>0</v>
      </c>
      <c r="AQ682" s="68">
        <v>0</v>
      </c>
      <c r="AR682" s="68">
        <v>0</v>
      </c>
      <c r="AS682" s="68">
        <v>0</v>
      </c>
      <c r="AT682" s="68">
        <v>0</v>
      </c>
      <c r="AU682" s="68">
        <v>0</v>
      </c>
      <c r="AV682" s="68">
        <v>0</v>
      </c>
      <c r="AW682" s="68">
        <v>0</v>
      </c>
      <c r="AX682" s="170">
        <f t="shared" si="93"/>
        <v>11990</v>
      </c>
      <c r="AY682" s="170"/>
      <c r="AZ682" s="64" t="s">
        <v>77</v>
      </c>
      <c r="BA682" s="64" t="s">
        <v>77</v>
      </c>
      <c r="BB682" s="15" t="s">
        <v>77</v>
      </c>
      <c r="BC682" s="74">
        <v>673</v>
      </c>
      <c r="BD682" s="70"/>
      <c r="BE682" s="67"/>
      <c r="BF682" s="71"/>
      <c r="BG682" s="15"/>
      <c r="BH682" s="72" t="s">
        <v>77</v>
      </c>
      <c r="BI682" s="72" t="s">
        <v>77</v>
      </c>
    </row>
    <row r="683" spans="1:61" s="16" customFormat="1" ht="42" customHeight="1" x14ac:dyDescent="0.3">
      <c r="A683" s="26">
        <v>674</v>
      </c>
      <c r="B683" s="62">
        <v>252806</v>
      </c>
      <c r="C683" s="62">
        <v>674</v>
      </c>
      <c r="D683" s="63">
        <v>46222</v>
      </c>
      <c r="E683" s="63">
        <f t="shared" si="95"/>
        <v>46221</v>
      </c>
      <c r="F683" s="63">
        <f t="shared" si="96"/>
        <v>46232</v>
      </c>
      <c r="G683" s="63">
        <v>46314</v>
      </c>
      <c r="H683" s="63">
        <f t="shared" ca="1" si="98"/>
        <v>46277</v>
      </c>
      <c r="I683" s="63" t="s">
        <v>321</v>
      </c>
      <c r="J683" s="64" t="s">
        <v>1466</v>
      </c>
      <c r="K683" s="65">
        <f t="shared" si="97"/>
        <v>82</v>
      </c>
      <c r="L683" s="65">
        <v>1247726</v>
      </c>
      <c r="M683" s="64" t="s">
        <v>77</v>
      </c>
      <c r="N683" s="64" t="s">
        <v>77</v>
      </c>
      <c r="O683" s="64" t="s">
        <v>77</v>
      </c>
      <c r="P683" s="103" t="s">
        <v>77</v>
      </c>
      <c r="Q683" s="103" t="s">
        <v>77</v>
      </c>
      <c r="R683" s="73" t="s">
        <v>211</v>
      </c>
      <c r="S683" s="66" t="s">
        <v>1467</v>
      </c>
      <c r="T683" s="67">
        <v>1</v>
      </c>
      <c r="U683" s="75" t="s">
        <v>1029</v>
      </c>
      <c r="V683" s="68">
        <v>26</v>
      </c>
      <c r="W683" s="68"/>
      <c r="X683" s="69">
        <v>0</v>
      </c>
      <c r="Y683" s="68">
        <v>0</v>
      </c>
      <c r="Z683" s="68">
        <v>0</v>
      </c>
      <c r="AA683" s="68">
        <v>0</v>
      </c>
      <c r="AB683" s="68">
        <v>0</v>
      </c>
      <c r="AC683" s="68">
        <v>0</v>
      </c>
      <c r="AD683" s="68">
        <v>0</v>
      </c>
      <c r="AE683" s="68">
        <v>0</v>
      </c>
      <c r="AF683" s="68">
        <v>0</v>
      </c>
      <c r="AG683" s="68">
        <v>0</v>
      </c>
      <c r="AH683" s="68">
        <v>0</v>
      </c>
      <c r="AI683" s="68">
        <v>0</v>
      </c>
      <c r="AJ683" s="68">
        <v>0</v>
      </c>
      <c r="AK683" s="68">
        <v>0</v>
      </c>
      <c r="AL683" s="68">
        <v>1</v>
      </c>
      <c r="AM683" s="68"/>
      <c r="AN683" s="68">
        <v>1</v>
      </c>
      <c r="AO683" s="68"/>
      <c r="AP683" s="68">
        <v>1</v>
      </c>
      <c r="AQ683" s="68"/>
      <c r="AR683" s="68">
        <v>0</v>
      </c>
      <c r="AS683" s="68">
        <v>0</v>
      </c>
      <c r="AT683" s="68">
        <v>0</v>
      </c>
      <c r="AU683" s="68">
        <v>0</v>
      </c>
      <c r="AV683" s="68">
        <v>0</v>
      </c>
      <c r="AW683" s="68">
        <v>0</v>
      </c>
      <c r="AX683" s="170">
        <f t="shared" si="93"/>
        <v>2840</v>
      </c>
      <c r="AY683" s="170"/>
      <c r="AZ683" s="64" t="s">
        <v>77</v>
      </c>
      <c r="BA683" s="64" t="s">
        <v>77</v>
      </c>
      <c r="BB683" s="15" t="s">
        <v>77</v>
      </c>
      <c r="BC683" s="74">
        <v>674</v>
      </c>
      <c r="BD683" s="70"/>
      <c r="BE683" s="67"/>
      <c r="BF683" s="71"/>
      <c r="BG683" s="15"/>
      <c r="BH683" s="72" t="s">
        <v>77</v>
      </c>
      <c r="BI683" s="72" t="s">
        <v>77</v>
      </c>
    </row>
    <row r="684" spans="1:61" s="16" customFormat="1" ht="42" customHeight="1" x14ac:dyDescent="0.3">
      <c r="A684" s="26">
        <v>675</v>
      </c>
      <c r="B684" s="62">
        <v>252807</v>
      </c>
      <c r="C684" s="62">
        <v>675</v>
      </c>
      <c r="D684" s="63">
        <v>46222</v>
      </c>
      <c r="E684" s="63">
        <f t="shared" si="95"/>
        <v>46221</v>
      </c>
      <c r="F684" s="63">
        <f t="shared" si="96"/>
        <v>46232</v>
      </c>
      <c r="G684" s="63">
        <v>46314</v>
      </c>
      <c r="H684" s="63">
        <f t="shared" ca="1" si="98"/>
        <v>46277</v>
      </c>
      <c r="I684" s="63" t="s">
        <v>321</v>
      </c>
      <c r="J684" s="64" t="s">
        <v>1468</v>
      </c>
      <c r="K684" s="65">
        <f t="shared" si="97"/>
        <v>82</v>
      </c>
      <c r="L684" s="65">
        <v>1247727</v>
      </c>
      <c r="M684" s="64" t="s">
        <v>77</v>
      </c>
      <c r="N684" s="64" t="s">
        <v>77</v>
      </c>
      <c r="O684" s="64" t="s">
        <v>77</v>
      </c>
      <c r="P684" s="103" t="s">
        <v>77</v>
      </c>
      <c r="Q684" s="103" t="s">
        <v>77</v>
      </c>
      <c r="R684" s="73" t="s">
        <v>211</v>
      </c>
      <c r="S684" s="66" t="s">
        <v>1469</v>
      </c>
      <c r="T684" s="67">
        <v>1</v>
      </c>
      <c r="U684" s="75" t="s">
        <v>840</v>
      </c>
      <c r="V684" s="68">
        <v>99</v>
      </c>
      <c r="W684" s="68"/>
      <c r="X684" s="69">
        <v>0</v>
      </c>
      <c r="Y684" s="68">
        <v>0</v>
      </c>
      <c r="Z684" s="68">
        <v>0</v>
      </c>
      <c r="AA684" s="68">
        <v>0</v>
      </c>
      <c r="AB684" s="68">
        <v>0</v>
      </c>
      <c r="AC684" s="68">
        <v>0</v>
      </c>
      <c r="AD684" s="68">
        <v>0</v>
      </c>
      <c r="AE684" s="68">
        <v>0</v>
      </c>
      <c r="AF684" s="68">
        <v>0</v>
      </c>
      <c r="AG684" s="68">
        <v>0</v>
      </c>
      <c r="AH684" s="68">
        <v>0</v>
      </c>
      <c r="AI684" s="68">
        <v>0</v>
      </c>
      <c r="AJ684" s="68">
        <v>0</v>
      </c>
      <c r="AK684" s="68">
        <v>0</v>
      </c>
      <c r="AL684" s="68">
        <v>1</v>
      </c>
      <c r="AM684" s="68"/>
      <c r="AN684" s="68">
        <v>1</v>
      </c>
      <c r="AO684" s="68"/>
      <c r="AP684" s="68">
        <v>0</v>
      </c>
      <c r="AQ684" s="68">
        <v>0</v>
      </c>
      <c r="AR684" s="68">
        <v>0</v>
      </c>
      <c r="AS684" s="68">
        <v>0</v>
      </c>
      <c r="AT684" s="68">
        <v>0</v>
      </c>
      <c r="AU684" s="68">
        <v>0</v>
      </c>
      <c r="AV684" s="68">
        <v>0</v>
      </c>
      <c r="AW684" s="68">
        <v>0</v>
      </c>
      <c r="AX684" s="170">
        <f t="shared" si="93"/>
        <v>6590</v>
      </c>
      <c r="AY684" s="170"/>
      <c r="AZ684" s="64" t="s">
        <v>77</v>
      </c>
      <c r="BA684" s="64" t="s">
        <v>77</v>
      </c>
      <c r="BB684" s="15" t="s">
        <v>77</v>
      </c>
      <c r="BC684" s="74">
        <v>675</v>
      </c>
      <c r="BD684" s="70"/>
      <c r="BE684" s="67"/>
      <c r="BF684" s="71"/>
      <c r="BG684" s="15"/>
      <c r="BH684" s="72" t="s">
        <v>77</v>
      </c>
      <c r="BI684" s="72" t="s">
        <v>77</v>
      </c>
    </row>
    <row r="685" spans="1:61" s="16" customFormat="1" ht="42" customHeight="1" x14ac:dyDescent="0.3">
      <c r="A685" s="26">
        <v>676</v>
      </c>
      <c r="B685" s="62">
        <v>252808</v>
      </c>
      <c r="C685" s="62">
        <v>676</v>
      </c>
      <c r="D685" s="63">
        <v>46222</v>
      </c>
      <c r="E685" s="63">
        <f t="shared" si="95"/>
        <v>46221</v>
      </c>
      <c r="F685" s="63">
        <f t="shared" si="96"/>
        <v>46232</v>
      </c>
      <c r="G685" s="63">
        <v>46314</v>
      </c>
      <c r="H685" s="63">
        <f t="shared" ca="1" si="98"/>
        <v>46277</v>
      </c>
      <c r="I685" s="63" t="s">
        <v>321</v>
      </c>
      <c r="J685" s="64" t="s">
        <v>1470</v>
      </c>
      <c r="K685" s="65">
        <f t="shared" si="97"/>
        <v>82</v>
      </c>
      <c r="L685" s="65">
        <v>1247728</v>
      </c>
      <c r="M685" s="64" t="s">
        <v>77</v>
      </c>
      <c r="N685" s="64" t="s">
        <v>77</v>
      </c>
      <c r="O685" s="64" t="s">
        <v>77</v>
      </c>
      <c r="P685" s="103" t="s">
        <v>77</v>
      </c>
      <c r="Q685" s="103" t="s">
        <v>77</v>
      </c>
      <c r="R685" s="73" t="s">
        <v>211</v>
      </c>
      <c r="S685" s="66" t="s">
        <v>1091</v>
      </c>
      <c r="T685" s="67">
        <v>1</v>
      </c>
      <c r="U685" s="75" t="s">
        <v>840</v>
      </c>
      <c r="V685" s="68">
        <v>5</v>
      </c>
      <c r="W685" s="68"/>
      <c r="X685" s="69">
        <v>0</v>
      </c>
      <c r="Y685" s="68">
        <v>0</v>
      </c>
      <c r="Z685" s="68">
        <v>0</v>
      </c>
      <c r="AA685" s="68">
        <v>0</v>
      </c>
      <c r="AB685" s="68">
        <v>0</v>
      </c>
      <c r="AC685" s="68">
        <v>0</v>
      </c>
      <c r="AD685" s="68">
        <v>0</v>
      </c>
      <c r="AE685" s="68">
        <v>0</v>
      </c>
      <c r="AF685" s="68">
        <v>0</v>
      </c>
      <c r="AG685" s="68">
        <v>0</v>
      </c>
      <c r="AH685" s="68">
        <v>0</v>
      </c>
      <c r="AI685" s="68">
        <v>0</v>
      </c>
      <c r="AJ685" s="68">
        <v>0</v>
      </c>
      <c r="AK685" s="68">
        <v>0</v>
      </c>
      <c r="AL685" s="68">
        <v>1</v>
      </c>
      <c r="AM685" s="68"/>
      <c r="AN685" s="68">
        <v>1</v>
      </c>
      <c r="AO685" s="68"/>
      <c r="AP685" s="68">
        <v>0</v>
      </c>
      <c r="AQ685" s="68">
        <v>0</v>
      </c>
      <c r="AR685" s="68">
        <v>0</v>
      </c>
      <c r="AS685" s="68">
        <v>0</v>
      </c>
      <c r="AT685" s="68">
        <v>0</v>
      </c>
      <c r="AU685" s="68">
        <v>0</v>
      </c>
      <c r="AV685" s="68">
        <v>0</v>
      </c>
      <c r="AW685" s="68">
        <v>0</v>
      </c>
      <c r="AX685" s="170">
        <f t="shared" si="93"/>
        <v>950</v>
      </c>
      <c r="AY685" s="170"/>
      <c r="AZ685" s="64" t="s">
        <v>77</v>
      </c>
      <c r="BA685" s="64" t="s">
        <v>77</v>
      </c>
      <c r="BB685" s="15" t="s">
        <v>77</v>
      </c>
      <c r="BC685" s="74">
        <v>676</v>
      </c>
      <c r="BD685" s="70"/>
      <c r="BE685" s="67"/>
      <c r="BF685" s="71"/>
      <c r="BG685" s="15"/>
      <c r="BH685" s="72" t="s">
        <v>77</v>
      </c>
      <c r="BI685" s="72" t="s">
        <v>77</v>
      </c>
    </row>
    <row r="686" spans="1:61" s="16" customFormat="1" ht="42" customHeight="1" x14ac:dyDescent="0.3">
      <c r="A686" s="26">
        <v>677</v>
      </c>
      <c r="B686" s="62">
        <v>252809</v>
      </c>
      <c r="C686" s="62">
        <v>677</v>
      </c>
      <c r="D686" s="63">
        <v>46222</v>
      </c>
      <c r="E686" s="63">
        <f t="shared" si="95"/>
        <v>46221</v>
      </c>
      <c r="F686" s="63">
        <f t="shared" si="96"/>
        <v>46232</v>
      </c>
      <c r="G686" s="63">
        <v>46314</v>
      </c>
      <c r="H686" s="63">
        <f t="shared" ca="1" si="98"/>
        <v>46277</v>
      </c>
      <c r="I686" s="63" t="s">
        <v>321</v>
      </c>
      <c r="J686" s="64" t="s">
        <v>1471</v>
      </c>
      <c r="K686" s="65">
        <f t="shared" si="97"/>
        <v>82</v>
      </c>
      <c r="L686" s="65">
        <v>1247731</v>
      </c>
      <c r="M686" s="64" t="s">
        <v>77</v>
      </c>
      <c r="N686" s="64">
        <v>839315</v>
      </c>
      <c r="O686" s="80" t="s">
        <v>246</v>
      </c>
      <c r="P686" s="103">
        <v>46266</v>
      </c>
      <c r="Q686" s="103">
        <v>46436</v>
      </c>
      <c r="R686" s="73" t="s">
        <v>211</v>
      </c>
      <c r="S686" s="66" t="s">
        <v>1472</v>
      </c>
      <c r="T686" s="67">
        <v>1</v>
      </c>
      <c r="U686" s="75" t="s">
        <v>128</v>
      </c>
      <c r="V686" s="68">
        <v>116</v>
      </c>
      <c r="W686" s="68"/>
      <c r="X686" s="69">
        <v>0</v>
      </c>
      <c r="Y686" s="68">
        <v>0</v>
      </c>
      <c r="Z686" s="68">
        <v>0</v>
      </c>
      <c r="AA686" s="68">
        <v>0</v>
      </c>
      <c r="AB686" s="68">
        <v>0</v>
      </c>
      <c r="AC686" s="68">
        <v>0</v>
      </c>
      <c r="AD686" s="68">
        <v>0</v>
      </c>
      <c r="AE686" s="68">
        <v>0</v>
      </c>
      <c r="AF686" s="68">
        <v>0</v>
      </c>
      <c r="AG686" s="68">
        <v>0</v>
      </c>
      <c r="AH686" s="68">
        <v>0</v>
      </c>
      <c r="AI686" s="68">
        <v>0</v>
      </c>
      <c r="AJ686" s="68">
        <v>0</v>
      </c>
      <c r="AK686" s="68">
        <v>0</v>
      </c>
      <c r="AL686" s="68">
        <v>1</v>
      </c>
      <c r="AM686" s="68"/>
      <c r="AN686" s="68">
        <v>1</v>
      </c>
      <c r="AO686" s="68"/>
      <c r="AP686" s="68">
        <v>1</v>
      </c>
      <c r="AQ686" s="68"/>
      <c r="AR686" s="68">
        <v>0</v>
      </c>
      <c r="AS686" s="68">
        <v>0</v>
      </c>
      <c r="AT686" s="68">
        <v>0</v>
      </c>
      <c r="AU686" s="68">
        <v>0</v>
      </c>
      <c r="AV686" s="68">
        <v>0</v>
      </c>
      <c r="AW686" s="68">
        <v>0</v>
      </c>
      <c r="AX686" s="170">
        <f t="shared" si="93"/>
        <v>8240</v>
      </c>
      <c r="AY686" s="170"/>
      <c r="AZ686" s="64" t="s">
        <v>77</v>
      </c>
      <c r="BA686" s="64" t="s">
        <v>77</v>
      </c>
      <c r="BB686" s="15" t="s">
        <v>77</v>
      </c>
      <c r="BC686" s="74">
        <v>677</v>
      </c>
      <c r="BD686" s="70"/>
      <c r="BE686" s="67"/>
      <c r="BF686" s="71"/>
      <c r="BG686" s="15"/>
      <c r="BH686" s="72" t="s">
        <v>77</v>
      </c>
      <c r="BI686" s="72" t="s">
        <v>77</v>
      </c>
    </row>
    <row r="687" spans="1:61" s="16" customFormat="1" ht="42" customHeight="1" x14ac:dyDescent="0.3">
      <c r="A687" s="26">
        <v>678</v>
      </c>
      <c r="B687" s="163">
        <v>252887</v>
      </c>
      <c r="C687" s="163">
        <v>678</v>
      </c>
      <c r="D687" s="164">
        <v>46223</v>
      </c>
      <c r="E687" s="164">
        <f t="shared" si="95"/>
        <v>46222</v>
      </c>
      <c r="F687" s="164">
        <f t="shared" si="96"/>
        <v>46233</v>
      </c>
      <c r="G687" s="164">
        <v>46285</v>
      </c>
      <c r="H687" s="164">
        <v>46260</v>
      </c>
      <c r="I687" s="164" t="s">
        <v>123</v>
      </c>
      <c r="J687" s="165" t="s">
        <v>1474</v>
      </c>
      <c r="K687" s="166">
        <f t="shared" si="97"/>
        <v>52</v>
      </c>
      <c r="L687" s="166">
        <v>1248065</v>
      </c>
      <c r="M687" s="165" t="s">
        <v>15</v>
      </c>
      <c r="N687" s="165">
        <v>836890</v>
      </c>
      <c r="O687" s="165" t="s">
        <v>246</v>
      </c>
      <c r="P687" s="167">
        <v>46238</v>
      </c>
      <c r="Q687" s="167">
        <v>46415</v>
      </c>
      <c r="R687" s="179" t="s">
        <v>211</v>
      </c>
      <c r="S687" s="168" t="s">
        <v>1473</v>
      </c>
      <c r="T687" s="169">
        <v>1</v>
      </c>
      <c r="U687" s="180" t="s">
        <v>1029</v>
      </c>
      <c r="V687" s="170">
        <v>146</v>
      </c>
      <c r="W687" s="170">
        <v>146</v>
      </c>
      <c r="X687" s="171">
        <v>27</v>
      </c>
      <c r="Y687" s="170">
        <v>27</v>
      </c>
      <c r="Z687" s="170"/>
      <c r="AA687" s="170"/>
      <c r="AB687" s="170">
        <v>146</v>
      </c>
      <c r="AC687" s="170">
        <v>146</v>
      </c>
      <c r="AD687" s="170">
        <v>0</v>
      </c>
      <c r="AE687" s="170">
        <v>0</v>
      </c>
      <c r="AF687" s="170">
        <v>0</v>
      </c>
      <c r="AG687" s="170">
        <v>0</v>
      </c>
      <c r="AH687" s="170">
        <v>1</v>
      </c>
      <c r="AI687" s="170">
        <v>1</v>
      </c>
      <c r="AJ687" s="170">
        <v>0</v>
      </c>
      <c r="AK687" s="170">
        <v>0</v>
      </c>
      <c r="AL687" s="170">
        <v>4</v>
      </c>
      <c r="AM687" s="170">
        <v>4</v>
      </c>
      <c r="AN687" s="170">
        <v>3</v>
      </c>
      <c r="AO687" s="170">
        <v>3</v>
      </c>
      <c r="AP687" s="170">
        <v>1</v>
      </c>
      <c r="AQ687" s="170">
        <v>1</v>
      </c>
      <c r="AR687" s="170">
        <v>0</v>
      </c>
      <c r="AS687" s="170">
        <v>0</v>
      </c>
      <c r="AT687" s="170">
        <v>1</v>
      </c>
      <c r="AU687" s="170">
        <v>1</v>
      </c>
      <c r="AV687" s="170">
        <v>0</v>
      </c>
      <c r="AW687" s="170">
        <v>0</v>
      </c>
      <c r="AX687" s="170">
        <f t="shared" si="93"/>
        <v>22932</v>
      </c>
      <c r="AY687" s="170">
        <f>(W687*60)+(Y687*80)+(AA687*38)+(AC687*57)+(AE687*75)+(AG687*155)+(AI687*170)+(AK687*375)+(AM687*590)+(AO687*60)+(AQ687*630)+(AS687*400)+(AU687*350)+(AW687*950)</f>
        <v>22932</v>
      </c>
      <c r="AZ687" s="165" t="s">
        <v>15</v>
      </c>
      <c r="BA687" s="165" t="s">
        <v>77</v>
      </c>
      <c r="BB687" s="162" t="s">
        <v>77</v>
      </c>
      <c r="BC687" s="181">
        <v>678</v>
      </c>
      <c r="BD687" s="173"/>
      <c r="BE687" s="169"/>
      <c r="BF687" s="174"/>
      <c r="BG687" s="178">
        <v>46257</v>
      </c>
      <c r="BH687" s="175" t="s">
        <v>77</v>
      </c>
      <c r="BI687" s="175" t="s">
        <v>77</v>
      </c>
    </row>
    <row r="688" spans="1:61" s="16" customFormat="1" ht="42" customHeight="1" x14ac:dyDescent="0.3">
      <c r="A688" s="26">
        <v>679</v>
      </c>
      <c r="B688" s="62">
        <v>252898</v>
      </c>
      <c r="C688" s="62">
        <v>679</v>
      </c>
      <c r="D688" s="63">
        <v>46224</v>
      </c>
      <c r="E688" s="63">
        <f t="shared" si="95"/>
        <v>46223</v>
      </c>
      <c r="F688" s="63">
        <f t="shared" si="96"/>
        <v>46234</v>
      </c>
      <c r="G688" s="63">
        <v>46316</v>
      </c>
      <c r="H688" s="63">
        <f t="shared" ca="1" si="98"/>
        <v>46277</v>
      </c>
      <c r="I688" s="63" t="s">
        <v>321</v>
      </c>
      <c r="J688" s="64" t="s">
        <v>1475</v>
      </c>
      <c r="K688" s="65">
        <f t="shared" si="97"/>
        <v>82</v>
      </c>
      <c r="L688" s="65">
        <v>1248295</v>
      </c>
      <c r="M688" s="64" t="s">
        <v>77</v>
      </c>
      <c r="N688" s="64">
        <v>843435</v>
      </c>
      <c r="O688" s="64" t="s">
        <v>1335</v>
      </c>
      <c r="P688" s="103" t="s">
        <v>77</v>
      </c>
      <c r="Q688" s="103" t="s">
        <v>77</v>
      </c>
      <c r="R688" s="73" t="s">
        <v>211</v>
      </c>
      <c r="S688" s="66" t="s">
        <v>131</v>
      </c>
      <c r="T688" s="67">
        <v>1</v>
      </c>
      <c r="U688" s="75" t="s">
        <v>82</v>
      </c>
      <c r="V688" s="68">
        <v>531</v>
      </c>
      <c r="W688" s="68"/>
      <c r="X688" s="69">
        <v>0</v>
      </c>
      <c r="Y688" s="68">
        <v>0</v>
      </c>
      <c r="Z688" s="68">
        <v>0</v>
      </c>
      <c r="AA688" s="68">
        <v>0</v>
      </c>
      <c r="AB688" s="68">
        <v>0</v>
      </c>
      <c r="AC688" s="68">
        <v>0</v>
      </c>
      <c r="AD688" s="68">
        <v>0</v>
      </c>
      <c r="AE688" s="68">
        <v>0</v>
      </c>
      <c r="AF688" s="68">
        <v>0</v>
      </c>
      <c r="AG688" s="68">
        <v>0</v>
      </c>
      <c r="AH688" s="68">
        <v>0</v>
      </c>
      <c r="AI688" s="68">
        <v>0</v>
      </c>
      <c r="AJ688" s="68">
        <v>0</v>
      </c>
      <c r="AK688" s="68">
        <v>0</v>
      </c>
      <c r="AL688" s="68">
        <v>1</v>
      </c>
      <c r="AM688" s="68"/>
      <c r="AN688" s="68">
        <v>1</v>
      </c>
      <c r="AO688" s="68"/>
      <c r="AP688" s="68">
        <v>0</v>
      </c>
      <c r="AQ688" s="68">
        <v>0</v>
      </c>
      <c r="AR688" s="68">
        <v>0</v>
      </c>
      <c r="AS688" s="68">
        <v>0</v>
      </c>
      <c r="AT688" s="68">
        <v>0</v>
      </c>
      <c r="AU688" s="68">
        <v>0</v>
      </c>
      <c r="AV688" s="68">
        <v>0</v>
      </c>
      <c r="AW688" s="68">
        <v>0</v>
      </c>
      <c r="AX688" s="170">
        <f t="shared" si="93"/>
        <v>32510</v>
      </c>
      <c r="AY688" s="170"/>
      <c r="AZ688" s="64" t="s">
        <v>77</v>
      </c>
      <c r="BA688" s="64" t="s">
        <v>77</v>
      </c>
      <c r="BB688" s="15" t="s">
        <v>77</v>
      </c>
      <c r="BC688" s="74">
        <v>679</v>
      </c>
      <c r="BD688" s="70"/>
      <c r="BE688" s="67"/>
      <c r="BF688" s="71"/>
      <c r="BG688" s="15"/>
      <c r="BH688" s="72" t="s">
        <v>77</v>
      </c>
      <c r="BI688" s="72" t="s">
        <v>77</v>
      </c>
    </row>
    <row r="689" spans="1:61" s="16" customFormat="1" ht="42" customHeight="1" x14ac:dyDescent="0.3">
      <c r="A689" s="26">
        <v>680</v>
      </c>
      <c r="B689" s="62">
        <v>252899</v>
      </c>
      <c r="C689" s="62">
        <v>680</v>
      </c>
      <c r="D689" s="63">
        <v>46224</v>
      </c>
      <c r="E689" s="63">
        <f t="shared" si="95"/>
        <v>46223</v>
      </c>
      <c r="F689" s="63">
        <f t="shared" si="96"/>
        <v>46234</v>
      </c>
      <c r="G689" s="63">
        <v>46316</v>
      </c>
      <c r="H689" s="63">
        <f t="shared" ca="1" si="98"/>
        <v>46277</v>
      </c>
      <c r="I689" s="63" t="s">
        <v>321</v>
      </c>
      <c r="J689" s="64" t="s">
        <v>1476</v>
      </c>
      <c r="K689" s="65">
        <f t="shared" si="97"/>
        <v>82</v>
      </c>
      <c r="L689" s="65">
        <v>1248297</v>
      </c>
      <c r="M689" s="64" t="s">
        <v>77</v>
      </c>
      <c r="N689" s="64" t="s">
        <v>77</v>
      </c>
      <c r="O689" s="64" t="s">
        <v>77</v>
      </c>
      <c r="P689" s="103" t="s">
        <v>77</v>
      </c>
      <c r="Q689" s="103" t="s">
        <v>77</v>
      </c>
      <c r="R689" s="73" t="s">
        <v>211</v>
      </c>
      <c r="S689" s="66" t="s">
        <v>1477</v>
      </c>
      <c r="T689" s="67">
        <v>1</v>
      </c>
      <c r="U689" s="75" t="s">
        <v>81</v>
      </c>
      <c r="V689" s="68">
        <v>83</v>
      </c>
      <c r="W689" s="68"/>
      <c r="X689" s="69">
        <v>0</v>
      </c>
      <c r="Y689" s="68">
        <v>0</v>
      </c>
      <c r="Z689" s="68">
        <v>0</v>
      </c>
      <c r="AA689" s="68">
        <v>0</v>
      </c>
      <c r="AB689" s="68">
        <v>0</v>
      </c>
      <c r="AC689" s="68">
        <v>0</v>
      </c>
      <c r="AD689" s="68">
        <v>0</v>
      </c>
      <c r="AE689" s="68">
        <v>0</v>
      </c>
      <c r="AF689" s="68">
        <v>0</v>
      </c>
      <c r="AG689" s="68">
        <v>0</v>
      </c>
      <c r="AH689" s="68">
        <v>0</v>
      </c>
      <c r="AI689" s="68">
        <v>0</v>
      </c>
      <c r="AJ689" s="68">
        <v>0</v>
      </c>
      <c r="AK689" s="68">
        <v>0</v>
      </c>
      <c r="AL689" s="68">
        <v>1</v>
      </c>
      <c r="AM689" s="68"/>
      <c r="AN689" s="68">
        <v>1</v>
      </c>
      <c r="AO689" s="68"/>
      <c r="AP689" s="68">
        <v>0</v>
      </c>
      <c r="AQ689" s="68">
        <v>0</v>
      </c>
      <c r="AR689" s="68">
        <v>0</v>
      </c>
      <c r="AS689" s="68">
        <v>0</v>
      </c>
      <c r="AT689" s="68">
        <v>0</v>
      </c>
      <c r="AU689" s="68">
        <v>0</v>
      </c>
      <c r="AV689" s="68">
        <v>0</v>
      </c>
      <c r="AW689" s="68">
        <v>0</v>
      </c>
      <c r="AX689" s="170">
        <f t="shared" si="93"/>
        <v>5630</v>
      </c>
      <c r="AY689" s="170"/>
      <c r="AZ689" s="64" t="s">
        <v>77</v>
      </c>
      <c r="BA689" s="64" t="s">
        <v>77</v>
      </c>
      <c r="BB689" s="15" t="s">
        <v>77</v>
      </c>
      <c r="BC689" s="74">
        <v>680</v>
      </c>
      <c r="BD689" s="70"/>
      <c r="BE689" s="67"/>
      <c r="BF689" s="71"/>
      <c r="BG689" s="15"/>
      <c r="BH689" s="72" t="s">
        <v>77</v>
      </c>
      <c r="BI689" s="72" t="s">
        <v>77</v>
      </c>
    </row>
    <row r="690" spans="1:61" s="16" customFormat="1" ht="42" hidden="1" customHeight="1" x14ac:dyDescent="0.3">
      <c r="A690" s="26">
        <v>681</v>
      </c>
      <c r="B690" s="90">
        <v>252900</v>
      </c>
      <c r="C690" s="90">
        <v>681</v>
      </c>
      <c r="D690" s="91">
        <v>46224</v>
      </c>
      <c r="E690" s="91">
        <f t="shared" si="95"/>
        <v>46223</v>
      </c>
      <c r="F690" s="91">
        <f t="shared" si="96"/>
        <v>46234</v>
      </c>
      <c r="G690" s="91">
        <v>46316</v>
      </c>
      <c r="H690" s="91">
        <f t="shared" ca="1" si="98"/>
        <v>46277</v>
      </c>
      <c r="I690" s="91" t="s">
        <v>321</v>
      </c>
      <c r="J690" s="92" t="s">
        <v>1478</v>
      </c>
      <c r="K690" s="93">
        <f t="shared" si="97"/>
        <v>82</v>
      </c>
      <c r="L690" s="93">
        <v>1248298</v>
      </c>
      <c r="M690" s="92" t="s">
        <v>212</v>
      </c>
      <c r="N690" s="92" t="s">
        <v>77</v>
      </c>
      <c r="O690" s="92" t="s">
        <v>212</v>
      </c>
      <c r="P690" s="126" t="s">
        <v>212</v>
      </c>
      <c r="Q690" s="126" t="s">
        <v>212</v>
      </c>
      <c r="R690" s="158" t="s">
        <v>211</v>
      </c>
      <c r="S690" s="94" t="s">
        <v>1479</v>
      </c>
      <c r="T690" s="95">
        <v>1</v>
      </c>
      <c r="U690" s="159" t="s">
        <v>195</v>
      </c>
      <c r="V690" s="96">
        <v>54</v>
      </c>
      <c r="W690" s="96"/>
      <c r="X690" s="97">
        <v>0</v>
      </c>
      <c r="Y690" s="96">
        <v>0</v>
      </c>
      <c r="Z690" s="96">
        <v>0</v>
      </c>
      <c r="AA690" s="96">
        <v>0</v>
      </c>
      <c r="AB690" s="96">
        <v>0</v>
      </c>
      <c r="AC690" s="96">
        <v>0</v>
      </c>
      <c r="AD690" s="96">
        <v>0</v>
      </c>
      <c r="AE690" s="96">
        <v>0</v>
      </c>
      <c r="AF690" s="96">
        <v>0</v>
      </c>
      <c r="AG690" s="96">
        <v>0</v>
      </c>
      <c r="AH690" s="96">
        <v>0</v>
      </c>
      <c r="AI690" s="96">
        <v>0</v>
      </c>
      <c r="AJ690" s="96">
        <v>0</v>
      </c>
      <c r="AK690" s="96">
        <v>0</v>
      </c>
      <c r="AL690" s="96">
        <v>0</v>
      </c>
      <c r="AM690" s="96"/>
      <c r="AN690" s="96">
        <v>1</v>
      </c>
      <c r="AO690" s="96"/>
      <c r="AP690" s="96">
        <v>1</v>
      </c>
      <c r="AQ690" s="96"/>
      <c r="AR690" s="96">
        <v>0</v>
      </c>
      <c r="AS690" s="96">
        <v>0</v>
      </c>
      <c r="AT690" s="96">
        <v>0</v>
      </c>
      <c r="AU690" s="96">
        <v>0</v>
      </c>
      <c r="AV690" s="96">
        <v>0</v>
      </c>
      <c r="AW690" s="96">
        <v>0</v>
      </c>
      <c r="AX690" s="96">
        <f t="shared" si="93"/>
        <v>3930</v>
      </c>
      <c r="AY690" s="96"/>
      <c r="AZ690" s="92" t="s">
        <v>212</v>
      </c>
      <c r="BA690" s="92" t="s">
        <v>212</v>
      </c>
      <c r="BB690" s="89" t="s">
        <v>212</v>
      </c>
      <c r="BC690" s="160">
        <v>681</v>
      </c>
      <c r="BD690" s="100"/>
      <c r="BE690" s="95"/>
      <c r="BF690" s="101"/>
      <c r="BG690" s="89"/>
      <c r="BH690" s="102" t="s">
        <v>212</v>
      </c>
      <c r="BI690" s="102" t="s">
        <v>212</v>
      </c>
    </row>
    <row r="691" spans="1:61" s="16" customFormat="1" ht="42" customHeight="1" x14ac:dyDescent="0.3">
      <c r="A691" s="26">
        <v>682</v>
      </c>
      <c r="B691" s="62">
        <v>252964</v>
      </c>
      <c r="C691" s="62">
        <v>682</v>
      </c>
      <c r="D691" s="63">
        <v>46224</v>
      </c>
      <c r="E691" s="63">
        <f t="shared" ref="E691:E735" si="99">D691-1</f>
        <v>46223</v>
      </c>
      <c r="F691" s="63">
        <f t="shared" ref="F691:F735" si="100">D691+10</f>
        <v>46234</v>
      </c>
      <c r="G691" s="63">
        <v>46316</v>
      </c>
      <c r="H691" s="63">
        <f t="shared" ca="1" si="98"/>
        <v>46277</v>
      </c>
      <c r="I691" s="63" t="s">
        <v>321</v>
      </c>
      <c r="J691" s="64" t="s">
        <v>1481</v>
      </c>
      <c r="K691" s="65">
        <f t="shared" ref="K691:K735" si="101">G691-F691</f>
        <v>82</v>
      </c>
      <c r="L691" s="65">
        <v>1248439</v>
      </c>
      <c r="M691" s="64" t="s">
        <v>77</v>
      </c>
      <c r="N691" s="64">
        <v>838768</v>
      </c>
      <c r="O691" s="79" t="s">
        <v>246</v>
      </c>
      <c r="P691" s="103">
        <v>46275</v>
      </c>
      <c r="Q691" s="103">
        <v>46455</v>
      </c>
      <c r="R691" s="73" t="s">
        <v>211</v>
      </c>
      <c r="S691" s="66" t="s">
        <v>542</v>
      </c>
      <c r="T691" s="67">
        <v>1</v>
      </c>
      <c r="U691" s="75" t="s">
        <v>82</v>
      </c>
      <c r="V691" s="68">
        <v>81</v>
      </c>
      <c r="W691" s="68"/>
      <c r="X691" s="69">
        <v>0</v>
      </c>
      <c r="Y691" s="68">
        <v>0</v>
      </c>
      <c r="Z691" s="68">
        <v>0</v>
      </c>
      <c r="AA691" s="68">
        <v>0</v>
      </c>
      <c r="AB691" s="68">
        <v>0</v>
      </c>
      <c r="AC691" s="68">
        <v>0</v>
      </c>
      <c r="AD691" s="68">
        <v>0</v>
      </c>
      <c r="AE691" s="68">
        <v>0</v>
      </c>
      <c r="AF691" s="68">
        <v>0</v>
      </c>
      <c r="AG691" s="68">
        <v>0</v>
      </c>
      <c r="AH691" s="68">
        <v>0</v>
      </c>
      <c r="AI691" s="68">
        <v>0</v>
      </c>
      <c r="AJ691" s="68">
        <v>0</v>
      </c>
      <c r="AK691" s="68">
        <v>0</v>
      </c>
      <c r="AL691" s="68">
        <v>1</v>
      </c>
      <c r="AM691" s="68"/>
      <c r="AN691" s="68">
        <v>1</v>
      </c>
      <c r="AO691" s="68"/>
      <c r="AP691" s="68">
        <v>1</v>
      </c>
      <c r="AQ691" s="68"/>
      <c r="AR691" s="68">
        <v>0</v>
      </c>
      <c r="AS691" s="68">
        <v>0</v>
      </c>
      <c r="AT691" s="68">
        <v>0</v>
      </c>
      <c r="AU691" s="68">
        <v>0</v>
      </c>
      <c r="AV691" s="68">
        <v>0</v>
      </c>
      <c r="AW691" s="68">
        <v>0</v>
      </c>
      <c r="AX691" s="170">
        <f t="shared" si="93"/>
        <v>6140</v>
      </c>
      <c r="AY691" s="170"/>
      <c r="AZ691" s="64" t="s">
        <v>77</v>
      </c>
      <c r="BA691" s="64" t="s">
        <v>77</v>
      </c>
      <c r="BB691" s="15" t="s">
        <v>77</v>
      </c>
      <c r="BC691" s="74">
        <v>682</v>
      </c>
      <c r="BD691" s="70"/>
      <c r="BE691" s="67"/>
      <c r="BF691" s="71"/>
      <c r="BG691" s="15"/>
      <c r="BH691" s="72" t="s">
        <v>77</v>
      </c>
      <c r="BI691" s="72" t="s">
        <v>77</v>
      </c>
    </row>
    <row r="692" spans="1:61" s="16" customFormat="1" ht="44.1" customHeight="1" x14ac:dyDescent="0.3">
      <c r="A692" s="26">
        <v>683</v>
      </c>
      <c r="B692" s="110">
        <v>252965</v>
      </c>
      <c r="C692" s="110">
        <v>683</v>
      </c>
      <c r="D692" s="111">
        <v>46224</v>
      </c>
      <c r="E692" s="111">
        <f t="shared" si="99"/>
        <v>46223</v>
      </c>
      <c r="F692" s="111">
        <f t="shared" si="100"/>
        <v>46234</v>
      </c>
      <c r="G692" s="111">
        <v>46316</v>
      </c>
      <c r="H692" s="111">
        <f t="shared" ca="1" si="98"/>
        <v>46277</v>
      </c>
      <c r="I692" s="111" t="s">
        <v>321</v>
      </c>
      <c r="J692" s="112" t="s">
        <v>1482</v>
      </c>
      <c r="K692" s="113">
        <f t="shared" si="101"/>
        <v>82</v>
      </c>
      <c r="L692" s="113">
        <v>1248441</v>
      </c>
      <c r="M692" s="114" t="s">
        <v>366</v>
      </c>
      <c r="N692" s="112" t="s">
        <v>77</v>
      </c>
      <c r="O692" s="109" t="s">
        <v>365</v>
      </c>
      <c r="P692" s="115" t="s">
        <v>77</v>
      </c>
      <c r="Q692" s="115" t="s">
        <v>77</v>
      </c>
      <c r="R692" s="131" t="s">
        <v>211</v>
      </c>
      <c r="S692" s="117" t="s">
        <v>1483</v>
      </c>
      <c r="T692" s="118">
        <v>1</v>
      </c>
      <c r="U692" s="132" t="s">
        <v>82</v>
      </c>
      <c r="V692" s="119">
        <v>188</v>
      </c>
      <c r="W692" s="119"/>
      <c r="X692" s="120">
        <v>0</v>
      </c>
      <c r="Y692" s="119">
        <v>0</v>
      </c>
      <c r="Z692" s="119">
        <v>0</v>
      </c>
      <c r="AA692" s="119">
        <v>0</v>
      </c>
      <c r="AB692" s="119">
        <v>0</v>
      </c>
      <c r="AC692" s="119">
        <v>0</v>
      </c>
      <c r="AD692" s="119">
        <v>0</v>
      </c>
      <c r="AE692" s="119">
        <v>0</v>
      </c>
      <c r="AF692" s="119">
        <v>0</v>
      </c>
      <c r="AG692" s="119">
        <v>0</v>
      </c>
      <c r="AH692" s="119">
        <v>0</v>
      </c>
      <c r="AI692" s="119">
        <v>0</v>
      </c>
      <c r="AJ692" s="119">
        <v>0</v>
      </c>
      <c r="AK692" s="119">
        <v>0</v>
      </c>
      <c r="AL692" s="119">
        <v>1</v>
      </c>
      <c r="AM692" s="119"/>
      <c r="AN692" s="119">
        <v>1</v>
      </c>
      <c r="AO692" s="119"/>
      <c r="AP692" s="119">
        <v>1</v>
      </c>
      <c r="AQ692" s="119"/>
      <c r="AR692" s="119">
        <v>0</v>
      </c>
      <c r="AS692" s="119">
        <v>0</v>
      </c>
      <c r="AT692" s="119">
        <v>0</v>
      </c>
      <c r="AU692" s="119">
        <v>0</v>
      </c>
      <c r="AV692" s="119">
        <v>0</v>
      </c>
      <c r="AW692" s="119">
        <v>0</v>
      </c>
      <c r="AX692" s="119">
        <f t="shared" si="93"/>
        <v>12560</v>
      </c>
      <c r="AY692" s="119"/>
      <c r="AZ692" s="109" t="s">
        <v>77</v>
      </c>
      <c r="BA692" s="112" t="s">
        <v>77</v>
      </c>
      <c r="BB692" s="109" t="s">
        <v>77</v>
      </c>
      <c r="BC692" s="133">
        <v>683</v>
      </c>
      <c r="BD692" s="122"/>
      <c r="BE692" s="118"/>
      <c r="BF692" s="123"/>
      <c r="BG692" s="109"/>
      <c r="BH692" s="125" t="s">
        <v>77</v>
      </c>
      <c r="BI692" s="125" t="s">
        <v>77</v>
      </c>
    </row>
    <row r="693" spans="1:61" s="16" customFormat="1" ht="42" customHeight="1" x14ac:dyDescent="0.3">
      <c r="A693" s="26">
        <v>684</v>
      </c>
      <c r="B693" s="62">
        <v>253035</v>
      </c>
      <c r="C693" s="62">
        <v>684</v>
      </c>
      <c r="D693" s="63">
        <v>46226</v>
      </c>
      <c r="E693" s="63">
        <f t="shared" si="99"/>
        <v>46225</v>
      </c>
      <c r="F693" s="63">
        <f t="shared" si="100"/>
        <v>46236</v>
      </c>
      <c r="G693" s="63">
        <v>46318</v>
      </c>
      <c r="H693" s="63">
        <f t="shared" ca="1" si="98"/>
        <v>46277</v>
      </c>
      <c r="I693" s="63" t="s">
        <v>321</v>
      </c>
      <c r="J693" s="64" t="s">
        <v>1484</v>
      </c>
      <c r="K693" s="65">
        <f t="shared" si="101"/>
        <v>82</v>
      </c>
      <c r="L693" s="65">
        <v>1249381</v>
      </c>
      <c r="M693" s="64" t="s">
        <v>77</v>
      </c>
      <c r="N693" s="64">
        <v>838768</v>
      </c>
      <c r="O693" s="79" t="s">
        <v>246</v>
      </c>
      <c r="P693" s="103">
        <v>46275</v>
      </c>
      <c r="Q693" s="103">
        <v>46455</v>
      </c>
      <c r="R693" s="73" t="s">
        <v>211</v>
      </c>
      <c r="S693" s="66" t="s">
        <v>1485</v>
      </c>
      <c r="T693" s="67">
        <v>1</v>
      </c>
      <c r="U693" s="75" t="s">
        <v>82</v>
      </c>
      <c r="V693" s="68">
        <v>5</v>
      </c>
      <c r="W693" s="68"/>
      <c r="X693" s="69">
        <v>0</v>
      </c>
      <c r="Y693" s="68">
        <v>0</v>
      </c>
      <c r="Z693" s="68">
        <v>0</v>
      </c>
      <c r="AA693" s="68">
        <v>0</v>
      </c>
      <c r="AB693" s="68">
        <v>0</v>
      </c>
      <c r="AC693" s="68">
        <v>0</v>
      </c>
      <c r="AD693" s="68">
        <v>0</v>
      </c>
      <c r="AE693" s="68">
        <v>0</v>
      </c>
      <c r="AF693" s="68">
        <v>0</v>
      </c>
      <c r="AG693" s="68">
        <v>0</v>
      </c>
      <c r="AH693" s="68">
        <v>0</v>
      </c>
      <c r="AI693" s="68">
        <v>0</v>
      </c>
      <c r="AJ693" s="68">
        <v>0</v>
      </c>
      <c r="AK693" s="68">
        <v>0</v>
      </c>
      <c r="AL693" s="68">
        <v>0</v>
      </c>
      <c r="AM693" s="68"/>
      <c r="AN693" s="68">
        <v>1</v>
      </c>
      <c r="AO693" s="68"/>
      <c r="AP693" s="68">
        <v>1</v>
      </c>
      <c r="AQ693" s="68"/>
      <c r="AR693" s="68">
        <v>0</v>
      </c>
      <c r="AS693" s="68">
        <v>0</v>
      </c>
      <c r="AT693" s="68">
        <v>0</v>
      </c>
      <c r="AU693" s="68">
        <v>0</v>
      </c>
      <c r="AV693" s="68">
        <v>0</v>
      </c>
      <c r="AW693" s="68">
        <v>0</v>
      </c>
      <c r="AX693" s="170">
        <f t="shared" si="93"/>
        <v>990</v>
      </c>
      <c r="AY693" s="170"/>
      <c r="AZ693" s="64" t="s">
        <v>77</v>
      </c>
      <c r="BA693" s="64" t="s">
        <v>77</v>
      </c>
      <c r="BB693" s="15" t="s">
        <v>77</v>
      </c>
      <c r="BC693" s="74">
        <v>684</v>
      </c>
      <c r="BD693" s="70"/>
      <c r="BE693" s="67"/>
      <c r="BF693" s="71"/>
      <c r="BG693" s="15"/>
      <c r="BH693" s="72" t="s">
        <v>77</v>
      </c>
      <c r="BI693" s="72" t="s">
        <v>77</v>
      </c>
    </row>
    <row r="694" spans="1:61" s="16" customFormat="1" ht="42" customHeight="1" x14ac:dyDescent="0.3">
      <c r="A694" s="26">
        <v>685</v>
      </c>
      <c r="B694" s="62">
        <v>253036</v>
      </c>
      <c r="C694" s="62">
        <v>685</v>
      </c>
      <c r="D694" s="63">
        <v>46226</v>
      </c>
      <c r="E694" s="63">
        <f t="shared" si="99"/>
        <v>46225</v>
      </c>
      <c r="F694" s="63">
        <f t="shared" si="100"/>
        <v>46236</v>
      </c>
      <c r="G694" s="63">
        <v>46318</v>
      </c>
      <c r="H694" s="63">
        <f t="shared" ca="1" si="98"/>
        <v>46277</v>
      </c>
      <c r="I694" s="63" t="s">
        <v>321</v>
      </c>
      <c r="J694" s="64" t="s">
        <v>1486</v>
      </c>
      <c r="K694" s="65">
        <f t="shared" si="101"/>
        <v>82</v>
      </c>
      <c r="L694" s="65">
        <v>1249383</v>
      </c>
      <c r="M694" s="64" t="s">
        <v>77</v>
      </c>
      <c r="N694" s="64" t="s">
        <v>77</v>
      </c>
      <c r="O694" s="64" t="s">
        <v>77</v>
      </c>
      <c r="P694" s="103" t="s">
        <v>77</v>
      </c>
      <c r="Q694" s="103" t="s">
        <v>77</v>
      </c>
      <c r="R694" s="73" t="s">
        <v>211</v>
      </c>
      <c r="S694" s="66" t="s">
        <v>1487</v>
      </c>
      <c r="T694" s="67">
        <v>1</v>
      </c>
      <c r="U694" s="75" t="s">
        <v>106</v>
      </c>
      <c r="V694" s="68">
        <v>46</v>
      </c>
      <c r="W694" s="68"/>
      <c r="X694" s="69">
        <v>0</v>
      </c>
      <c r="Y694" s="68">
        <v>0</v>
      </c>
      <c r="Z694" s="68">
        <v>0</v>
      </c>
      <c r="AA694" s="68">
        <v>0</v>
      </c>
      <c r="AB694" s="68">
        <v>0</v>
      </c>
      <c r="AC694" s="68">
        <v>0</v>
      </c>
      <c r="AD694" s="68">
        <v>0</v>
      </c>
      <c r="AE694" s="68">
        <v>0</v>
      </c>
      <c r="AF694" s="68">
        <v>0</v>
      </c>
      <c r="AG694" s="68">
        <v>0</v>
      </c>
      <c r="AH694" s="68">
        <v>0</v>
      </c>
      <c r="AI694" s="68">
        <v>0</v>
      </c>
      <c r="AJ694" s="68">
        <v>0</v>
      </c>
      <c r="AK694" s="68">
        <v>0</v>
      </c>
      <c r="AL694" s="68">
        <v>0</v>
      </c>
      <c r="AM694" s="68">
        <v>0</v>
      </c>
      <c r="AN694" s="68">
        <v>1</v>
      </c>
      <c r="AO694" s="68"/>
      <c r="AP694" s="68">
        <v>1</v>
      </c>
      <c r="AQ694" s="68"/>
      <c r="AR694" s="68">
        <v>0</v>
      </c>
      <c r="AS694" s="68">
        <v>0</v>
      </c>
      <c r="AT694" s="68">
        <v>0</v>
      </c>
      <c r="AU694" s="68">
        <v>0</v>
      </c>
      <c r="AV694" s="68">
        <v>0</v>
      </c>
      <c r="AW694" s="68">
        <v>0</v>
      </c>
      <c r="AX694" s="170">
        <f t="shared" si="93"/>
        <v>3450</v>
      </c>
      <c r="AY694" s="170"/>
      <c r="AZ694" s="64" t="s">
        <v>77</v>
      </c>
      <c r="BA694" s="64" t="s">
        <v>77</v>
      </c>
      <c r="BB694" s="15" t="s">
        <v>77</v>
      </c>
      <c r="BC694" s="74">
        <v>685</v>
      </c>
      <c r="BD694" s="70"/>
      <c r="BE694" s="67"/>
      <c r="BF694" s="71"/>
      <c r="BG694" s="15"/>
      <c r="BH694" s="72" t="s">
        <v>77</v>
      </c>
      <c r="BI694" s="72" t="s">
        <v>77</v>
      </c>
    </row>
    <row r="695" spans="1:61" s="16" customFormat="1" ht="42" customHeight="1" x14ac:dyDescent="0.3">
      <c r="A695" s="26">
        <v>686</v>
      </c>
      <c r="B695" s="62">
        <v>253037</v>
      </c>
      <c r="C695" s="62">
        <v>686</v>
      </c>
      <c r="D695" s="63">
        <v>46226</v>
      </c>
      <c r="E695" s="63">
        <f t="shared" si="99"/>
        <v>46225</v>
      </c>
      <c r="F695" s="63">
        <f t="shared" si="100"/>
        <v>46236</v>
      </c>
      <c r="G695" s="63">
        <v>46318</v>
      </c>
      <c r="H695" s="63">
        <f t="shared" ca="1" si="98"/>
        <v>46277</v>
      </c>
      <c r="I695" s="63" t="s">
        <v>321</v>
      </c>
      <c r="J695" s="64" t="s">
        <v>1488</v>
      </c>
      <c r="K695" s="65">
        <f t="shared" si="101"/>
        <v>82</v>
      </c>
      <c r="L695" s="65">
        <v>1249385</v>
      </c>
      <c r="M695" s="64" t="s">
        <v>77</v>
      </c>
      <c r="N695" s="64">
        <v>838768</v>
      </c>
      <c r="O695" s="79" t="s">
        <v>246</v>
      </c>
      <c r="P695" s="103">
        <v>46275</v>
      </c>
      <c r="Q695" s="103">
        <v>46455</v>
      </c>
      <c r="R695" s="73" t="s">
        <v>211</v>
      </c>
      <c r="S695" s="66" t="s">
        <v>874</v>
      </c>
      <c r="T695" s="67">
        <v>1</v>
      </c>
      <c r="U695" s="75" t="s">
        <v>82</v>
      </c>
      <c r="V695" s="68">
        <v>208</v>
      </c>
      <c r="W695" s="68"/>
      <c r="X695" s="69">
        <v>0</v>
      </c>
      <c r="Y695" s="68">
        <v>0</v>
      </c>
      <c r="Z695" s="68">
        <v>0</v>
      </c>
      <c r="AA695" s="68">
        <v>0</v>
      </c>
      <c r="AB695" s="68">
        <v>0</v>
      </c>
      <c r="AC695" s="68">
        <v>0</v>
      </c>
      <c r="AD695" s="68">
        <v>0</v>
      </c>
      <c r="AE695" s="68">
        <v>0</v>
      </c>
      <c r="AF695" s="68">
        <v>0</v>
      </c>
      <c r="AG695" s="68">
        <v>0</v>
      </c>
      <c r="AH695" s="68">
        <v>0</v>
      </c>
      <c r="AI695" s="68">
        <v>0</v>
      </c>
      <c r="AJ695" s="68">
        <v>0</v>
      </c>
      <c r="AK695" s="68">
        <v>0</v>
      </c>
      <c r="AL695" s="68">
        <v>0</v>
      </c>
      <c r="AM695" s="68">
        <v>0</v>
      </c>
      <c r="AN695" s="68">
        <v>1</v>
      </c>
      <c r="AO695" s="68"/>
      <c r="AP695" s="68">
        <v>1</v>
      </c>
      <c r="AQ695" s="68"/>
      <c r="AR695" s="68">
        <v>0</v>
      </c>
      <c r="AS695" s="68">
        <v>0</v>
      </c>
      <c r="AT695" s="68">
        <v>0</v>
      </c>
      <c r="AU695" s="68">
        <v>0</v>
      </c>
      <c r="AV695" s="68">
        <v>0</v>
      </c>
      <c r="AW695" s="68">
        <v>0</v>
      </c>
      <c r="AX695" s="170">
        <f t="shared" si="93"/>
        <v>13170</v>
      </c>
      <c r="AY695" s="170"/>
      <c r="AZ695" s="64" t="s">
        <v>77</v>
      </c>
      <c r="BA695" s="64" t="s">
        <v>77</v>
      </c>
      <c r="BB695" s="15" t="s">
        <v>77</v>
      </c>
      <c r="BC695" s="74">
        <v>686</v>
      </c>
      <c r="BD695" s="70"/>
      <c r="BE695" s="67"/>
      <c r="BF695" s="71"/>
      <c r="BG695" s="15"/>
      <c r="BH695" s="72" t="s">
        <v>77</v>
      </c>
      <c r="BI695" s="72" t="s">
        <v>77</v>
      </c>
    </row>
    <row r="696" spans="1:61" s="16" customFormat="1" ht="42" customHeight="1" x14ac:dyDescent="0.3">
      <c r="A696" s="26">
        <v>687</v>
      </c>
      <c r="B696" s="62">
        <v>253038</v>
      </c>
      <c r="C696" s="62">
        <v>687</v>
      </c>
      <c r="D696" s="63">
        <v>46226</v>
      </c>
      <c r="E696" s="63">
        <f t="shared" si="99"/>
        <v>46225</v>
      </c>
      <c r="F696" s="63">
        <f t="shared" si="100"/>
        <v>46236</v>
      </c>
      <c r="G696" s="63">
        <v>46318</v>
      </c>
      <c r="H696" s="63">
        <f t="shared" ca="1" si="98"/>
        <v>46277</v>
      </c>
      <c r="I696" s="63" t="s">
        <v>321</v>
      </c>
      <c r="J696" s="64" t="s">
        <v>1489</v>
      </c>
      <c r="K696" s="65">
        <f t="shared" si="101"/>
        <v>82</v>
      </c>
      <c r="L696" s="65">
        <v>1249387</v>
      </c>
      <c r="M696" s="64" t="s">
        <v>77</v>
      </c>
      <c r="N696" s="64" t="s">
        <v>77</v>
      </c>
      <c r="O696" s="64" t="s">
        <v>77</v>
      </c>
      <c r="P696" s="103" t="s">
        <v>77</v>
      </c>
      <c r="Q696" s="103" t="s">
        <v>77</v>
      </c>
      <c r="R696" s="73" t="s">
        <v>211</v>
      </c>
      <c r="S696" s="66" t="s">
        <v>1490</v>
      </c>
      <c r="T696" s="67">
        <v>1</v>
      </c>
      <c r="U696" s="75" t="s">
        <v>1451</v>
      </c>
      <c r="V696" s="68">
        <v>54</v>
      </c>
      <c r="W696" s="68"/>
      <c r="X696" s="69">
        <v>0</v>
      </c>
      <c r="Y696" s="68">
        <v>0</v>
      </c>
      <c r="Z696" s="68">
        <v>0</v>
      </c>
      <c r="AA696" s="68">
        <v>0</v>
      </c>
      <c r="AB696" s="68">
        <v>0</v>
      </c>
      <c r="AC696" s="68">
        <v>0</v>
      </c>
      <c r="AD696" s="68">
        <v>0</v>
      </c>
      <c r="AE696" s="68">
        <v>0</v>
      </c>
      <c r="AF696" s="68">
        <v>0</v>
      </c>
      <c r="AG696" s="68">
        <v>0</v>
      </c>
      <c r="AH696" s="68">
        <v>0</v>
      </c>
      <c r="AI696" s="68">
        <v>0</v>
      </c>
      <c r="AJ696" s="68">
        <v>0</v>
      </c>
      <c r="AK696" s="68">
        <v>0</v>
      </c>
      <c r="AL696" s="68">
        <v>0</v>
      </c>
      <c r="AM696" s="68">
        <v>0</v>
      </c>
      <c r="AN696" s="68">
        <v>1</v>
      </c>
      <c r="AO696" s="68"/>
      <c r="AP696" s="68">
        <v>1</v>
      </c>
      <c r="AQ696" s="68"/>
      <c r="AR696" s="68">
        <v>0</v>
      </c>
      <c r="AS696" s="68">
        <v>0</v>
      </c>
      <c r="AT696" s="68">
        <v>0</v>
      </c>
      <c r="AU696" s="68">
        <v>0</v>
      </c>
      <c r="AV696" s="68">
        <v>0</v>
      </c>
      <c r="AW696" s="68">
        <v>0</v>
      </c>
      <c r="AX696" s="170">
        <f t="shared" si="93"/>
        <v>3930</v>
      </c>
      <c r="AY696" s="170"/>
      <c r="AZ696" s="64" t="s">
        <v>77</v>
      </c>
      <c r="BA696" s="64" t="s">
        <v>77</v>
      </c>
      <c r="BB696" s="15" t="s">
        <v>77</v>
      </c>
      <c r="BC696" s="74">
        <v>687</v>
      </c>
      <c r="BD696" s="70"/>
      <c r="BE696" s="67"/>
      <c r="BF696" s="71"/>
      <c r="BG696" s="15"/>
      <c r="BH696" s="72" t="s">
        <v>77</v>
      </c>
      <c r="BI696" s="72" t="s">
        <v>77</v>
      </c>
    </row>
    <row r="697" spans="1:61" s="16" customFormat="1" ht="42" customHeight="1" x14ac:dyDescent="0.3">
      <c r="A697" s="26">
        <v>688</v>
      </c>
      <c r="B697" s="62">
        <v>253039</v>
      </c>
      <c r="C697" s="62">
        <v>688</v>
      </c>
      <c r="D697" s="63">
        <v>46226</v>
      </c>
      <c r="E697" s="63">
        <f t="shared" si="99"/>
        <v>46225</v>
      </c>
      <c r="F697" s="63">
        <f t="shared" si="100"/>
        <v>46236</v>
      </c>
      <c r="G697" s="63">
        <v>46318</v>
      </c>
      <c r="H697" s="63">
        <f t="shared" ca="1" si="98"/>
        <v>46277</v>
      </c>
      <c r="I697" s="63" t="s">
        <v>321</v>
      </c>
      <c r="J697" s="64" t="s">
        <v>1491</v>
      </c>
      <c r="K697" s="65">
        <f t="shared" si="101"/>
        <v>82</v>
      </c>
      <c r="L697" s="65">
        <v>1249389</v>
      </c>
      <c r="M697" s="64" t="s">
        <v>77</v>
      </c>
      <c r="N697" s="64">
        <v>839314</v>
      </c>
      <c r="O697" s="80" t="s">
        <v>246</v>
      </c>
      <c r="P697" s="103">
        <v>46266</v>
      </c>
      <c r="Q697" s="103" t="s">
        <v>77</v>
      </c>
      <c r="R697" s="73" t="s">
        <v>211</v>
      </c>
      <c r="S697" s="66" t="s">
        <v>1492</v>
      </c>
      <c r="T697" s="67">
        <v>1</v>
      </c>
      <c r="U697" s="75" t="s">
        <v>598</v>
      </c>
      <c r="V697" s="68">
        <v>155</v>
      </c>
      <c r="W697" s="68"/>
      <c r="X697" s="69">
        <v>0</v>
      </c>
      <c r="Y697" s="68">
        <v>0</v>
      </c>
      <c r="Z697" s="68">
        <v>0</v>
      </c>
      <c r="AA697" s="68">
        <v>0</v>
      </c>
      <c r="AB697" s="68">
        <v>0</v>
      </c>
      <c r="AC697" s="68">
        <v>0</v>
      </c>
      <c r="AD697" s="68">
        <v>0</v>
      </c>
      <c r="AE697" s="68">
        <v>0</v>
      </c>
      <c r="AF697" s="68">
        <v>0</v>
      </c>
      <c r="AG697" s="68">
        <v>0</v>
      </c>
      <c r="AH697" s="68">
        <v>0</v>
      </c>
      <c r="AI697" s="68">
        <v>0</v>
      </c>
      <c r="AJ697" s="68">
        <v>0</v>
      </c>
      <c r="AK697" s="68">
        <v>0</v>
      </c>
      <c r="AL697" s="68">
        <v>0</v>
      </c>
      <c r="AM697" s="68">
        <v>0</v>
      </c>
      <c r="AN697" s="68">
        <v>1</v>
      </c>
      <c r="AO697" s="68"/>
      <c r="AP697" s="68">
        <v>1</v>
      </c>
      <c r="AQ697" s="68"/>
      <c r="AR697" s="68">
        <v>0</v>
      </c>
      <c r="AS697" s="68">
        <v>0</v>
      </c>
      <c r="AT697" s="68">
        <v>0</v>
      </c>
      <c r="AU697" s="68">
        <v>0</v>
      </c>
      <c r="AV697" s="68">
        <v>0</v>
      </c>
      <c r="AW697" s="68">
        <v>0</v>
      </c>
      <c r="AX697" s="170">
        <f t="shared" si="93"/>
        <v>9990</v>
      </c>
      <c r="AY697" s="170"/>
      <c r="AZ697" s="64" t="s">
        <v>77</v>
      </c>
      <c r="BA697" s="64" t="s">
        <v>77</v>
      </c>
      <c r="BB697" s="15" t="s">
        <v>77</v>
      </c>
      <c r="BC697" s="74">
        <v>688</v>
      </c>
      <c r="BD697" s="70"/>
      <c r="BE697" s="67"/>
      <c r="BF697" s="71"/>
      <c r="BG697" s="15"/>
      <c r="BH697" s="72" t="s">
        <v>77</v>
      </c>
      <c r="BI697" s="72" t="s">
        <v>77</v>
      </c>
    </row>
    <row r="698" spans="1:61" s="16" customFormat="1" ht="42" customHeight="1" x14ac:dyDescent="0.3">
      <c r="A698" s="26">
        <v>689</v>
      </c>
      <c r="B698" s="163">
        <v>253141</v>
      </c>
      <c r="C698" s="163">
        <v>689</v>
      </c>
      <c r="D698" s="164">
        <v>46229</v>
      </c>
      <c r="E698" s="164">
        <f t="shared" si="99"/>
        <v>46228</v>
      </c>
      <c r="F698" s="164">
        <f t="shared" si="100"/>
        <v>46239</v>
      </c>
      <c r="G698" s="164">
        <v>46289</v>
      </c>
      <c r="H698" s="164">
        <v>46265</v>
      </c>
      <c r="I698" s="164" t="s">
        <v>123</v>
      </c>
      <c r="J698" s="165" t="s">
        <v>1496</v>
      </c>
      <c r="K698" s="166">
        <f t="shared" si="101"/>
        <v>50</v>
      </c>
      <c r="L698" s="166">
        <v>1250239</v>
      </c>
      <c r="M698" s="165" t="s">
        <v>15</v>
      </c>
      <c r="N698" s="165">
        <v>837433</v>
      </c>
      <c r="O698" s="165" t="s">
        <v>246</v>
      </c>
      <c r="P698" s="167">
        <v>46243</v>
      </c>
      <c r="Q698" s="167">
        <v>46415</v>
      </c>
      <c r="R698" s="179" t="s">
        <v>211</v>
      </c>
      <c r="S698" s="168" t="s">
        <v>1497</v>
      </c>
      <c r="T698" s="169">
        <v>1</v>
      </c>
      <c r="U698" s="180" t="s">
        <v>82</v>
      </c>
      <c r="V698" s="170">
        <v>81</v>
      </c>
      <c r="W698" s="170">
        <v>81</v>
      </c>
      <c r="X698" s="171">
        <v>32</v>
      </c>
      <c r="Y698" s="170">
        <v>32</v>
      </c>
      <c r="Z698" s="170">
        <v>0</v>
      </c>
      <c r="AA698" s="170">
        <v>0</v>
      </c>
      <c r="AB698" s="170">
        <v>81</v>
      </c>
      <c r="AC698" s="170">
        <v>81</v>
      </c>
      <c r="AD698" s="170">
        <v>0</v>
      </c>
      <c r="AE698" s="170">
        <v>0</v>
      </c>
      <c r="AF698" s="170">
        <v>0</v>
      </c>
      <c r="AG698" s="170">
        <v>0</v>
      </c>
      <c r="AH698" s="170">
        <v>1</v>
      </c>
      <c r="AI698" s="170">
        <v>1</v>
      </c>
      <c r="AJ698" s="170">
        <v>0</v>
      </c>
      <c r="AK698" s="170">
        <v>0</v>
      </c>
      <c r="AL698" s="170">
        <v>1</v>
      </c>
      <c r="AM698" s="170">
        <v>1</v>
      </c>
      <c r="AN698" s="170">
        <v>1</v>
      </c>
      <c r="AO698" s="170">
        <v>1</v>
      </c>
      <c r="AP698" s="170">
        <v>1</v>
      </c>
      <c r="AQ698" s="170">
        <v>1</v>
      </c>
      <c r="AR698" s="170">
        <v>0</v>
      </c>
      <c r="AS698" s="170">
        <v>0</v>
      </c>
      <c r="AT698" s="170">
        <v>1</v>
      </c>
      <c r="AU698" s="170">
        <v>1</v>
      </c>
      <c r="AV698" s="170">
        <v>0</v>
      </c>
      <c r="AW698" s="170">
        <v>0</v>
      </c>
      <c r="AX698" s="170">
        <f t="shared" si="93"/>
        <v>13837</v>
      </c>
      <c r="AY698" s="170">
        <f t="shared" si="93"/>
        <v>13837</v>
      </c>
      <c r="AZ698" s="165" t="s">
        <v>15</v>
      </c>
      <c r="BA698" s="165" t="s">
        <v>77</v>
      </c>
      <c r="BB698" s="162" t="s">
        <v>77</v>
      </c>
      <c r="BC698" s="181">
        <v>689</v>
      </c>
      <c r="BD698" s="173"/>
      <c r="BE698" s="169"/>
      <c r="BF698" s="174"/>
      <c r="BG698" s="178">
        <v>46257</v>
      </c>
      <c r="BH698" s="175" t="s">
        <v>77</v>
      </c>
      <c r="BI698" s="175" t="s">
        <v>77</v>
      </c>
    </row>
    <row r="699" spans="1:61" s="16" customFormat="1" ht="42" customHeight="1" x14ac:dyDescent="0.3">
      <c r="A699" s="26">
        <v>689</v>
      </c>
      <c r="B699" s="163">
        <v>253141</v>
      </c>
      <c r="C699" s="163" t="s">
        <v>1589</v>
      </c>
      <c r="D699" s="164">
        <v>46229</v>
      </c>
      <c r="E699" s="164">
        <f t="shared" si="99"/>
        <v>46228</v>
      </c>
      <c r="F699" s="164">
        <f t="shared" si="100"/>
        <v>46239</v>
      </c>
      <c r="G699" s="164">
        <v>46289</v>
      </c>
      <c r="H699" s="164">
        <v>46265</v>
      </c>
      <c r="I699" s="164" t="s">
        <v>123</v>
      </c>
      <c r="J699" s="165" t="s">
        <v>1496</v>
      </c>
      <c r="K699" s="166">
        <f t="shared" si="101"/>
        <v>50</v>
      </c>
      <c r="L699" s="166">
        <v>1250239</v>
      </c>
      <c r="M699" s="165" t="s">
        <v>15</v>
      </c>
      <c r="N699" s="165">
        <v>837433</v>
      </c>
      <c r="O699" s="165" t="s">
        <v>246</v>
      </c>
      <c r="P699" s="167">
        <v>46243</v>
      </c>
      <c r="Q699" s="167">
        <v>46415</v>
      </c>
      <c r="R699" s="179" t="s">
        <v>211</v>
      </c>
      <c r="S699" s="168" t="s">
        <v>1497</v>
      </c>
      <c r="T699" s="169">
        <v>1</v>
      </c>
      <c r="U699" s="180" t="s">
        <v>82</v>
      </c>
      <c r="V699" s="170">
        <v>7</v>
      </c>
      <c r="W699" s="170">
        <v>7</v>
      </c>
      <c r="X699" s="171">
        <v>0</v>
      </c>
      <c r="Y699" s="170">
        <v>0</v>
      </c>
      <c r="Z699" s="170">
        <v>0</v>
      </c>
      <c r="AA699" s="170">
        <v>0</v>
      </c>
      <c r="AB699" s="170">
        <v>7</v>
      </c>
      <c r="AC699" s="170">
        <v>7</v>
      </c>
      <c r="AD699" s="170">
        <v>0</v>
      </c>
      <c r="AE699" s="170">
        <v>0</v>
      </c>
      <c r="AF699" s="170">
        <v>0</v>
      </c>
      <c r="AG699" s="170">
        <v>0</v>
      </c>
      <c r="AH699" s="170">
        <v>0</v>
      </c>
      <c r="AI699" s="170">
        <v>0</v>
      </c>
      <c r="AJ699" s="170">
        <v>0</v>
      </c>
      <c r="AK699" s="170">
        <v>0</v>
      </c>
      <c r="AL699" s="170">
        <v>1</v>
      </c>
      <c r="AM699" s="170">
        <v>1</v>
      </c>
      <c r="AN699" s="170">
        <v>1</v>
      </c>
      <c r="AO699" s="170">
        <v>1</v>
      </c>
      <c r="AP699" s="170">
        <v>1</v>
      </c>
      <c r="AQ699" s="170">
        <v>1</v>
      </c>
      <c r="AR699" s="170">
        <v>0</v>
      </c>
      <c r="AS699" s="170">
        <v>0</v>
      </c>
      <c r="AT699" s="170">
        <v>0</v>
      </c>
      <c r="AU699" s="170">
        <v>0</v>
      </c>
      <c r="AV699" s="170">
        <v>0</v>
      </c>
      <c r="AW699" s="170">
        <v>0</v>
      </c>
      <c r="AX699" s="170">
        <f t="shared" si="93"/>
        <v>2099</v>
      </c>
      <c r="AY699" s="170">
        <f t="shared" si="93"/>
        <v>2099</v>
      </c>
      <c r="AZ699" s="165" t="s">
        <v>15</v>
      </c>
      <c r="BA699" s="165" t="s">
        <v>77</v>
      </c>
      <c r="BB699" s="162" t="s">
        <v>77</v>
      </c>
      <c r="BC699" s="181">
        <v>689</v>
      </c>
      <c r="BD699" s="173"/>
      <c r="BE699" s="169"/>
      <c r="BF699" s="174"/>
      <c r="BG699" s="178">
        <v>46266</v>
      </c>
      <c r="BH699" s="175" t="s">
        <v>77</v>
      </c>
      <c r="BI699" s="175" t="s">
        <v>77</v>
      </c>
    </row>
    <row r="700" spans="1:61" s="16" customFormat="1" ht="42" customHeight="1" x14ac:dyDescent="0.3">
      <c r="A700" s="26">
        <v>690</v>
      </c>
      <c r="B700" s="163">
        <v>253163</v>
      </c>
      <c r="C700" s="163">
        <v>690</v>
      </c>
      <c r="D700" s="164">
        <v>46230</v>
      </c>
      <c r="E700" s="164">
        <f t="shared" si="99"/>
        <v>46229</v>
      </c>
      <c r="F700" s="164">
        <f t="shared" si="100"/>
        <v>46240</v>
      </c>
      <c r="G700" s="164">
        <v>46290</v>
      </c>
      <c r="H700" s="164">
        <v>46251</v>
      </c>
      <c r="I700" s="164" t="s">
        <v>123</v>
      </c>
      <c r="J700" s="165" t="s">
        <v>1498</v>
      </c>
      <c r="K700" s="166">
        <f t="shared" si="101"/>
        <v>50</v>
      </c>
      <c r="L700" s="166">
        <v>1250516</v>
      </c>
      <c r="M700" s="165" t="s">
        <v>15</v>
      </c>
      <c r="N700" s="165">
        <v>837857</v>
      </c>
      <c r="O700" s="165" t="s">
        <v>246</v>
      </c>
      <c r="P700" s="167">
        <v>46240</v>
      </c>
      <c r="Q700" s="167">
        <v>46415</v>
      </c>
      <c r="R700" s="179" t="s">
        <v>211</v>
      </c>
      <c r="S700" s="168" t="s">
        <v>1499</v>
      </c>
      <c r="T700" s="169">
        <v>1</v>
      </c>
      <c r="U700" s="180" t="s">
        <v>82</v>
      </c>
      <c r="V700" s="170">
        <v>177</v>
      </c>
      <c r="W700" s="170">
        <v>177</v>
      </c>
      <c r="X700" s="171">
        <v>0</v>
      </c>
      <c r="Y700" s="170">
        <v>0</v>
      </c>
      <c r="Z700" s="170">
        <v>0</v>
      </c>
      <c r="AA700" s="170">
        <v>0</v>
      </c>
      <c r="AB700" s="170">
        <v>0</v>
      </c>
      <c r="AC700" s="170">
        <v>0</v>
      </c>
      <c r="AD700" s="170">
        <v>0</v>
      </c>
      <c r="AE700" s="170">
        <v>0</v>
      </c>
      <c r="AF700" s="170">
        <v>0</v>
      </c>
      <c r="AG700" s="170">
        <v>0</v>
      </c>
      <c r="AH700" s="170">
        <v>1</v>
      </c>
      <c r="AI700" s="170">
        <v>1</v>
      </c>
      <c r="AJ700" s="170">
        <v>0</v>
      </c>
      <c r="AK700" s="170">
        <v>0</v>
      </c>
      <c r="AL700" s="170">
        <v>2</v>
      </c>
      <c r="AM700" s="170">
        <v>2</v>
      </c>
      <c r="AN700" s="170">
        <v>1</v>
      </c>
      <c r="AO700" s="170">
        <v>1</v>
      </c>
      <c r="AP700" s="170">
        <v>1</v>
      </c>
      <c r="AQ700" s="170">
        <v>1</v>
      </c>
      <c r="AR700" s="170">
        <v>0</v>
      </c>
      <c r="AS700" s="170">
        <v>0</v>
      </c>
      <c r="AT700" s="170">
        <v>1</v>
      </c>
      <c r="AU700" s="170">
        <v>1</v>
      </c>
      <c r="AV700" s="170">
        <v>0</v>
      </c>
      <c r="AW700" s="170">
        <v>0</v>
      </c>
      <c r="AX700" s="170">
        <f t="shared" si="93"/>
        <v>13010</v>
      </c>
      <c r="AY700" s="170">
        <f>(W700*60)+(Y700*80)+(AA700*38)+(AC700*57)+(AE700*75)+(AG700*155)+(AI700*170)+(AK700*375)+(AM700*590)+(AO700*60)+(AQ700*630)+(AS700*400)+(AU700*350)+(AW700*950)</f>
        <v>13010</v>
      </c>
      <c r="AZ700" s="165" t="s">
        <v>15</v>
      </c>
      <c r="BA700" s="165" t="s">
        <v>77</v>
      </c>
      <c r="BB700" s="162" t="s">
        <v>77</v>
      </c>
      <c r="BC700" s="181">
        <v>690</v>
      </c>
      <c r="BD700" s="173"/>
      <c r="BE700" s="169"/>
      <c r="BF700" s="174"/>
      <c r="BG700" s="178">
        <v>46247</v>
      </c>
      <c r="BH700" s="175" t="s">
        <v>77</v>
      </c>
      <c r="BI700" s="175" t="s">
        <v>77</v>
      </c>
    </row>
    <row r="701" spans="1:61" s="16" customFormat="1" ht="42" customHeight="1" x14ac:dyDescent="0.3">
      <c r="A701" s="26">
        <v>691</v>
      </c>
      <c r="B701" s="163">
        <v>253220</v>
      </c>
      <c r="C701" s="163">
        <v>691</v>
      </c>
      <c r="D701" s="164">
        <v>46231</v>
      </c>
      <c r="E701" s="164">
        <f t="shared" si="99"/>
        <v>46230</v>
      </c>
      <c r="F701" s="164">
        <f t="shared" si="100"/>
        <v>46241</v>
      </c>
      <c r="G701" s="164">
        <v>46291</v>
      </c>
      <c r="H701" s="164">
        <v>46253</v>
      </c>
      <c r="I701" s="164" t="s">
        <v>123</v>
      </c>
      <c r="J701" s="165" t="s">
        <v>1500</v>
      </c>
      <c r="K701" s="166">
        <f t="shared" si="101"/>
        <v>50</v>
      </c>
      <c r="L701" s="166">
        <v>1250951</v>
      </c>
      <c r="M701" s="165" t="s">
        <v>15</v>
      </c>
      <c r="N701" s="165">
        <v>838251</v>
      </c>
      <c r="O701" s="165" t="s">
        <v>246</v>
      </c>
      <c r="P701" s="167">
        <v>46242</v>
      </c>
      <c r="Q701" s="167">
        <v>46305</v>
      </c>
      <c r="R701" s="179" t="s">
        <v>211</v>
      </c>
      <c r="S701" s="168" t="s">
        <v>1502</v>
      </c>
      <c r="T701" s="169">
        <v>1</v>
      </c>
      <c r="U701" s="180" t="s">
        <v>82</v>
      </c>
      <c r="V701" s="170">
        <v>43</v>
      </c>
      <c r="W701" s="170">
        <v>43</v>
      </c>
      <c r="X701" s="171">
        <v>0</v>
      </c>
      <c r="Y701" s="170">
        <v>0</v>
      </c>
      <c r="Z701" s="170">
        <v>0</v>
      </c>
      <c r="AA701" s="170">
        <v>0</v>
      </c>
      <c r="AB701" s="170">
        <v>13</v>
      </c>
      <c r="AC701" s="170">
        <v>13</v>
      </c>
      <c r="AD701" s="170">
        <v>0</v>
      </c>
      <c r="AE701" s="170">
        <v>0</v>
      </c>
      <c r="AF701" s="170">
        <v>29</v>
      </c>
      <c r="AG701" s="170">
        <v>29</v>
      </c>
      <c r="AH701" s="170">
        <v>1</v>
      </c>
      <c r="AI701" s="170">
        <v>1</v>
      </c>
      <c r="AJ701" s="170">
        <v>0</v>
      </c>
      <c r="AK701" s="170">
        <v>0</v>
      </c>
      <c r="AL701" s="170">
        <v>2</v>
      </c>
      <c r="AM701" s="170">
        <v>2</v>
      </c>
      <c r="AN701" s="170">
        <v>2</v>
      </c>
      <c r="AO701" s="170">
        <v>2</v>
      </c>
      <c r="AP701" s="170">
        <v>2</v>
      </c>
      <c r="AQ701" s="170">
        <v>2</v>
      </c>
      <c r="AR701" s="170">
        <v>0</v>
      </c>
      <c r="AS701" s="170">
        <v>0</v>
      </c>
      <c r="AT701" s="170">
        <v>1</v>
      </c>
      <c r="AU701" s="170">
        <v>1</v>
      </c>
      <c r="AV701" s="170">
        <v>0</v>
      </c>
      <c r="AW701" s="170">
        <v>0</v>
      </c>
      <c r="AX701" s="170">
        <f t="shared" si="93"/>
        <v>10896</v>
      </c>
      <c r="AY701" s="170">
        <f t="shared" si="93"/>
        <v>10896</v>
      </c>
      <c r="AZ701" s="165" t="s">
        <v>15</v>
      </c>
      <c r="BA701" s="165" t="s">
        <v>77</v>
      </c>
      <c r="BB701" s="162" t="s">
        <v>77</v>
      </c>
      <c r="BC701" s="181">
        <v>691</v>
      </c>
      <c r="BD701" s="173"/>
      <c r="BE701" s="169"/>
      <c r="BF701" s="174"/>
      <c r="BG701" s="178">
        <v>46257</v>
      </c>
      <c r="BH701" s="175" t="s">
        <v>77</v>
      </c>
      <c r="BI701" s="175" t="s">
        <v>77</v>
      </c>
    </row>
    <row r="702" spans="1:61" s="16" customFormat="1" ht="42" customHeight="1" x14ac:dyDescent="0.3">
      <c r="A702" s="26">
        <v>691</v>
      </c>
      <c r="B702" s="163">
        <v>253220</v>
      </c>
      <c r="C702" s="163" t="s">
        <v>1588</v>
      </c>
      <c r="D702" s="164">
        <v>46231</v>
      </c>
      <c r="E702" s="164">
        <f t="shared" si="99"/>
        <v>46230</v>
      </c>
      <c r="F702" s="164">
        <f t="shared" si="100"/>
        <v>46241</v>
      </c>
      <c r="G702" s="164">
        <v>46291</v>
      </c>
      <c r="H702" s="164">
        <v>46253</v>
      </c>
      <c r="I702" s="164" t="s">
        <v>123</v>
      </c>
      <c r="J702" s="165" t="s">
        <v>1500</v>
      </c>
      <c r="K702" s="166">
        <f t="shared" si="101"/>
        <v>50</v>
      </c>
      <c r="L702" s="166">
        <v>1250951</v>
      </c>
      <c r="M702" s="165" t="s">
        <v>15</v>
      </c>
      <c r="N702" s="165">
        <v>838251</v>
      </c>
      <c r="O702" s="165" t="s">
        <v>246</v>
      </c>
      <c r="P702" s="167">
        <v>46242</v>
      </c>
      <c r="Q702" s="167">
        <v>46305</v>
      </c>
      <c r="R702" s="179" t="s">
        <v>211</v>
      </c>
      <c r="S702" s="168" t="s">
        <v>1502</v>
      </c>
      <c r="T702" s="169">
        <v>1</v>
      </c>
      <c r="U702" s="180" t="s">
        <v>82</v>
      </c>
      <c r="V702" s="170">
        <v>77</v>
      </c>
      <c r="W702" s="170">
        <v>77</v>
      </c>
      <c r="X702" s="171">
        <v>0</v>
      </c>
      <c r="Y702" s="170">
        <v>0</v>
      </c>
      <c r="Z702" s="170">
        <v>0</v>
      </c>
      <c r="AA702" s="170">
        <v>0</v>
      </c>
      <c r="AB702" s="170">
        <v>17</v>
      </c>
      <c r="AC702" s="170">
        <v>17</v>
      </c>
      <c r="AD702" s="170">
        <v>0</v>
      </c>
      <c r="AE702" s="170">
        <v>0</v>
      </c>
      <c r="AF702" s="170">
        <v>156</v>
      </c>
      <c r="AG702" s="170">
        <v>156</v>
      </c>
      <c r="AH702" s="170">
        <v>0</v>
      </c>
      <c r="AI702" s="170">
        <v>0</v>
      </c>
      <c r="AJ702" s="170">
        <v>0</v>
      </c>
      <c r="AK702" s="170">
        <v>0</v>
      </c>
      <c r="AL702" s="170">
        <v>0</v>
      </c>
      <c r="AM702" s="170">
        <v>0</v>
      </c>
      <c r="AN702" s="170">
        <v>2</v>
      </c>
      <c r="AO702" s="170">
        <v>2</v>
      </c>
      <c r="AP702" s="170">
        <v>2</v>
      </c>
      <c r="AQ702" s="170">
        <v>2</v>
      </c>
      <c r="AR702" s="170">
        <v>0</v>
      </c>
      <c r="AS702" s="170">
        <v>0</v>
      </c>
      <c r="AT702" s="170">
        <v>0</v>
      </c>
      <c r="AU702" s="170">
        <v>0</v>
      </c>
      <c r="AV702" s="170">
        <v>0</v>
      </c>
      <c r="AW702" s="170">
        <v>0</v>
      </c>
      <c r="AX702" s="170">
        <f t="shared" si="93"/>
        <v>31149</v>
      </c>
      <c r="AY702" s="170">
        <f t="shared" si="93"/>
        <v>31149</v>
      </c>
      <c r="AZ702" s="165" t="s">
        <v>15</v>
      </c>
      <c r="BA702" s="165" t="s">
        <v>77</v>
      </c>
      <c r="BB702" s="162" t="s">
        <v>77</v>
      </c>
      <c r="BC702" s="181">
        <v>691</v>
      </c>
      <c r="BD702" s="173"/>
      <c r="BE702" s="169"/>
      <c r="BF702" s="174"/>
      <c r="BG702" s="178">
        <v>46272</v>
      </c>
      <c r="BH702" s="175" t="s">
        <v>77</v>
      </c>
      <c r="BI702" s="175" t="s">
        <v>77</v>
      </c>
    </row>
    <row r="703" spans="1:61" s="16" customFormat="1" ht="42" customHeight="1" x14ac:dyDescent="0.3">
      <c r="A703" s="26">
        <v>692</v>
      </c>
      <c r="B703" s="62">
        <v>253216</v>
      </c>
      <c r="C703" s="62">
        <v>692</v>
      </c>
      <c r="D703" s="63">
        <v>46230</v>
      </c>
      <c r="E703" s="63">
        <f t="shared" si="99"/>
        <v>46229</v>
      </c>
      <c r="F703" s="63">
        <f t="shared" si="100"/>
        <v>46240</v>
      </c>
      <c r="G703" s="63">
        <v>46322</v>
      </c>
      <c r="H703" s="63">
        <f ca="1">TODAY()</f>
        <v>46277</v>
      </c>
      <c r="I703" s="63" t="s">
        <v>321</v>
      </c>
      <c r="J703" s="64" t="s">
        <v>1501</v>
      </c>
      <c r="K703" s="65">
        <f t="shared" si="101"/>
        <v>82</v>
      </c>
      <c r="L703" s="65">
        <v>1250732</v>
      </c>
      <c r="M703" s="64" t="s">
        <v>77</v>
      </c>
      <c r="N703" s="64" t="s">
        <v>77</v>
      </c>
      <c r="O703" s="64" t="s">
        <v>77</v>
      </c>
      <c r="P703" s="103" t="s">
        <v>77</v>
      </c>
      <c r="Q703" s="103" t="s">
        <v>77</v>
      </c>
      <c r="R703" s="73" t="s">
        <v>211</v>
      </c>
      <c r="S703" s="66" t="s">
        <v>1503</v>
      </c>
      <c r="T703" s="67">
        <v>1</v>
      </c>
      <c r="U703" s="75" t="s">
        <v>81</v>
      </c>
      <c r="V703" s="68">
        <v>31</v>
      </c>
      <c r="W703" s="68"/>
      <c r="X703" s="69">
        <v>0</v>
      </c>
      <c r="Y703" s="68">
        <v>0</v>
      </c>
      <c r="Z703" s="68">
        <v>0</v>
      </c>
      <c r="AA703" s="68">
        <v>0</v>
      </c>
      <c r="AB703" s="68">
        <v>0</v>
      </c>
      <c r="AC703" s="68">
        <v>0</v>
      </c>
      <c r="AD703" s="68">
        <v>0</v>
      </c>
      <c r="AE703" s="68">
        <v>0</v>
      </c>
      <c r="AF703" s="68">
        <v>0</v>
      </c>
      <c r="AG703" s="68">
        <v>0</v>
      </c>
      <c r="AH703" s="68">
        <v>0</v>
      </c>
      <c r="AI703" s="68">
        <v>0</v>
      </c>
      <c r="AJ703" s="68">
        <v>0</v>
      </c>
      <c r="AK703" s="68">
        <v>0</v>
      </c>
      <c r="AL703" s="68">
        <v>1</v>
      </c>
      <c r="AM703" s="68"/>
      <c r="AN703" s="68">
        <v>1</v>
      </c>
      <c r="AO703" s="68"/>
      <c r="AP703" s="68">
        <v>1</v>
      </c>
      <c r="AQ703" s="68"/>
      <c r="AR703" s="68">
        <v>0</v>
      </c>
      <c r="AS703" s="68">
        <v>0</v>
      </c>
      <c r="AT703" s="68">
        <v>0</v>
      </c>
      <c r="AU703" s="68">
        <v>0</v>
      </c>
      <c r="AV703" s="68">
        <v>0</v>
      </c>
      <c r="AW703" s="68">
        <v>0</v>
      </c>
      <c r="AX703" s="170">
        <f t="shared" si="93"/>
        <v>3140</v>
      </c>
      <c r="AY703" s="170"/>
      <c r="AZ703" s="64" t="s">
        <v>77</v>
      </c>
      <c r="BA703" s="64" t="s">
        <v>77</v>
      </c>
      <c r="BB703" s="15" t="s">
        <v>77</v>
      </c>
      <c r="BC703" s="74">
        <v>692</v>
      </c>
      <c r="BD703" s="70"/>
      <c r="BE703" s="67"/>
      <c r="BF703" s="71"/>
      <c r="BG703" s="15"/>
      <c r="BH703" s="72" t="s">
        <v>77</v>
      </c>
      <c r="BI703" s="72" t="s">
        <v>77</v>
      </c>
    </row>
    <row r="704" spans="1:61" s="16" customFormat="1" ht="42" customHeight="1" x14ac:dyDescent="0.3">
      <c r="A704" s="26">
        <v>693</v>
      </c>
      <c r="B704" s="62">
        <v>253217</v>
      </c>
      <c r="C704" s="62">
        <v>693</v>
      </c>
      <c r="D704" s="63">
        <v>46230</v>
      </c>
      <c r="E704" s="63">
        <f t="shared" si="99"/>
        <v>46229</v>
      </c>
      <c r="F704" s="63">
        <f t="shared" si="100"/>
        <v>46240</v>
      </c>
      <c r="G704" s="63">
        <v>46322</v>
      </c>
      <c r="H704" s="63">
        <f ca="1">TODAY()</f>
        <v>46277</v>
      </c>
      <c r="I704" s="63" t="s">
        <v>321</v>
      </c>
      <c r="J704" s="64" t="s">
        <v>1504</v>
      </c>
      <c r="K704" s="65">
        <f t="shared" si="101"/>
        <v>82</v>
      </c>
      <c r="L704" s="65">
        <v>1250733</v>
      </c>
      <c r="M704" s="64" t="s">
        <v>77</v>
      </c>
      <c r="N704" s="64" t="s">
        <v>77</v>
      </c>
      <c r="O704" s="64" t="s">
        <v>77</v>
      </c>
      <c r="P704" s="103" t="s">
        <v>77</v>
      </c>
      <c r="Q704" s="103" t="s">
        <v>77</v>
      </c>
      <c r="R704" s="73" t="s">
        <v>211</v>
      </c>
      <c r="S704" s="66" t="s">
        <v>1505</v>
      </c>
      <c r="T704" s="67">
        <v>1</v>
      </c>
      <c r="U704" s="75" t="s">
        <v>840</v>
      </c>
      <c r="V704" s="68">
        <v>233</v>
      </c>
      <c r="W704" s="68"/>
      <c r="X704" s="69">
        <v>0</v>
      </c>
      <c r="Y704" s="68">
        <v>0</v>
      </c>
      <c r="Z704" s="68">
        <v>0</v>
      </c>
      <c r="AA704" s="68">
        <v>0</v>
      </c>
      <c r="AB704" s="68">
        <v>0</v>
      </c>
      <c r="AC704" s="68">
        <v>0</v>
      </c>
      <c r="AD704" s="68">
        <v>0</v>
      </c>
      <c r="AE704" s="68">
        <v>0</v>
      </c>
      <c r="AF704" s="68">
        <v>0</v>
      </c>
      <c r="AG704" s="68">
        <v>0</v>
      </c>
      <c r="AH704" s="68">
        <v>0</v>
      </c>
      <c r="AI704" s="68">
        <v>0</v>
      </c>
      <c r="AJ704" s="68">
        <v>0</v>
      </c>
      <c r="AK704" s="68">
        <v>0</v>
      </c>
      <c r="AL704" s="68">
        <v>0</v>
      </c>
      <c r="AM704" s="68">
        <v>0</v>
      </c>
      <c r="AN704" s="68">
        <v>1</v>
      </c>
      <c r="AO704" s="68"/>
      <c r="AP704" s="68">
        <v>1</v>
      </c>
      <c r="AQ704" s="68"/>
      <c r="AR704" s="68">
        <v>0</v>
      </c>
      <c r="AS704" s="68">
        <v>0</v>
      </c>
      <c r="AT704" s="68">
        <v>0</v>
      </c>
      <c r="AU704" s="68">
        <v>0</v>
      </c>
      <c r="AV704" s="68">
        <v>0</v>
      </c>
      <c r="AW704" s="68">
        <v>0</v>
      </c>
      <c r="AX704" s="170">
        <f t="shared" ref="AX704:AY735" si="102">(V704*60)+(X704*80)+(Z704*38)+(AB704*57)+(AD704*75)+(AF704*155)+(AH704*170)+(AJ704*375)+(AL704*590)+(AN704*60)+(AP704*630)+(AR704*400)+(AT704*350)+(AV704*950)</f>
        <v>14670</v>
      </c>
      <c r="AY704" s="170"/>
      <c r="AZ704" s="64" t="s">
        <v>77</v>
      </c>
      <c r="BA704" s="64" t="s">
        <v>77</v>
      </c>
      <c r="BB704" s="15" t="s">
        <v>77</v>
      </c>
      <c r="BC704" s="74">
        <v>693</v>
      </c>
      <c r="BD704" s="70"/>
      <c r="BE704" s="67"/>
      <c r="BF704" s="71"/>
      <c r="BG704" s="15"/>
      <c r="BH704" s="72" t="s">
        <v>77</v>
      </c>
      <c r="BI704" s="72" t="s">
        <v>77</v>
      </c>
    </row>
    <row r="705" spans="1:61" s="16" customFormat="1" ht="42" customHeight="1" x14ac:dyDescent="0.3">
      <c r="A705" s="26">
        <v>694</v>
      </c>
      <c r="B705" s="62">
        <v>253288</v>
      </c>
      <c r="C705" s="62">
        <v>694</v>
      </c>
      <c r="D705" s="63">
        <v>46231</v>
      </c>
      <c r="E705" s="63">
        <f t="shared" si="99"/>
        <v>46230</v>
      </c>
      <c r="F705" s="63">
        <f t="shared" si="100"/>
        <v>46241</v>
      </c>
      <c r="G705" s="63">
        <v>46323</v>
      </c>
      <c r="H705" s="63">
        <f ca="1">TODAY()</f>
        <v>46277</v>
      </c>
      <c r="I705" s="63" t="s">
        <v>321</v>
      </c>
      <c r="J705" s="64" t="s">
        <v>1506</v>
      </c>
      <c r="K705" s="65">
        <f t="shared" si="101"/>
        <v>82</v>
      </c>
      <c r="L705" s="65">
        <v>1251167</v>
      </c>
      <c r="M705" s="64" t="s">
        <v>77</v>
      </c>
      <c r="N705" s="64" t="s">
        <v>77</v>
      </c>
      <c r="O705" s="64" t="s">
        <v>77</v>
      </c>
      <c r="P705" s="103" t="s">
        <v>77</v>
      </c>
      <c r="Q705" s="103" t="s">
        <v>77</v>
      </c>
      <c r="R705" s="73" t="s">
        <v>211</v>
      </c>
      <c r="S705" s="66" t="s">
        <v>1507</v>
      </c>
      <c r="T705" s="67">
        <v>1</v>
      </c>
      <c r="U705" s="75" t="s">
        <v>81</v>
      </c>
      <c r="V705" s="68">
        <v>40</v>
      </c>
      <c r="W705" s="68"/>
      <c r="X705" s="69">
        <v>0</v>
      </c>
      <c r="Y705" s="68">
        <v>0</v>
      </c>
      <c r="Z705" s="68">
        <v>0</v>
      </c>
      <c r="AA705" s="68">
        <v>0</v>
      </c>
      <c r="AB705" s="68">
        <v>0</v>
      </c>
      <c r="AC705" s="68">
        <v>0</v>
      </c>
      <c r="AD705" s="68">
        <v>0</v>
      </c>
      <c r="AE705" s="68">
        <v>0</v>
      </c>
      <c r="AF705" s="68">
        <v>0</v>
      </c>
      <c r="AG705" s="68">
        <v>0</v>
      </c>
      <c r="AH705" s="68">
        <v>0</v>
      </c>
      <c r="AI705" s="68">
        <v>0</v>
      </c>
      <c r="AJ705" s="68">
        <v>0</v>
      </c>
      <c r="AK705" s="68">
        <v>0</v>
      </c>
      <c r="AL705" s="68">
        <v>1</v>
      </c>
      <c r="AM705" s="68"/>
      <c r="AN705" s="68">
        <v>1</v>
      </c>
      <c r="AO705" s="68"/>
      <c r="AP705" s="68">
        <v>0</v>
      </c>
      <c r="AQ705" s="68">
        <v>0</v>
      </c>
      <c r="AR705" s="68">
        <v>0</v>
      </c>
      <c r="AS705" s="68">
        <v>0</v>
      </c>
      <c r="AT705" s="68">
        <v>0</v>
      </c>
      <c r="AU705" s="68">
        <v>0</v>
      </c>
      <c r="AV705" s="68">
        <v>0</v>
      </c>
      <c r="AW705" s="68">
        <v>0</v>
      </c>
      <c r="AX705" s="170">
        <f t="shared" si="102"/>
        <v>3050</v>
      </c>
      <c r="AY705" s="170"/>
      <c r="AZ705" s="64" t="s">
        <v>77</v>
      </c>
      <c r="BA705" s="64" t="s">
        <v>77</v>
      </c>
      <c r="BB705" s="15" t="s">
        <v>77</v>
      </c>
      <c r="BC705" s="74">
        <v>694</v>
      </c>
      <c r="BD705" s="70"/>
      <c r="BE705" s="67"/>
      <c r="BF705" s="71"/>
      <c r="BG705" s="15"/>
      <c r="BH705" s="72" t="s">
        <v>77</v>
      </c>
      <c r="BI705" s="72" t="s">
        <v>77</v>
      </c>
    </row>
    <row r="706" spans="1:61" s="16" customFormat="1" ht="42" customHeight="1" x14ac:dyDescent="0.3">
      <c r="A706" s="26">
        <v>695</v>
      </c>
      <c r="B706" s="163">
        <v>253289</v>
      </c>
      <c r="C706" s="163">
        <v>695</v>
      </c>
      <c r="D706" s="164">
        <v>46231</v>
      </c>
      <c r="E706" s="164">
        <f t="shared" si="99"/>
        <v>46230</v>
      </c>
      <c r="F706" s="164">
        <f t="shared" si="100"/>
        <v>46241</v>
      </c>
      <c r="G706" s="164">
        <v>46291</v>
      </c>
      <c r="H706" s="164">
        <v>46247</v>
      </c>
      <c r="I706" s="164" t="s">
        <v>123</v>
      </c>
      <c r="J706" s="165" t="s">
        <v>1508</v>
      </c>
      <c r="K706" s="166">
        <f t="shared" si="101"/>
        <v>50</v>
      </c>
      <c r="L706" s="166">
        <v>1251219</v>
      </c>
      <c r="M706" s="165" t="s">
        <v>15</v>
      </c>
      <c r="N706" s="165">
        <v>838447</v>
      </c>
      <c r="O706" s="165" t="s">
        <v>246</v>
      </c>
      <c r="P706" s="167">
        <v>46238</v>
      </c>
      <c r="Q706" s="167">
        <v>46253</v>
      </c>
      <c r="R706" s="179" t="s">
        <v>211</v>
      </c>
      <c r="S706" s="168" t="s">
        <v>1509</v>
      </c>
      <c r="T706" s="169">
        <v>2</v>
      </c>
      <c r="U706" s="180" t="s">
        <v>87</v>
      </c>
      <c r="V706" s="170">
        <v>94</v>
      </c>
      <c r="W706" s="170">
        <v>94</v>
      </c>
      <c r="X706" s="171">
        <v>0</v>
      </c>
      <c r="Y706" s="170">
        <v>0</v>
      </c>
      <c r="Z706" s="170">
        <v>0</v>
      </c>
      <c r="AA706" s="170">
        <v>0</v>
      </c>
      <c r="AB706" s="170">
        <v>94</v>
      </c>
      <c r="AC706" s="170">
        <v>94</v>
      </c>
      <c r="AD706" s="170">
        <v>0</v>
      </c>
      <c r="AE706" s="170">
        <v>0</v>
      </c>
      <c r="AF706" s="170">
        <v>0</v>
      </c>
      <c r="AG706" s="170">
        <v>0</v>
      </c>
      <c r="AH706" s="170">
        <v>1</v>
      </c>
      <c r="AI706" s="170">
        <v>1</v>
      </c>
      <c r="AJ706" s="170">
        <v>0</v>
      </c>
      <c r="AK706" s="170">
        <v>0</v>
      </c>
      <c r="AL706" s="170">
        <v>2</v>
      </c>
      <c r="AM706" s="170">
        <v>2</v>
      </c>
      <c r="AN706" s="170">
        <v>3</v>
      </c>
      <c r="AO706" s="170">
        <v>3</v>
      </c>
      <c r="AP706" s="170">
        <v>2</v>
      </c>
      <c r="AQ706" s="170">
        <v>2</v>
      </c>
      <c r="AR706" s="170">
        <v>0</v>
      </c>
      <c r="AS706" s="170">
        <v>0</v>
      </c>
      <c r="AT706" s="170">
        <v>1</v>
      </c>
      <c r="AU706" s="170">
        <v>1</v>
      </c>
      <c r="AV706" s="170">
        <v>0</v>
      </c>
      <c r="AW706" s="170">
        <v>0</v>
      </c>
      <c r="AX706" s="170">
        <f t="shared" si="102"/>
        <v>14138</v>
      </c>
      <c r="AY706" s="170">
        <f>(W706*60)+(Y706*80)+(AA706*38)+(AC706*57)+(AE706*75)+(AG706*155)+(AI706*170)+(AK706*375)+(AM706*590)+(AO706*60)+(AQ706*630)+(AS706*400)+(AU706*350)+(AW706*950)</f>
        <v>14138</v>
      </c>
      <c r="AZ706" s="165" t="s">
        <v>15</v>
      </c>
      <c r="BA706" s="165" t="s">
        <v>77</v>
      </c>
      <c r="BB706" s="162" t="s">
        <v>77</v>
      </c>
      <c r="BC706" s="181">
        <v>695</v>
      </c>
      <c r="BD706" s="173"/>
      <c r="BE706" s="169"/>
      <c r="BF706" s="174"/>
      <c r="BG706" s="178">
        <v>46240</v>
      </c>
      <c r="BH706" s="175" t="s">
        <v>77</v>
      </c>
      <c r="BI706" s="175" t="s">
        <v>77</v>
      </c>
    </row>
    <row r="707" spans="1:61" s="16" customFormat="1" ht="42" customHeight="1" x14ac:dyDescent="0.3">
      <c r="A707" s="26">
        <v>696</v>
      </c>
      <c r="B707" s="62">
        <v>253378</v>
      </c>
      <c r="C707" s="62">
        <v>696</v>
      </c>
      <c r="D707" s="63">
        <v>46232</v>
      </c>
      <c r="E707" s="63">
        <f t="shared" si="99"/>
        <v>46231</v>
      </c>
      <c r="F707" s="63">
        <f t="shared" si="100"/>
        <v>46242</v>
      </c>
      <c r="G707" s="63">
        <v>46324</v>
      </c>
      <c r="H707" s="63">
        <f t="shared" ref="H707:H735" ca="1" si="103">TODAY()</f>
        <v>46277</v>
      </c>
      <c r="I707" s="63" t="s">
        <v>321</v>
      </c>
      <c r="J707" s="64" t="s">
        <v>1511</v>
      </c>
      <c r="K707" s="65">
        <f t="shared" si="101"/>
        <v>82</v>
      </c>
      <c r="L707" s="65">
        <v>1251661</v>
      </c>
      <c r="M707" s="64" t="s">
        <v>77</v>
      </c>
      <c r="N707" s="64">
        <v>843432</v>
      </c>
      <c r="O707" s="64" t="s">
        <v>1335</v>
      </c>
      <c r="P707" s="103" t="s">
        <v>77</v>
      </c>
      <c r="Q707" s="103" t="s">
        <v>77</v>
      </c>
      <c r="R707" s="73" t="s">
        <v>211</v>
      </c>
      <c r="S707" s="66" t="s">
        <v>1512</v>
      </c>
      <c r="T707" s="67">
        <v>1</v>
      </c>
      <c r="U707" s="75" t="s">
        <v>82</v>
      </c>
      <c r="V707" s="68">
        <v>68</v>
      </c>
      <c r="W707" s="68"/>
      <c r="X707" s="69">
        <v>0</v>
      </c>
      <c r="Y707" s="68">
        <v>0</v>
      </c>
      <c r="Z707" s="68">
        <v>0</v>
      </c>
      <c r="AA707" s="68">
        <v>0</v>
      </c>
      <c r="AB707" s="68">
        <v>0</v>
      </c>
      <c r="AC707" s="68">
        <v>0</v>
      </c>
      <c r="AD707" s="68">
        <v>0</v>
      </c>
      <c r="AE707" s="68">
        <v>0</v>
      </c>
      <c r="AF707" s="68">
        <v>0</v>
      </c>
      <c r="AG707" s="68">
        <v>0</v>
      </c>
      <c r="AH707" s="68">
        <v>0</v>
      </c>
      <c r="AI707" s="68">
        <v>0</v>
      </c>
      <c r="AJ707" s="68">
        <v>0</v>
      </c>
      <c r="AK707" s="68">
        <v>0</v>
      </c>
      <c r="AL707" s="68">
        <v>0</v>
      </c>
      <c r="AM707" s="68">
        <v>0</v>
      </c>
      <c r="AN707" s="68">
        <v>1</v>
      </c>
      <c r="AO707" s="68"/>
      <c r="AP707" s="68">
        <v>0</v>
      </c>
      <c r="AQ707" s="68">
        <v>0</v>
      </c>
      <c r="AR707" s="68">
        <v>0</v>
      </c>
      <c r="AS707" s="68">
        <v>0</v>
      </c>
      <c r="AT707" s="68">
        <v>0</v>
      </c>
      <c r="AU707" s="68">
        <v>0</v>
      </c>
      <c r="AV707" s="68">
        <v>0</v>
      </c>
      <c r="AW707" s="68">
        <v>0</v>
      </c>
      <c r="AX707" s="170">
        <f t="shared" si="102"/>
        <v>4140</v>
      </c>
      <c r="AY707" s="170"/>
      <c r="AZ707" s="64" t="s">
        <v>77</v>
      </c>
      <c r="BA707" s="64" t="s">
        <v>77</v>
      </c>
      <c r="BB707" s="15" t="s">
        <v>77</v>
      </c>
      <c r="BC707" s="74">
        <v>696</v>
      </c>
      <c r="BD707" s="70"/>
      <c r="BE707" s="67"/>
      <c r="BF707" s="71"/>
      <c r="BG707" s="15"/>
      <c r="BH707" s="72" t="s">
        <v>77</v>
      </c>
      <c r="BI707" s="72" t="s">
        <v>77</v>
      </c>
    </row>
    <row r="708" spans="1:61" s="16" customFormat="1" ht="42" customHeight="1" x14ac:dyDescent="0.3">
      <c r="A708" s="26">
        <v>697</v>
      </c>
      <c r="B708" s="62">
        <v>253743</v>
      </c>
      <c r="C708" s="62">
        <v>697</v>
      </c>
      <c r="D708" s="63">
        <v>46240</v>
      </c>
      <c r="E708" s="63">
        <f t="shared" si="99"/>
        <v>46239</v>
      </c>
      <c r="F708" s="63">
        <f t="shared" si="100"/>
        <v>46250</v>
      </c>
      <c r="G708" s="63">
        <v>46332</v>
      </c>
      <c r="H708" s="63">
        <f t="shared" ca="1" si="103"/>
        <v>46277</v>
      </c>
      <c r="I708" s="63" t="s">
        <v>321</v>
      </c>
      <c r="J708" s="64" t="s">
        <v>1514</v>
      </c>
      <c r="K708" s="65">
        <f t="shared" si="101"/>
        <v>82</v>
      </c>
      <c r="L708" s="65">
        <v>1253940</v>
      </c>
      <c r="M708" s="64" t="s">
        <v>77</v>
      </c>
      <c r="N708" s="64" t="s">
        <v>77</v>
      </c>
      <c r="O708" s="64" t="s">
        <v>77</v>
      </c>
      <c r="P708" s="103" t="s">
        <v>77</v>
      </c>
      <c r="Q708" s="103" t="s">
        <v>77</v>
      </c>
      <c r="R708" s="73" t="s">
        <v>211</v>
      </c>
      <c r="S708" s="66" t="s">
        <v>915</v>
      </c>
      <c r="T708" s="67">
        <v>1</v>
      </c>
      <c r="U708" s="75" t="s">
        <v>81</v>
      </c>
      <c r="V708" s="68">
        <v>45</v>
      </c>
      <c r="W708" s="68"/>
      <c r="X708" s="69">
        <v>0</v>
      </c>
      <c r="Y708" s="68">
        <v>0</v>
      </c>
      <c r="Z708" s="68">
        <v>0</v>
      </c>
      <c r="AA708" s="68">
        <v>0</v>
      </c>
      <c r="AB708" s="68">
        <v>0</v>
      </c>
      <c r="AC708" s="68">
        <v>0</v>
      </c>
      <c r="AD708" s="68">
        <v>0</v>
      </c>
      <c r="AE708" s="68">
        <v>0</v>
      </c>
      <c r="AF708" s="68">
        <v>0</v>
      </c>
      <c r="AG708" s="68">
        <v>0</v>
      </c>
      <c r="AH708" s="68">
        <v>0</v>
      </c>
      <c r="AI708" s="68">
        <v>0</v>
      </c>
      <c r="AJ708" s="68">
        <v>0</v>
      </c>
      <c r="AK708" s="68">
        <v>0</v>
      </c>
      <c r="AL708" s="68">
        <v>1</v>
      </c>
      <c r="AM708" s="68"/>
      <c r="AN708" s="68">
        <v>1</v>
      </c>
      <c r="AO708" s="68"/>
      <c r="AP708" s="68">
        <v>0</v>
      </c>
      <c r="AQ708" s="68">
        <v>0</v>
      </c>
      <c r="AR708" s="68">
        <v>0</v>
      </c>
      <c r="AS708" s="68">
        <v>0</v>
      </c>
      <c r="AT708" s="68">
        <v>0</v>
      </c>
      <c r="AU708" s="68">
        <v>0</v>
      </c>
      <c r="AV708" s="68">
        <v>0</v>
      </c>
      <c r="AW708" s="68">
        <v>0</v>
      </c>
      <c r="AX708" s="170">
        <f t="shared" si="102"/>
        <v>3350</v>
      </c>
      <c r="AY708" s="170"/>
      <c r="AZ708" s="64" t="s">
        <v>77</v>
      </c>
      <c r="BA708" s="64" t="s">
        <v>77</v>
      </c>
      <c r="BB708" s="15" t="s">
        <v>77</v>
      </c>
      <c r="BC708" s="74">
        <v>697</v>
      </c>
      <c r="BD708" s="70"/>
      <c r="BE708" s="67"/>
      <c r="BF708" s="71"/>
      <c r="BG708" s="15"/>
      <c r="BH708" s="72" t="s">
        <v>77</v>
      </c>
      <c r="BI708" s="72" t="s">
        <v>77</v>
      </c>
    </row>
    <row r="709" spans="1:61" s="16" customFormat="1" ht="42" customHeight="1" x14ac:dyDescent="0.3">
      <c r="A709" s="26">
        <v>698</v>
      </c>
      <c r="B709" s="62">
        <v>253751</v>
      </c>
      <c r="C709" s="62">
        <v>698</v>
      </c>
      <c r="D709" s="63">
        <v>46240</v>
      </c>
      <c r="E709" s="63">
        <f t="shared" si="99"/>
        <v>46239</v>
      </c>
      <c r="F709" s="63">
        <f t="shared" si="100"/>
        <v>46250</v>
      </c>
      <c r="G709" s="63">
        <v>46332</v>
      </c>
      <c r="H709" s="63">
        <f t="shared" ca="1" si="103"/>
        <v>46277</v>
      </c>
      <c r="I709" s="63" t="s">
        <v>321</v>
      </c>
      <c r="J709" s="64" t="s">
        <v>1515</v>
      </c>
      <c r="K709" s="65">
        <f t="shared" si="101"/>
        <v>82</v>
      </c>
      <c r="L709" s="65">
        <v>1253956</v>
      </c>
      <c r="M709" s="64" t="s">
        <v>77</v>
      </c>
      <c r="N709" s="64" t="s">
        <v>77</v>
      </c>
      <c r="O709" s="64" t="s">
        <v>77</v>
      </c>
      <c r="P709" s="103" t="s">
        <v>77</v>
      </c>
      <c r="Q709" s="103" t="s">
        <v>77</v>
      </c>
      <c r="R709" s="73" t="s">
        <v>211</v>
      </c>
      <c r="S709" s="66" t="s">
        <v>1516</v>
      </c>
      <c r="T709" s="67">
        <v>1</v>
      </c>
      <c r="U709" s="75" t="s">
        <v>81</v>
      </c>
      <c r="V709" s="68">
        <v>57</v>
      </c>
      <c r="W709" s="68"/>
      <c r="X709" s="69">
        <v>0</v>
      </c>
      <c r="Y709" s="68">
        <v>0</v>
      </c>
      <c r="Z709" s="68">
        <v>0</v>
      </c>
      <c r="AA709" s="68">
        <v>0</v>
      </c>
      <c r="AB709" s="68">
        <v>0</v>
      </c>
      <c r="AC709" s="68">
        <v>0</v>
      </c>
      <c r="AD709" s="68">
        <v>0</v>
      </c>
      <c r="AE709" s="68"/>
      <c r="AF709" s="68">
        <v>0</v>
      </c>
      <c r="AG709" s="68">
        <v>0</v>
      </c>
      <c r="AH709" s="68">
        <v>0</v>
      </c>
      <c r="AI709" s="68">
        <v>0</v>
      </c>
      <c r="AJ709" s="68">
        <v>0</v>
      </c>
      <c r="AK709" s="68">
        <v>0</v>
      </c>
      <c r="AL709" s="68">
        <v>0</v>
      </c>
      <c r="AM709" s="68">
        <v>0</v>
      </c>
      <c r="AN709" s="68">
        <v>1</v>
      </c>
      <c r="AO709" s="68"/>
      <c r="AP709" s="68">
        <v>1</v>
      </c>
      <c r="AQ709" s="68"/>
      <c r="AR709" s="68">
        <v>0</v>
      </c>
      <c r="AS709" s="68">
        <v>0</v>
      </c>
      <c r="AT709" s="68">
        <v>0</v>
      </c>
      <c r="AU709" s="68">
        <v>0</v>
      </c>
      <c r="AV709" s="68">
        <v>0</v>
      </c>
      <c r="AW709" s="68">
        <v>0</v>
      </c>
      <c r="AX709" s="170">
        <f t="shared" si="102"/>
        <v>4110</v>
      </c>
      <c r="AY709" s="170"/>
      <c r="AZ709" s="64" t="s">
        <v>77</v>
      </c>
      <c r="BA709" s="64" t="s">
        <v>77</v>
      </c>
      <c r="BB709" s="15" t="s">
        <v>77</v>
      </c>
      <c r="BC709" s="74">
        <v>698</v>
      </c>
      <c r="BD709" s="70"/>
      <c r="BE709" s="67"/>
      <c r="BF709" s="71"/>
      <c r="BG709" s="15"/>
      <c r="BH709" s="72" t="s">
        <v>77</v>
      </c>
      <c r="BI709" s="72" t="s">
        <v>77</v>
      </c>
    </row>
    <row r="710" spans="1:61" s="16" customFormat="1" ht="42" customHeight="1" x14ac:dyDescent="0.3">
      <c r="A710" s="26">
        <v>699</v>
      </c>
      <c r="B710" s="62">
        <v>253836</v>
      </c>
      <c r="C710" s="62">
        <v>699</v>
      </c>
      <c r="D710" s="63">
        <v>46243</v>
      </c>
      <c r="E710" s="63">
        <f t="shared" si="99"/>
        <v>46242</v>
      </c>
      <c r="F710" s="63">
        <f t="shared" si="100"/>
        <v>46253</v>
      </c>
      <c r="G710" s="63">
        <v>46304</v>
      </c>
      <c r="H710" s="63">
        <f t="shared" ca="1" si="103"/>
        <v>46277</v>
      </c>
      <c r="I710" s="63" t="s">
        <v>123</v>
      </c>
      <c r="J710" s="64" t="s">
        <v>1522</v>
      </c>
      <c r="K710" s="65">
        <f t="shared" si="101"/>
        <v>51</v>
      </c>
      <c r="L710" s="65">
        <v>1254617</v>
      </c>
      <c r="M710" s="64" t="s">
        <v>77</v>
      </c>
      <c r="N710" s="64" t="s">
        <v>1548</v>
      </c>
      <c r="O710" s="80" t="s">
        <v>246</v>
      </c>
      <c r="P710" s="103">
        <v>46266</v>
      </c>
      <c r="Q710" s="103">
        <v>46443</v>
      </c>
      <c r="R710" s="73" t="s">
        <v>211</v>
      </c>
      <c r="S710" s="66" t="s">
        <v>177</v>
      </c>
      <c r="T710" s="67">
        <v>1</v>
      </c>
      <c r="U710" s="75" t="s">
        <v>106</v>
      </c>
      <c r="V710" s="68">
        <v>308</v>
      </c>
      <c r="W710" s="68"/>
      <c r="X710" s="69">
        <v>0</v>
      </c>
      <c r="Y710" s="68">
        <v>0</v>
      </c>
      <c r="Z710" s="68">
        <v>0</v>
      </c>
      <c r="AA710" s="68">
        <v>0</v>
      </c>
      <c r="AB710" s="68">
        <v>0</v>
      </c>
      <c r="AC710" s="68">
        <v>0</v>
      </c>
      <c r="AD710" s="68">
        <v>0</v>
      </c>
      <c r="AE710" s="68">
        <v>0</v>
      </c>
      <c r="AF710" s="68">
        <v>0</v>
      </c>
      <c r="AG710" s="68">
        <v>0</v>
      </c>
      <c r="AH710" s="68">
        <v>1</v>
      </c>
      <c r="AI710" s="68"/>
      <c r="AJ710" s="68">
        <v>0</v>
      </c>
      <c r="AK710" s="68">
        <v>0</v>
      </c>
      <c r="AL710" s="68">
        <v>0</v>
      </c>
      <c r="AM710" s="68">
        <v>0</v>
      </c>
      <c r="AN710" s="68">
        <v>1</v>
      </c>
      <c r="AO710" s="68"/>
      <c r="AP710" s="68">
        <v>1</v>
      </c>
      <c r="AQ710" s="68"/>
      <c r="AR710" s="68">
        <v>0</v>
      </c>
      <c r="AS710" s="68"/>
      <c r="AT710" s="68">
        <v>0</v>
      </c>
      <c r="AU710" s="68">
        <v>0</v>
      </c>
      <c r="AV710" s="68">
        <v>0</v>
      </c>
      <c r="AW710" s="68">
        <v>0</v>
      </c>
      <c r="AX710" s="170">
        <f t="shared" si="102"/>
        <v>19340</v>
      </c>
      <c r="AY710" s="170"/>
      <c r="AZ710" s="64" t="s">
        <v>77</v>
      </c>
      <c r="BA710" s="64" t="s">
        <v>77</v>
      </c>
      <c r="BB710" s="15" t="s">
        <v>77</v>
      </c>
      <c r="BC710" s="74">
        <v>699</v>
      </c>
      <c r="BD710" s="70"/>
      <c r="BE710" s="67"/>
      <c r="BF710" s="71"/>
      <c r="BG710" s="15"/>
      <c r="BH710" s="72" t="s">
        <v>77</v>
      </c>
      <c r="BI710" s="72" t="s">
        <v>77</v>
      </c>
    </row>
    <row r="711" spans="1:61" s="16" customFormat="1" ht="42" customHeight="1" x14ac:dyDescent="0.3">
      <c r="A711" s="26">
        <v>700</v>
      </c>
      <c r="B711" s="62">
        <v>253839</v>
      </c>
      <c r="C711" s="62">
        <v>700</v>
      </c>
      <c r="D711" s="63">
        <v>46243</v>
      </c>
      <c r="E711" s="63">
        <f t="shared" si="99"/>
        <v>46242</v>
      </c>
      <c r="F711" s="63">
        <f t="shared" si="100"/>
        <v>46253</v>
      </c>
      <c r="G711" s="63">
        <v>46335</v>
      </c>
      <c r="H711" s="63">
        <f t="shared" ca="1" si="103"/>
        <v>46277</v>
      </c>
      <c r="I711" s="63" t="s">
        <v>321</v>
      </c>
      <c r="J711" s="64" t="s">
        <v>1523</v>
      </c>
      <c r="K711" s="65">
        <f t="shared" si="101"/>
        <v>82</v>
      </c>
      <c r="L711" s="65">
        <v>1254627</v>
      </c>
      <c r="M711" s="64" t="s">
        <v>210</v>
      </c>
      <c r="N711" s="64" t="s">
        <v>77</v>
      </c>
      <c r="O711" s="64" t="s">
        <v>77</v>
      </c>
      <c r="P711" s="103" t="s">
        <v>77</v>
      </c>
      <c r="Q711" s="103" t="s">
        <v>77</v>
      </c>
      <c r="R711" s="73" t="s">
        <v>211</v>
      </c>
      <c r="S711" s="66" t="s">
        <v>1524</v>
      </c>
      <c r="T711" s="67">
        <v>1</v>
      </c>
      <c r="U711" s="75" t="s">
        <v>1195</v>
      </c>
      <c r="V711" s="68">
        <v>248</v>
      </c>
      <c r="W711" s="68"/>
      <c r="X711" s="69">
        <v>0</v>
      </c>
      <c r="Y711" s="68">
        <v>0</v>
      </c>
      <c r="Z711" s="68">
        <v>0</v>
      </c>
      <c r="AA711" s="68">
        <v>0</v>
      </c>
      <c r="AB711" s="68">
        <v>0</v>
      </c>
      <c r="AC711" s="68">
        <v>0</v>
      </c>
      <c r="AD711" s="68">
        <v>0</v>
      </c>
      <c r="AE711" s="68">
        <v>0</v>
      </c>
      <c r="AF711" s="68">
        <v>0</v>
      </c>
      <c r="AG711" s="68">
        <v>0</v>
      </c>
      <c r="AH711" s="68">
        <v>0</v>
      </c>
      <c r="AI711" s="68">
        <v>0</v>
      </c>
      <c r="AJ711" s="68">
        <v>0</v>
      </c>
      <c r="AK711" s="68">
        <v>0</v>
      </c>
      <c r="AL711" s="68">
        <v>1</v>
      </c>
      <c r="AM711" s="68"/>
      <c r="AN711" s="68">
        <v>1</v>
      </c>
      <c r="AO711" s="68"/>
      <c r="AP711" s="68">
        <v>0</v>
      </c>
      <c r="AQ711" s="68">
        <v>0</v>
      </c>
      <c r="AR711" s="68">
        <v>0</v>
      </c>
      <c r="AS711" s="68">
        <v>0</v>
      </c>
      <c r="AT711" s="68">
        <v>0</v>
      </c>
      <c r="AU711" s="68">
        <v>0</v>
      </c>
      <c r="AV711" s="68">
        <v>0</v>
      </c>
      <c r="AW711" s="68">
        <v>0</v>
      </c>
      <c r="AX711" s="170">
        <f t="shared" si="102"/>
        <v>15530</v>
      </c>
      <c r="AY711" s="170"/>
      <c r="AZ711" s="64" t="s">
        <v>77</v>
      </c>
      <c r="BA711" s="64" t="s">
        <v>77</v>
      </c>
      <c r="BB711" s="15" t="s">
        <v>77</v>
      </c>
      <c r="BC711" s="74">
        <v>700</v>
      </c>
      <c r="BD711" s="70"/>
      <c r="BE711" s="67"/>
      <c r="BF711" s="71"/>
      <c r="BG711" s="15"/>
      <c r="BH711" s="72" t="s">
        <v>77</v>
      </c>
      <c r="BI711" s="72" t="s">
        <v>77</v>
      </c>
    </row>
    <row r="712" spans="1:61" s="16" customFormat="1" ht="42" customHeight="1" x14ac:dyDescent="0.3">
      <c r="A712" s="26">
        <v>701</v>
      </c>
      <c r="B712" s="163">
        <v>253921</v>
      </c>
      <c r="C712" s="163">
        <v>701</v>
      </c>
      <c r="D712" s="164">
        <v>46244</v>
      </c>
      <c r="E712" s="164">
        <f t="shared" si="99"/>
        <v>46243</v>
      </c>
      <c r="F712" s="164">
        <f t="shared" si="100"/>
        <v>46254</v>
      </c>
      <c r="G712" s="164">
        <v>46305</v>
      </c>
      <c r="H712" s="164">
        <v>46273</v>
      </c>
      <c r="I712" s="164" t="s">
        <v>123</v>
      </c>
      <c r="J712" s="165" t="s">
        <v>1525</v>
      </c>
      <c r="K712" s="166">
        <f t="shared" si="101"/>
        <v>51</v>
      </c>
      <c r="L712" s="166">
        <v>1254913</v>
      </c>
      <c r="M712" s="165" t="s">
        <v>15</v>
      </c>
      <c r="N712" s="165">
        <v>840733</v>
      </c>
      <c r="O712" s="162" t="s">
        <v>246</v>
      </c>
      <c r="P712" s="167">
        <v>46265</v>
      </c>
      <c r="Q712" s="167">
        <v>46436</v>
      </c>
      <c r="R712" s="179" t="s">
        <v>211</v>
      </c>
      <c r="S712" s="168" t="s">
        <v>1526</v>
      </c>
      <c r="T712" s="169">
        <v>1</v>
      </c>
      <c r="U712" s="180" t="s">
        <v>82</v>
      </c>
      <c r="V712" s="170">
        <v>18</v>
      </c>
      <c r="W712" s="170">
        <v>18</v>
      </c>
      <c r="X712" s="171">
        <v>0</v>
      </c>
      <c r="Y712" s="170">
        <v>0</v>
      </c>
      <c r="Z712" s="170">
        <v>0</v>
      </c>
      <c r="AA712" s="170">
        <v>0</v>
      </c>
      <c r="AB712" s="170">
        <v>18</v>
      </c>
      <c r="AC712" s="170">
        <v>18</v>
      </c>
      <c r="AD712" s="170">
        <v>0</v>
      </c>
      <c r="AE712" s="170">
        <v>0</v>
      </c>
      <c r="AF712" s="170">
        <v>0</v>
      </c>
      <c r="AG712" s="170">
        <v>0</v>
      </c>
      <c r="AH712" s="170">
        <v>1</v>
      </c>
      <c r="AI712" s="170">
        <v>1</v>
      </c>
      <c r="AJ712" s="170">
        <v>0</v>
      </c>
      <c r="AK712" s="170">
        <v>0</v>
      </c>
      <c r="AL712" s="170">
        <v>0</v>
      </c>
      <c r="AM712" s="170">
        <v>0</v>
      </c>
      <c r="AN712" s="170">
        <v>2</v>
      </c>
      <c r="AO712" s="170">
        <v>2</v>
      </c>
      <c r="AP712" s="170">
        <v>2</v>
      </c>
      <c r="AQ712" s="170">
        <v>2</v>
      </c>
      <c r="AR712" s="170">
        <v>0</v>
      </c>
      <c r="AS712" s="170">
        <v>0</v>
      </c>
      <c r="AT712" s="170">
        <v>1</v>
      </c>
      <c r="AU712" s="170">
        <v>1</v>
      </c>
      <c r="AV712" s="170">
        <v>0</v>
      </c>
      <c r="AW712" s="170">
        <v>0</v>
      </c>
      <c r="AX712" s="170">
        <f t="shared" si="102"/>
        <v>4006</v>
      </c>
      <c r="AY712" s="170">
        <f t="shared" si="102"/>
        <v>4006</v>
      </c>
      <c r="AZ712" s="165" t="s">
        <v>15</v>
      </c>
      <c r="BA712" s="165" t="s">
        <v>77</v>
      </c>
      <c r="BB712" s="162" t="s">
        <v>77</v>
      </c>
      <c r="BC712" s="181">
        <v>701</v>
      </c>
      <c r="BD712" s="173"/>
      <c r="BE712" s="169"/>
      <c r="BF712" s="174"/>
      <c r="BG712" s="178">
        <v>46272</v>
      </c>
      <c r="BH712" s="175" t="s">
        <v>77</v>
      </c>
      <c r="BI712" s="175" t="s">
        <v>77</v>
      </c>
    </row>
    <row r="713" spans="1:61" s="16" customFormat="1" ht="42" customHeight="1" x14ac:dyDescent="0.3">
      <c r="A713" s="26">
        <v>702</v>
      </c>
      <c r="B713" s="163">
        <v>254038</v>
      </c>
      <c r="C713" s="163">
        <v>702</v>
      </c>
      <c r="D713" s="164">
        <v>46246</v>
      </c>
      <c r="E713" s="164">
        <f t="shared" si="99"/>
        <v>46245</v>
      </c>
      <c r="F713" s="164">
        <f t="shared" si="100"/>
        <v>46256</v>
      </c>
      <c r="G713" s="164">
        <v>46307</v>
      </c>
      <c r="H713" s="164">
        <v>46274</v>
      </c>
      <c r="I713" s="164" t="s">
        <v>123</v>
      </c>
      <c r="J713" s="165" t="s">
        <v>1527</v>
      </c>
      <c r="K713" s="166">
        <f t="shared" si="101"/>
        <v>51</v>
      </c>
      <c r="L713" s="166">
        <v>1255640</v>
      </c>
      <c r="M713" s="165" t="s">
        <v>15</v>
      </c>
      <c r="N713" s="165">
        <v>840734</v>
      </c>
      <c r="O713" s="165" t="s">
        <v>246</v>
      </c>
      <c r="P713" s="167">
        <v>46258</v>
      </c>
      <c r="Q713" s="167">
        <v>46436</v>
      </c>
      <c r="R713" s="179" t="s">
        <v>211</v>
      </c>
      <c r="S713" s="168" t="s">
        <v>1528</v>
      </c>
      <c r="T713" s="169">
        <v>1</v>
      </c>
      <c r="U713" s="180" t="s">
        <v>106</v>
      </c>
      <c r="V713" s="170">
        <v>145</v>
      </c>
      <c r="W713" s="170">
        <v>145</v>
      </c>
      <c r="X713" s="171">
        <v>0</v>
      </c>
      <c r="Y713" s="170">
        <v>0</v>
      </c>
      <c r="Z713" s="170">
        <v>0</v>
      </c>
      <c r="AA713" s="170">
        <v>0</v>
      </c>
      <c r="AB713" s="170">
        <v>0</v>
      </c>
      <c r="AC713" s="170">
        <v>0</v>
      </c>
      <c r="AD713" s="170">
        <v>0</v>
      </c>
      <c r="AE713" s="170">
        <v>0</v>
      </c>
      <c r="AF713" s="170">
        <v>0</v>
      </c>
      <c r="AG713" s="170">
        <v>0</v>
      </c>
      <c r="AH713" s="170">
        <v>1</v>
      </c>
      <c r="AI713" s="170">
        <v>1</v>
      </c>
      <c r="AJ713" s="170">
        <v>0</v>
      </c>
      <c r="AK713" s="170">
        <v>0</v>
      </c>
      <c r="AL713" s="170">
        <v>0</v>
      </c>
      <c r="AM713" s="170">
        <v>0</v>
      </c>
      <c r="AN713" s="170">
        <v>1</v>
      </c>
      <c r="AO713" s="170">
        <v>1</v>
      </c>
      <c r="AP713" s="170">
        <v>4</v>
      </c>
      <c r="AQ713" s="170">
        <v>4</v>
      </c>
      <c r="AR713" s="170">
        <v>0</v>
      </c>
      <c r="AS713" s="170">
        <v>0</v>
      </c>
      <c r="AT713" s="170">
        <v>1</v>
      </c>
      <c r="AU713" s="170">
        <v>1</v>
      </c>
      <c r="AV713" s="170">
        <v>0</v>
      </c>
      <c r="AW713" s="170">
        <v>0</v>
      </c>
      <c r="AX713" s="170">
        <f t="shared" si="102"/>
        <v>11800</v>
      </c>
      <c r="AY713" s="170">
        <f t="shared" si="102"/>
        <v>11800</v>
      </c>
      <c r="AZ713" s="165" t="s">
        <v>15</v>
      </c>
      <c r="BA713" s="165" t="s">
        <v>77</v>
      </c>
      <c r="BB713" s="162" t="s">
        <v>77</v>
      </c>
      <c r="BC713" s="181">
        <v>702</v>
      </c>
      <c r="BD713" s="173"/>
      <c r="BE713" s="169"/>
      <c r="BF713" s="174"/>
      <c r="BG713" s="178">
        <v>46271</v>
      </c>
      <c r="BH713" s="175" t="s">
        <v>77</v>
      </c>
      <c r="BI713" s="175" t="s">
        <v>77</v>
      </c>
    </row>
    <row r="714" spans="1:61" s="16" customFormat="1" ht="42" customHeight="1" x14ac:dyDescent="0.3">
      <c r="A714" s="26">
        <v>703</v>
      </c>
      <c r="B714" s="62">
        <v>254163</v>
      </c>
      <c r="C714" s="62">
        <v>703</v>
      </c>
      <c r="D714" s="63">
        <v>46273</v>
      </c>
      <c r="E714" s="63">
        <f t="shared" si="99"/>
        <v>46272</v>
      </c>
      <c r="F714" s="63">
        <f t="shared" si="100"/>
        <v>46283</v>
      </c>
      <c r="G714" s="63">
        <v>46334</v>
      </c>
      <c r="H714" s="63">
        <f t="shared" ca="1" si="103"/>
        <v>46277</v>
      </c>
      <c r="I714" s="63" t="s">
        <v>123</v>
      </c>
      <c r="J714" s="64" t="s">
        <v>1529</v>
      </c>
      <c r="K714" s="65">
        <f t="shared" si="101"/>
        <v>51</v>
      </c>
      <c r="L714" s="65">
        <v>1256617</v>
      </c>
      <c r="M714" s="64" t="s">
        <v>77</v>
      </c>
      <c r="N714" s="64" t="s">
        <v>77</v>
      </c>
      <c r="O714" s="64" t="s">
        <v>77</v>
      </c>
      <c r="P714" s="103" t="s">
        <v>77</v>
      </c>
      <c r="Q714" s="103" t="s">
        <v>77</v>
      </c>
      <c r="R714" s="73" t="s">
        <v>211</v>
      </c>
      <c r="S714" s="66" t="s">
        <v>1532</v>
      </c>
      <c r="T714" s="67">
        <v>1</v>
      </c>
      <c r="U714" s="75" t="s">
        <v>1535</v>
      </c>
      <c r="V714" s="68">
        <v>61</v>
      </c>
      <c r="W714" s="68"/>
      <c r="X714" s="69">
        <v>0</v>
      </c>
      <c r="Y714" s="68">
        <v>0</v>
      </c>
      <c r="Z714" s="68">
        <v>0</v>
      </c>
      <c r="AA714" s="68">
        <v>0</v>
      </c>
      <c r="AB714" s="68">
        <v>0</v>
      </c>
      <c r="AC714" s="68">
        <v>0</v>
      </c>
      <c r="AD714" s="68">
        <v>0</v>
      </c>
      <c r="AE714" s="68">
        <v>0</v>
      </c>
      <c r="AF714" s="68">
        <v>0</v>
      </c>
      <c r="AG714" s="68">
        <v>0</v>
      </c>
      <c r="AH714" s="68">
        <v>1</v>
      </c>
      <c r="AI714" s="68"/>
      <c r="AJ714" s="68">
        <v>0</v>
      </c>
      <c r="AK714" s="68">
        <v>0</v>
      </c>
      <c r="AL714" s="68">
        <v>0</v>
      </c>
      <c r="AM714" s="68">
        <v>0</v>
      </c>
      <c r="AN714" s="68">
        <v>2</v>
      </c>
      <c r="AO714" s="68"/>
      <c r="AP714" s="68">
        <v>2</v>
      </c>
      <c r="AQ714" s="68"/>
      <c r="AR714" s="68">
        <v>0</v>
      </c>
      <c r="AS714" s="68">
        <v>0</v>
      </c>
      <c r="AT714" s="68">
        <v>1</v>
      </c>
      <c r="AU714" s="68"/>
      <c r="AV714" s="68">
        <v>0</v>
      </c>
      <c r="AW714" s="68">
        <v>0</v>
      </c>
      <c r="AX714" s="170">
        <f t="shared" si="102"/>
        <v>5560</v>
      </c>
      <c r="AY714" s="170"/>
      <c r="AZ714" s="64" t="s">
        <v>77</v>
      </c>
      <c r="BA714" s="64" t="s">
        <v>77</v>
      </c>
      <c r="BB714" s="15" t="s">
        <v>77</v>
      </c>
      <c r="BC714" s="74">
        <v>703</v>
      </c>
      <c r="BD714" s="70"/>
      <c r="BE714" s="67"/>
      <c r="BF714" s="71"/>
      <c r="BG714" s="15"/>
      <c r="BH714" s="72" t="s">
        <v>77</v>
      </c>
      <c r="BI714" s="72" t="s">
        <v>77</v>
      </c>
    </row>
    <row r="715" spans="1:61" s="16" customFormat="1" ht="42" customHeight="1" x14ac:dyDescent="0.3">
      <c r="A715" s="26">
        <v>704</v>
      </c>
      <c r="B715" s="62">
        <v>254164</v>
      </c>
      <c r="C715" s="62">
        <v>704</v>
      </c>
      <c r="D715" s="63">
        <v>46250</v>
      </c>
      <c r="E715" s="63">
        <f t="shared" si="99"/>
        <v>46249</v>
      </c>
      <c r="F715" s="63">
        <f t="shared" si="100"/>
        <v>46260</v>
      </c>
      <c r="G715" s="63">
        <v>46311</v>
      </c>
      <c r="H715" s="63">
        <f t="shared" ca="1" si="103"/>
        <v>46277</v>
      </c>
      <c r="I715" s="63" t="s">
        <v>123</v>
      </c>
      <c r="J715" s="64" t="s">
        <v>1530</v>
      </c>
      <c r="K715" s="65">
        <f t="shared" si="101"/>
        <v>51</v>
      </c>
      <c r="L715" s="65">
        <v>1256619</v>
      </c>
      <c r="M715" s="64" t="s">
        <v>77</v>
      </c>
      <c r="N715" s="64">
        <v>841403</v>
      </c>
      <c r="O715" s="79" t="s">
        <v>246</v>
      </c>
      <c r="P715" s="103">
        <v>46272</v>
      </c>
      <c r="Q715" s="103">
        <v>46443</v>
      </c>
      <c r="R715" s="73" t="s">
        <v>211</v>
      </c>
      <c r="S715" s="66" t="s">
        <v>1533</v>
      </c>
      <c r="T715" s="67">
        <v>1</v>
      </c>
      <c r="U715" s="75" t="s">
        <v>840</v>
      </c>
      <c r="V715" s="68">
        <v>60</v>
      </c>
      <c r="W715" s="68"/>
      <c r="X715" s="69">
        <v>0</v>
      </c>
      <c r="Y715" s="68">
        <v>0</v>
      </c>
      <c r="Z715" s="68">
        <v>0</v>
      </c>
      <c r="AA715" s="68">
        <v>0</v>
      </c>
      <c r="AB715" s="68">
        <v>0</v>
      </c>
      <c r="AC715" s="68">
        <v>0</v>
      </c>
      <c r="AD715" s="68">
        <v>0</v>
      </c>
      <c r="AE715" s="68">
        <v>0</v>
      </c>
      <c r="AF715" s="68">
        <v>0</v>
      </c>
      <c r="AG715" s="68">
        <v>0</v>
      </c>
      <c r="AH715" s="68">
        <v>1</v>
      </c>
      <c r="AI715" s="68"/>
      <c r="AJ715" s="68">
        <v>0</v>
      </c>
      <c r="AK715" s="68">
        <v>0</v>
      </c>
      <c r="AL715" s="68">
        <v>1</v>
      </c>
      <c r="AM715" s="68"/>
      <c r="AN715" s="68">
        <v>1</v>
      </c>
      <c r="AO715" s="68"/>
      <c r="AP715" s="68">
        <v>0</v>
      </c>
      <c r="AQ715" s="68">
        <v>0</v>
      </c>
      <c r="AR715" s="68">
        <v>0</v>
      </c>
      <c r="AS715" s="68">
        <v>0</v>
      </c>
      <c r="AT715" s="68">
        <v>1</v>
      </c>
      <c r="AU715" s="68"/>
      <c r="AV715" s="68">
        <v>0</v>
      </c>
      <c r="AW715" s="68">
        <v>0</v>
      </c>
      <c r="AX715" s="170">
        <f t="shared" si="102"/>
        <v>4770</v>
      </c>
      <c r="AY715" s="170"/>
      <c r="AZ715" s="64" t="s">
        <v>77</v>
      </c>
      <c r="BA715" s="64" t="s">
        <v>77</v>
      </c>
      <c r="BB715" s="15" t="s">
        <v>77</v>
      </c>
      <c r="BC715" s="74">
        <v>704</v>
      </c>
      <c r="BD715" s="70"/>
      <c r="BE715" s="67"/>
      <c r="BF715" s="71"/>
      <c r="BG715" s="15"/>
      <c r="BH715" s="72" t="s">
        <v>77</v>
      </c>
      <c r="BI715" s="72" t="s">
        <v>77</v>
      </c>
    </row>
    <row r="716" spans="1:61" s="16" customFormat="1" ht="42" customHeight="1" x14ac:dyDescent="0.3">
      <c r="A716" s="26">
        <v>705</v>
      </c>
      <c r="B716" s="163">
        <v>254167</v>
      </c>
      <c r="C716" s="163">
        <v>705</v>
      </c>
      <c r="D716" s="164">
        <v>46251</v>
      </c>
      <c r="E716" s="164">
        <f t="shared" si="99"/>
        <v>46250</v>
      </c>
      <c r="F716" s="164">
        <f t="shared" si="100"/>
        <v>46261</v>
      </c>
      <c r="G716" s="164">
        <v>46312</v>
      </c>
      <c r="H716" s="164">
        <v>46273</v>
      </c>
      <c r="I716" s="164" t="s">
        <v>123</v>
      </c>
      <c r="J716" s="165" t="s">
        <v>1531</v>
      </c>
      <c r="K716" s="166">
        <f t="shared" si="101"/>
        <v>51</v>
      </c>
      <c r="L716" s="166">
        <v>1256883</v>
      </c>
      <c r="M716" s="165" t="s">
        <v>15</v>
      </c>
      <c r="N716" s="165">
        <v>841123</v>
      </c>
      <c r="O716" s="162" t="s">
        <v>246</v>
      </c>
      <c r="P716" s="167">
        <v>46265</v>
      </c>
      <c r="Q716" s="167">
        <v>46333</v>
      </c>
      <c r="R716" s="179" t="s">
        <v>211</v>
      </c>
      <c r="S716" s="168" t="s">
        <v>1534</v>
      </c>
      <c r="T716" s="169">
        <v>1</v>
      </c>
      <c r="U716" s="180" t="s">
        <v>82</v>
      </c>
      <c r="V716" s="170">
        <v>10</v>
      </c>
      <c r="W716" s="170">
        <v>10</v>
      </c>
      <c r="X716" s="171">
        <v>0</v>
      </c>
      <c r="Y716" s="170">
        <v>0</v>
      </c>
      <c r="Z716" s="170">
        <v>0</v>
      </c>
      <c r="AA716" s="170">
        <v>0</v>
      </c>
      <c r="AB716" s="170">
        <v>0</v>
      </c>
      <c r="AC716" s="170">
        <v>0</v>
      </c>
      <c r="AD716" s="170">
        <v>0</v>
      </c>
      <c r="AE716" s="170">
        <v>0</v>
      </c>
      <c r="AF716" s="170">
        <v>20</v>
      </c>
      <c r="AG716" s="170">
        <v>20</v>
      </c>
      <c r="AH716" s="170">
        <v>1</v>
      </c>
      <c r="AI716" s="170">
        <v>1</v>
      </c>
      <c r="AJ716" s="170">
        <v>0</v>
      </c>
      <c r="AK716" s="170">
        <v>0</v>
      </c>
      <c r="AL716" s="170">
        <v>0</v>
      </c>
      <c r="AM716" s="170">
        <v>0</v>
      </c>
      <c r="AN716" s="170">
        <v>0</v>
      </c>
      <c r="AO716" s="170">
        <v>0</v>
      </c>
      <c r="AP716" s="170">
        <v>1</v>
      </c>
      <c r="AQ716" s="170">
        <v>1</v>
      </c>
      <c r="AR716" s="170">
        <v>0</v>
      </c>
      <c r="AS716" s="170">
        <v>0</v>
      </c>
      <c r="AT716" s="170">
        <v>1</v>
      </c>
      <c r="AU716" s="170">
        <v>1</v>
      </c>
      <c r="AV716" s="170">
        <v>0</v>
      </c>
      <c r="AW716" s="170">
        <v>0</v>
      </c>
      <c r="AX716" s="170">
        <f t="shared" si="102"/>
        <v>4850</v>
      </c>
      <c r="AY716" s="170">
        <f t="shared" si="102"/>
        <v>4850</v>
      </c>
      <c r="AZ716" s="165" t="s">
        <v>15</v>
      </c>
      <c r="BA716" s="165" t="s">
        <v>77</v>
      </c>
      <c r="BB716" s="162" t="s">
        <v>77</v>
      </c>
      <c r="BC716" s="181">
        <v>705</v>
      </c>
      <c r="BD716" s="173"/>
      <c r="BE716" s="169"/>
      <c r="BF716" s="174"/>
      <c r="BG716" s="178">
        <v>46272</v>
      </c>
      <c r="BH716" s="175" t="s">
        <v>77</v>
      </c>
      <c r="BI716" s="175" t="s">
        <v>77</v>
      </c>
    </row>
    <row r="717" spans="1:61" s="16" customFormat="1" ht="42" customHeight="1" x14ac:dyDescent="0.3">
      <c r="A717" s="26">
        <v>706</v>
      </c>
      <c r="B717" s="163">
        <v>254330</v>
      </c>
      <c r="C717" s="163">
        <v>706</v>
      </c>
      <c r="D717" s="164">
        <v>46253</v>
      </c>
      <c r="E717" s="164">
        <f t="shared" si="99"/>
        <v>46252</v>
      </c>
      <c r="F717" s="164">
        <f t="shared" si="100"/>
        <v>46263</v>
      </c>
      <c r="G717" s="164">
        <v>46314</v>
      </c>
      <c r="H717" s="164">
        <v>46274</v>
      </c>
      <c r="I717" s="164" t="s">
        <v>123</v>
      </c>
      <c r="J717" s="165" t="s">
        <v>1537</v>
      </c>
      <c r="K717" s="166">
        <f t="shared" si="101"/>
        <v>51</v>
      </c>
      <c r="L717" s="166">
        <v>1257677</v>
      </c>
      <c r="M717" s="165" t="s">
        <v>15</v>
      </c>
      <c r="N717" s="165">
        <v>841573</v>
      </c>
      <c r="O717" s="162" t="s">
        <v>246</v>
      </c>
      <c r="P717" s="167">
        <v>46266</v>
      </c>
      <c r="Q717" s="167">
        <v>46443</v>
      </c>
      <c r="R717" s="179" t="s">
        <v>211</v>
      </c>
      <c r="S717" s="168" t="s">
        <v>1538</v>
      </c>
      <c r="T717" s="169">
        <v>1</v>
      </c>
      <c r="U717" s="180" t="s">
        <v>106</v>
      </c>
      <c r="V717" s="170">
        <v>6</v>
      </c>
      <c r="W717" s="170">
        <v>6</v>
      </c>
      <c r="X717" s="171">
        <v>0</v>
      </c>
      <c r="Y717" s="170">
        <v>0</v>
      </c>
      <c r="Z717" s="170">
        <v>0</v>
      </c>
      <c r="AA717" s="170">
        <v>0</v>
      </c>
      <c r="AB717" s="170">
        <v>0</v>
      </c>
      <c r="AC717" s="170">
        <v>0</v>
      </c>
      <c r="AD717" s="170">
        <v>6</v>
      </c>
      <c r="AE717" s="170">
        <v>6</v>
      </c>
      <c r="AF717" s="170">
        <v>0</v>
      </c>
      <c r="AG717" s="170">
        <v>0</v>
      </c>
      <c r="AH717" s="170">
        <v>1</v>
      </c>
      <c r="AI717" s="170">
        <v>1</v>
      </c>
      <c r="AJ717" s="170">
        <v>0</v>
      </c>
      <c r="AK717" s="170">
        <v>0</v>
      </c>
      <c r="AL717" s="170">
        <v>1</v>
      </c>
      <c r="AM717" s="170">
        <v>1</v>
      </c>
      <c r="AN717" s="170">
        <v>1</v>
      </c>
      <c r="AO717" s="170">
        <v>1</v>
      </c>
      <c r="AP717" s="170">
        <v>1</v>
      </c>
      <c r="AQ717" s="170">
        <v>1</v>
      </c>
      <c r="AR717" s="170">
        <v>0</v>
      </c>
      <c r="AS717" s="170">
        <v>0</v>
      </c>
      <c r="AT717" s="170">
        <v>1</v>
      </c>
      <c r="AU717" s="170">
        <v>1</v>
      </c>
      <c r="AV717" s="170">
        <v>0</v>
      </c>
      <c r="AW717" s="170">
        <v>0</v>
      </c>
      <c r="AX717" s="170">
        <f t="shared" si="102"/>
        <v>2610</v>
      </c>
      <c r="AY717" s="170">
        <f t="shared" si="102"/>
        <v>2610</v>
      </c>
      <c r="AZ717" s="165" t="s">
        <v>15</v>
      </c>
      <c r="BA717" s="165" t="s">
        <v>77</v>
      </c>
      <c r="BB717" s="162" t="s">
        <v>77</v>
      </c>
      <c r="BC717" s="181">
        <v>706</v>
      </c>
      <c r="BD717" s="173"/>
      <c r="BE717" s="169"/>
      <c r="BF717" s="174"/>
      <c r="BG717" s="178">
        <v>46272</v>
      </c>
      <c r="BH717" s="175" t="s">
        <v>77</v>
      </c>
      <c r="BI717" s="175" t="s">
        <v>77</v>
      </c>
    </row>
    <row r="718" spans="1:61" s="16" customFormat="1" ht="42" customHeight="1" x14ac:dyDescent="0.3">
      <c r="A718" s="26">
        <v>707</v>
      </c>
      <c r="B718" s="62">
        <v>254386</v>
      </c>
      <c r="C718" s="62">
        <v>707</v>
      </c>
      <c r="D718" s="63">
        <v>46254</v>
      </c>
      <c r="E718" s="63">
        <f t="shared" si="99"/>
        <v>46253</v>
      </c>
      <c r="F718" s="63">
        <f t="shared" si="100"/>
        <v>46264</v>
      </c>
      <c r="G718" s="63">
        <v>46315</v>
      </c>
      <c r="H718" s="63">
        <f t="shared" ca="1" si="103"/>
        <v>46277</v>
      </c>
      <c r="I718" s="63" t="s">
        <v>1250</v>
      </c>
      <c r="J718" s="64" t="s">
        <v>1539</v>
      </c>
      <c r="K718" s="65">
        <f t="shared" si="101"/>
        <v>51</v>
      </c>
      <c r="L718" s="65">
        <v>1258055</v>
      </c>
      <c r="M718" s="64" t="s">
        <v>77</v>
      </c>
      <c r="N718" s="64">
        <v>842225</v>
      </c>
      <c r="O718" s="79" t="s">
        <v>246</v>
      </c>
      <c r="P718" s="103">
        <v>46273</v>
      </c>
      <c r="Q718" s="103">
        <v>46450</v>
      </c>
      <c r="R718" s="73" t="s">
        <v>211</v>
      </c>
      <c r="S718" s="66" t="s">
        <v>715</v>
      </c>
      <c r="T718" s="67">
        <v>1</v>
      </c>
      <c r="U718" s="75" t="s">
        <v>81</v>
      </c>
      <c r="V718" s="68">
        <v>37</v>
      </c>
      <c r="W718" s="68"/>
      <c r="X718" s="69">
        <v>0</v>
      </c>
      <c r="Y718" s="68">
        <v>0</v>
      </c>
      <c r="Z718" s="68">
        <v>0</v>
      </c>
      <c r="AA718" s="68">
        <v>0</v>
      </c>
      <c r="AB718" s="68">
        <v>0</v>
      </c>
      <c r="AC718" s="68">
        <v>0</v>
      </c>
      <c r="AD718" s="68">
        <v>0</v>
      </c>
      <c r="AE718" s="68">
        <v>0</v>
      </c>
      <c r="AF718" s="68">
        <v>0</v>
      </c>
      <c r="AG718" s="68">
        <v>0</v>
      </c>
      <c r="AH718" s="68">
        <v>1</v>
      </c>
      <c r="AI718" s="68"/>
      <c r="AJ718" s="68">
        <v>0</v>
      </c>
      <c r="AK718" s="68">
        <v>0</v>
      </c>
      <c r="AL718" s="68">
        <v>1</v>
      </c>
      <c r="AM718" s="68"/>
      <c r="AN718" s="68">
        <v>1</v>
      </c>
      <c r="AO718" s="68"/>
      <c r="AP718" s="68">
        <v>1</v>
      </c>
      <c r="AQ718" s="68"/>
      <c r="AR718" s="68">
        <v>0</v>
      </c>
      <c r="AS718" s="68">
        <v>0</v>
      </c>
      <c r="AT718" s="68">
        <v>1</v>
      </c>
      <c r="AU718" s="68"/>
      <c r="AV718" s="68">
        <v>0</v>
      </c>
      <c r="AW718" s="68">
        <v>0</v>
      </c>
      <c r="AX718" s="170">
        <f t="shared" si="102"/>
        <v>4020</v>
      </c>
      <c r="AY718" s="170"/>
      <c r="AZ718" s="64" t="s">
        <v>77</v>
      </c>
      <c r="BA718" s="64" t="s">
        <v>77</v>
      </c>
      <c r="BB718" s="15" t="s">
        <v>77</v>
      </c>
      <c r="BC718" s="74">
        <v>707</v>
      </c>
      <c r="BD718" s="70"/>
      <c r="BE718" s="67"/>
      <c r="BF718" s="71"/>
      <c r="BG718" s="15"/>
      <c r="BH718" s="72" t="s">
        <v>77</v>
      </c>
      <c r="BI718" s="72" t="s">
        <v>77</v>
      </c>
    </row>
    <row r="719" spans="1:61" s="16" customFormat="1" ht="42" customHeight="1" x14ac:dyDescent="0.3">
      <c r="A719" s="26">
        <v>708</v>
      </c>
      <c r="B719" s="62">
        <v>254389</v>
      </c>
      <c r="C719" s="62">
        <v>708</v>
      </c>
      <c r="D719" s="63">
        <v>46254</v>
      </c>
      <c r="E719" s="63">
        <f t="shared" si="99"/>
        <v>46253</v>
      </c>
      <c r="F719" s="63">
        <f t="shared" si="100"/>
        <v>46264</v>
      </c>
      <c r="G719" s="63">
        <v>46315</v>
      </c>
      <c r="H719" s="63">
        <f t="shared" ca="1" si="103"/>
        <v>46277</v>
      </c>
      <c r="I719" s="63" t="s">
        <v>123</v>
      </c>
      <c r="J719" s="64" t="s">
        <v>1540</v>
      </c>
      <c r="K719" s="65">
        <f t="shared" si="101"/>
        <v>51</v>
      </c>
      <c r="L719" s="65">
        <v>1258093</v>
      </c>
      <c r="M719" s="64" t="s">
        <v>77</v>
      </c>
      <c r="N719" s="64">
        <v>842415</v>
      </c>
      <c r="O719" s="64" t="s">
        <v>1521</v>
      </c>
      <c r="P719" s="103" t="s">
        <v>77</v>
      </c>
      <c r="Q719" s="103" t="s">
        <v>77</v>
      </c>
      <c r="R719" s="73" t="s">
        <v>211</v>
      </c>
      <c r="S719" s="66" t="s">
        <v>1541</v>
      </c>
      <c r="T719" s="67">
        <v>1</v>
      </c>
      <c r="U719" s="75" t="s">
        <v>1029</v>
      </c>
      <c r="V719" s="68">
        <v>153</v>
      </c>
      <c r="W719" s="68"/>
      <c r="X719" s="69">
        <v>0</v>
      </c>
      <c r="Y719" s="68">
        <v>0</v>
      </c>
      <c r="Z719" s="68">
        <v>0</v>
      </c>
      <c r="AA719" s="68">
        <v>0</v>
      </c>
      <c r="AB719" s="68">
        <v>0</v>
      </c>
      <c r="AC719" s="68">
        <v>0</v>
      </c>
      <c r="AD719" s="68">
        <v>0</v>
      </c>
      <c r="AE719" s="68">
        <v>0</v>
      </c>
      <c r="AF719" s="68">
        <v>0</v>
      </c>
      <c r="AG719" s="68">
        <v>0</v>
      </c>
      <c r="AH719" s="68">
        <v>1</v>
      </c>
      <c r="AI719" s="68"/>
      <c r="AJ719" s="68">
        <v>0</v>
      </c>
      <c r="AK719" s="68">
        <v>0</v>
      </c>
      <c r="AL719" s="68">
        <v>1</v>
      </c>
      <c r="AM719" s="68"/>
      <c r="AN719" s="68">
        <v>1</v>
      </c>
      <c r="AO719" s="68"/>
      <c r="AP719" s="68">
        <v>1</v>
      </c>
      <c r="AQ719" s="68"/>
      <c r="AR719" s="68">
        <v>0</v>
      </c>
      <c r="AS719" s="68">
        <v>0</v>
      </c>
      <c r="AT719" s="68">
        <v>1</v>
      </c>
      <c r="AU719" s="68"/>
      <c r="AV719" s="68">
        <v>0</v>
      </c>
      <c r="AW719" s="68">
        <v>0</v>
      </c>
      <c r="AX719" s="170">
        <f t="shared" si="102"/>
        <v>10980</v>
      </c>
      <c r="AY719" s="170"/>
      <c r="AZ719" s="64" t="s">
        <v>77</v>
      </c>
      <c r="BA719" s="64" t="s">
        <v>77</v>
      </c>
      <c r="BB719" s="15" t="s">
        <v>77</v>
      </c>
      <c r="BC719" s="74">
        <v>708</v>
      </c>
      <c r="BD719" s="70"/>
      <c r="BE719" s="67"/>
      <c r="BF719" s="71"/>
      <c r="BG719" s="15"/>
      <c r="BH719" s="72" t="s">
        <v>77</v>
      </c>
      <c r="BI719" s="72" t="s">
        <v>77</v>
      </c>
    </row>
    <row r="720" spans="1:61" s="16" customFormat="1" ht="42" customHeight="1" x14ac:dyDescent="0.3">
      <c r="A720" s="26">
        <v>709</v>
      </c>
      <c r="B720" s="77">
        <v>254390</v>
      </c>
      <c r="C720" s="77">
        <v>709</v>
      </c>
      <c r="D720" s="78">
        <v>46254</v>
      </c>
      <c r="E720" s="78">
        <f t="shared" si="99"/>
        <v>46253</v>
      </c>
      <c r="F720" s="78">
        <f t="shared" si="100"/>
        <v>46264</v>
      </c>
      <c r="G720" s="78">
        <v>46315</v>
      </c>
      <c r="H720" s="78">
        <f t="shared" ca="1" si="103"/>
        <v>46277</v>
      </c>
      <c r="I720" s="78" t="s">
        <v>123</v>
      </c>
      <c r="J720" s="79" t="s">
        <v>1542</v>
      </c>
      <c r="K720" s="76">
        <f t="shared" si="101"/>
        <v>51</v>
      </c>
      <c r="L720" s="76">
        <v>1258094</v>
      </c>
      <c r="M720" s="79" t="s">
        <v>210</v>
      </c>
      <c r="N720" s="79">
        <v>841827</v>
      </c>
      <c r="O720" s="80" t="s">
        <v>246</v>
      </c>
      <c r="P720" s="104">
        <v>46265</v>
      </c>
      <c r="Q720" s="104">
        <v>46443</v>
      </c>
      <c r="R720" s="194" t="s">
        <v>211</v>
      </c>
      <c r="S720" s="81" t="s">
        <v>758</v>
      </c>
      <c r="T720" s="82">
        <v>1</v>
      </c>
      <c r="U720" s="195" t="s">
        <v>82</v>
      </c>
      <c r="V720" s="83">
        <v>155</v>
      </c>
      <c r="W720" s="83"/>
      <c r="X720" s="84">
        <v>0</v>
      </c>
      <c r="Y720" s="83">
        <v>0</v>
      </c>
      <c r="Z720" s="83">
        <v>0</v>
      </c>
      <c r="AA720" s="83">
        <v>0</v>
      </c>
      <c r="AB720" s="83">
        <v>0</v>
      </c>
      <c r="AC720" s="83">
        <v>0</v>
      </c>
      <c r="AD720" s="83">
        <v>0</v>
      </c>
      <c r="AE720" s="83">
        <v>0</v>
      </c>
      <c r="AF720" s="83">
        <v>0</v>
      </c>
      <c r="AG720" s="83">
        <v>0</v>
      </c>
      <c r="AH720" s="83">
        <v>1</v>
      </c>
      <c r="AI720" s="83"/>
      <c r="AJ720" s="83">
        <v>0</v>
      </c>
      <c r="AK720" s="83">
        <v>0</v>
      </c>
      <c r="AL720" s="83">
        <v>0</v>
      </c>
      <c r="AM720" s="83">
        <v>0</v>
      </c>
      <c r="AN720" s="83">
        <v>0</v>
      </c>
      <c r="AO720" s="83">
        <v>0</v>
      </c>
      <c r="AP720" s="83">
        <v>1</v>
      </c>
      <c r="AQ720" s="83"/>
      <c r="AR720" s="83">
        <v>0</v>
      </c>
      <c r="AS720" s="83">
        <v>0</v>
      </c>
      <c r="AT720" s="83">
        <v>1</v>
      </c>
      <c r="AU720" s="83">
        <v>0</v>
      </c>
      <c r="AV720" s="83">
        <v>0</v>
      </c>
      <c r="AW720" s="83">
        <v>0</v>
      </c>
      <c r="AX720" s="83">
        <f t="shared" si="102"/>
        <v>10450</v>
      </c>
      <c r="AY720" s="83"/>
      <c r="AZ720" s="79" t="s">
        <v>210</v>
      </c>
      <c r="BA720" s="79" t="s">
        <v>77</v>
      </c>
      <c r="BB720" s="80" t="s">
        <v>77</v>
      </c>
      <c r="BC720" s="196">
        <v>709</v>
      </c>
      <c r="BD720" s="85"/>
      <c r="BE720" s="82"/>
      <c r="BF720" s="86"/>
      <c r="BG720" s="80"/>
      <c r="BH720" s="87" t="s">
        <v>77</v>
      </c>
      <c r="BI720" s="87" t="s">
        <v>77</v>
      </c>
    </row>
    <row r="721" spans="1:61" s="16" customFormat="1" ht="42" customHeight="1" x14ac:dyDescent="0.3">
      <c r="A721" s="26">
        <v>710</v>
      </c>
      <c r="B721" s="62">
        <v>254451</v>
      </c>
      <c r="C721" s="62">
        <v>710</v>
      </c>
      <c r="D721" s="63">
        <v>46257</v>
      </c>
      <c r="E721" s="63">
        <f t="shared" si="99"/>
        <v>46256</v>
      </c>
      <c r="F721" s="63">
        <f t="shared" si="100"/>
        <v>46267</v>
      </c>
      <c r="G721" s="63">
        <v>46318</v>
      </c>
      <c r="H721" s="63">
        <f t="shared" ca="1" si="103"/>
        <v>46277</v>
      </c>
      <c r="I721" s="63" t="s">
        <v>123</v>
      </c>
      <c r="J721" s="64" t="s">
        <v>1545</v>
      </c>
      <c r="K721" s="65">
        <f t="shared" si="101"/>
        <v>51</v>
      </c>
      <c r="L721" s="65">
        <v>1258766</v>
      </c>
      <c r="M721" s="64" t="s">
        <v>77</v>
      </c>
      <c r="N721" s="64">
        <v>841573</v>
      </c>
      <c r="O721" s="80" t="s">
        <v>246</v>
      </c>
      <c r="P721" s="103">
        <v>46266</v>
      </c>
      <c r="Q721" s="103">
        <v>46443</v>
      </c>
      <c r="R721" s="73" t="s">
        <v>211</v>
      </c>
      <c r="S721" s="66" t="s">
        <v>1546</v>
      </c>
      <c r="T721" s="67">
        <v>1</v>
      </c>
      <c r="U721" s="75" t="s">
        <v>106</v>
      </c>
      <c r="V721" s="68">
        <v>40</v>
      </c>
      <c r="W721" s="68"/>
      <c r="X721" s="69">
        <v>0</v>
      </c>
      <c r="Y721" s="68">
        <v>0</v>
      </c>
      <c r="Z721" s="68">
        <v>0</v>
      </c>
      <c r="AA721" s="68">
        <v>0</v>
      </c>
      <c r="AB721" s="68">
        <v>0</v>
      </c>
      <c r="AC721" s="68">
        <v>0</v>
      </c>
      <c r="AD721" s="68">
        <v>0</v>
      </c>
      <c r="AE721" s="68">
        <v>0</v>
      </c>
      <c r="AF721" s="68">
        <v>0</v>
      </c>
      <c r="AG721" s="68">
        <v>0</v>
      </c>
      <c r="AH721" s="68">
        <v>1</v>
      </c>
      <c r="AI721" s="68"/>
      <c r="AJ721" s="68">
        <v>0</v>
      </c>
      <c r="AK721" s="68">
        <v>0</v>
      </c>
      <c r="AL721" s="68">
        <v>0</v>
      </c>
      <c r="AM721" s="68">
        <v>0</v>
      </c>
      <c r="AN721" s="68">
        <v>0</v>
      </c>
      <c r="AO721" s="68">
        <v>0</v>
      </c>
      <c r="AP721" s="68">
        <v>1</v>
      </c>
      <c r="AQ721" s="68"/>
      <c r="AR721" s="68">
        <v>0</v>
      </c>
      <c r="AS721" s="68">
        <v>0</v>
      </c>
      <c r="AT721" s="68">
        <v>1</v>
      </c>
      <c r="AU721" s="68"/>
      <c r="AV721" s="68">
        <v>0</v>
      </c>
      <c r="AW721" s="68">
        <v>0</v>
      </c>
      <c r="AX721" s="170">
        <f t="shared" si="102"/>
        <v>3550</v>
      </c>
      <c r="AY721" s="170"/>
      <c r="AZ721" s="64" t="s">
        <v>77</v>
      </c>
      <c r="BA721" s="64" t="s">
        <v>77</v>
      </c>
      <c r="BB721" s="15" t="s">
        <v>77</v>
      </c>
      <c r="BC721" s="74">
        <v>710</v>
      </c>
      <c r="BD721" s="70"/>
      <c r="BE721" s="67"/>
      <c r="BF721" s="71"/>
      <c r="BG721" s="15"/>
      <c r="BH721" s="72" t="s">
        <v>77</v>
      </c>
      <c r="BI721" s="72" t="s">
        <v>77</v>
      </c>
    </row>
    <row r="722" spans="1:61" s="16" customFormat="1" ht="42" customHeight="1" x14ac:dyDescent="0.3">
      <c r="A722" s="26">
        <v>711</v>
      </c>
      <c r="B722" s="62">
        <v>254629</v>
      </c>
      <c r="C722" s="62">
        <v>711</v>
      </c>
      <c r="D722" s="63">
        <v>46260</v>
      </c>
      <c r="E722" s="63">
        <f t="shared" si="99"/>
        <v>46259</v>
      </c>
      <c r="F722" s="63">
        <f t="shared" si="100"/>
        <v>46270</v>
      </c>
      <c r="G722" s="63">
        <v>46321</v>
      </c>
      <c r="H722" s="63">
        <f t="shared" ca="1" si="103"/>
        <v>46277</v>
      </c>
      <c r="I722" s="63" t="s">
        <v>123</v>
      </c>
      <c r="J722" s="64" t="s">
        <v>1550</v>
      </c>
      <c r="K722" s="65">
        <f t="shared" si="101"/>
        <v>51</v>
      </c>
      <c r="L722" s="65">
        <v>1259770</v>
      </c>
      <c r="M722" s="64" t="s">
        <v>77</v>
      </c>
      <c r="N722" s="64">
        <v>842785</v>
      </c>
      <c r="O722" s="64" t="s">
        <v>1521</v>
      </c>
      <c r="P722" s="103" t="s">
        <v>77</v>
      </c>
      <c r="Q722" s="103" t="s">
        <v>77</v>
      </c>
      <c r="R722" s="73" t="s">
        <v>211</v>
      </c>
      <c r="S722" s="66" t="s">
        <v>1552</v>
      </c>
      <c r="T722" s="67">
        <v>1</v>
      </c>
      <c r="U722" s="75" t="s">
        <v>173</v>
      </c>
      <c r="V722" s="68">
        <v>70</v>
      </c>
      <c r="W722" s="68"/>
      <c r="X722" s="69">
        <v>0</v>
      </c>
      <c r="Y722" s="68">
        <v>0</v>
      </c>
      <c r="Z722" s="68">
        <v>0</v>
      </c>
      <c r="AA722" s="68">
        <v>0</v>
      </c>
      <c r="AB722" s="68">
        <v>0</v>
      </c>
      <c r="AC722" s="68">
        <v>0</v>
      </c>
      <c r="AD722" s="68">
        <v>0</v>
      </c>
      <c r="AE722" s="68">
        <v>0</v>
      </c>
      <c r="AF722" s="68">
        <v>0</v>
      </c>
      <c r="AG722" s="68">
        <v>0</v>
      </c>
      <c r="AH722" s="68">
        <v>1</v>
      </c>
      <c r="AI722" s="68"/>
      <c r="AJ722" s="68">
        <v>0</v>
      </c>
      <c r="AK722" s="68">
        <v>0</v>
      </c>
      <c r="AL722" s="68">
        <v>1</v>
      </c>
      <c r="AM722" s="68"/>
      <c r="AN722" s="68">
        <v>1</v>
      </c>
      <c r="AO722" s="68"/>
      <c r="AP722" s="68">
        <v>1</v>
      </c>
      <c r="AQ722" s="68"/>
      <c r="AR722" s="68">
        <v>0</v>
      </c>
      <c r="AS722" s="68">
        <v>0</v>
      </c>
      <c r="AT722" s="68">
        <v>1</v>
      </c>
      <c r="AU722" s="68"/>
      <c r="AV722" s="68">
        <v>0</v>
      </c>
      <c r="AW722" s="68">
        <v>0</v>
      </c>
      <c r="AX722" s="170">
        <f t="shared" si="102"/>
        <v>6000</v>
      </c>
      <c r="AY722" s="170"/>
      <c r="AZ722" s="64" t="s">
        <v>77</v>
      </c>
      <c r="BA722" s="64" t="s">
        <v>77</v>
      </c>
      <c r="BB722" s="15" t="s">
        <v>77</v>
      </c>
      <c r="BC722" s="74">
        <v>711</v>
      </c>
      <c r="BD722" s="70"/>
      <c r="BE722" s="67"/>
      <c r="BF722" s="71"/>
      <c r="BG722" s="15"/>
      <c r="BH722" s="72" t="s">
        <v>77</v>
      </c>
      <c r="BI722" s="72" t="s">
        <v>77</v>
      </c>
    </row>
    <row r="723" spans="1:61" s="16" customFormat="1" ht="42" customHeight="1" x14ac:dyDescent="0.3">
      <c r="A723" s="26">
        <v>712</v>
      </c>
      <c r="B723" s="163">
        <v>254670</v>
      </c>
      <c r="C723" s="163">
        <v>712</v>
      </c>
      <c r="D723" s="164">
        <v>46261</v>
      </c>
      <c r="E723" s="164">
        <f t="shared" si="99"/>
        <v>46260</v>
      </c>
      <c r="F723" s="164">
        <f t="shared" si="100"/>
        <v>46271</v>
      </c>
      <c r="G723" s="164">
        <v>46322</v>
      </c>
      <c r="H723" s="164">
        <v>46272</v>
      </c>
      <c r="I723" s="164" t="s">
        <v>123</v>
      </c>
      <c r="J723" s="165" t="s">
        <v>1551</v>
      </c>
      <c r="K723" s="166">
        <f t="shared" si="101"/>
        <v>51</v>
      </c>
      <c r="L723" s="166">
        <v>1260092</v>
      </c>
      <c r="M723" s="165" t="s">
        <v>15</v>
      </c>
      <c r="N723" s="165">
        <v>843265</v>
      </c>
      <c r="O723" s="165" t="s">
        <v>246</v>
      </c>
      <c r="P723" s="167">
        <v>46270</v>
      </c>
      <c r="Q723" s="167">
        <v>46285</v>
      </c>
      <c r="R723" s="179" t="s">
        <v>211</v>
      </c>
      <c r="S723" s="168" t="s">
        <v>1553</v>
      </c>
      <c r="T723" s="169">
        <v>1</v>
      </c>
      <c r="U723" s="180" t="s">
        <v>122</v>
      </c>
      <c r="V723" s="170">
        <v>20</v>
      </c>
      <c r="W723" s="170">
        <v>20</v>
      </c>
      <c r="X723" s="171">
        <v>0</v>
      </c>
      <c r="Y723" s="170">
        <v>0</v>
      </c>
      <c r="Z723" s="170">
        <v>0</v>
      </c>
      <c r="AA723" s="170">
        <v>0</v>
      </c>
      <c r="AB723" s="170">
        <v>20</v>
      </c>
      <c r="AC723" s="170">
        <v>20</v>
      </c>
      <c r="AD723" s="170">
        <v>0</v>
      </c>
      <c r="AE723" s="170">
        <v>0</v>
      </c>
      <c r="AF723" s="170">
        <v>0</v>
      </c>
      <c r="AG723" s="170">
        <v>0</v>
      </c>
      <c r="AH723" s="170">
        <v>2</v>
      </c>
      <c r="AI723" s="170">
        <v>2</v>
      </c>
      <c r="AJ723" s="170">
        <v>0</v>
      </c>
      <c r="AK723" s="170">
        <v>0</v>
      </c>
      <c r="AL723" s="170">
        <v>1</v>
      </c>
      <c r="AM723" s="170">
        <v>1</v>
      </c>
      <c r="AN723" s="170">
        <v>1</v>
      </c>
      <c r="AO723" s="170">
        <v>1</v>
      </c>
      <c r="AP723" s="170">
        <v>2</v>
      </c>
      <c r="AQ723" s="170">
        <v>2</v>
      </c>
      <c r="AR723" s="170">
        <v>0</v>
      </c>
      <c r="AS723" s="170">
        <v>0</v>
      </c>
      <c r="AT723" s="170">
        <v>1</v>
      </c>
      <c r="AU723" s="170">
        <v>1</v>
      </c>
      <c r="AV723" s="170">
        <v>0</v>
      </c>
      <c r="AW723" s="170">
        <v>0</v>
      </c>
      <c r="AX723" s="170">
        <f t="shared" si="102"/>
        <v>4940</v>
      </c>
      <c r="AY723" s="170">
        <f t="shared" si="102"/>
        <v>4940</v>
      </c>
      <c r="AZ723" s="165" t="s">
        <v>15</v>
      </c>
      <c r="BA723" s="165" t="s">
        <v>77</v>
      </c>
      <c r="BB723" s="162" t="s">
        <v>77</v>
      </c>
      <c r="BC723" s="181">
        <v>712</v>
      </c>
      <c r="BD723" s="173"/>
      <c r="BE723" s="169"/>
      <c r="BF723" s="174"/>
      <c r="BG723" s="178">
        <v>46271</v>
      </c>
      <c r="BH723" s="175" t="s">
        <v>77</v>
      </c>
      <c r="BI723" s="175" t="s">
        <v>77</v>
      </c>
    </row>
    <row r="724" spans="1:61" s="16" customFormat="1" ht="42" customHeight="1" x14ac:dyDescent="0.3">
      <c r="A724" s="26">
        <v>713</v>
      </c>
      <c r="B724" s="62">
        <v>254733</v>
      </c>
      <c r="C724" s="62">
        <v>713</v>
      </c>
      <c r="D724" s="63">
        <v>46264</v>
      </c>
      <c r="E724" s="63">
        <f t="shared" si="99"/>
        <v>46263</v>
      </c>
      <c r="F724" s="63">
        <f t="shared" si="100"/>
        <v>46274</v>
      </c>
      <c r="G724" s="63">
        <v>46325</v>
      </c>
      <c r="H724" s="63">
        <f t="shared" ca="1" si="103"/>
        <v>46277</v>
      </c>
      <c r="I724" s="63" t="s">
        <v>123</v>
      </c>
      <c r="J724" s="64" t="s">
        <v>1554</v>
      </c>
      <c r="K724" s="65">
        <f t="shared" si="101"/>
        <v>51</v>
      </c>
      <c r="L724" s="65">
        <v>1260889</v>
      </c>
      <c r="M724" s="64" t="s">
        <v>77</v>
      </c>
      <c r="N724" s="64">
        <v>843534</v>
      </c>
      <c r="O724" s="64" t="s">
        <v>1579</v>
      </c>
      <c r="P724" s="103" t="s">
        <v>77</v>
      </c>
      <c r="Q724" s="103" t="s">
        <v>77</v>
      </c>
      <c r="R724" s="73" t="s">
        <v>211</v>
      </c>
      <c r="S724" s="66" t="s">
        <v>1555</v>
      </c>
      <c r="T724" s="67">
        <v>1</v>
      </c>
      <c r="U724" s="75" t="s">
        <v>106</v>
      </c>
      <c r="V724" s="68">
        <v>162</v>
      </c>
      <c r="W724" s="68"/>
      <c r="X724" s="69">
        <v>0</v>
      </c>
      <c r="Y724" s="68">
        <v>0</v>
      </c>
      <c r="Z724" s="68">
        <v>0</v>
      </c>
      <c r="AA724" s="68">
        <v>0</v>
      </c>
      <c r="AB724" s="68">
        <v>0</v>
      </c>
      <c r="AC724" s="68">
        <v>0</v>
      </c>
      <c r="AD724" s="68">
        <v>0</v>
      </c>
      <c r="AE724" s="68">
        <v>0</v>
      </c>
      <c r="AF724" s="68">
        <v>0</v>
      </c>
      <c r="AG724" s="68">
        <v>0</v>
      </c>
      <c r="AH724" s="68">
        <v>1</v>
      </c>
      <c r="AI724" s="68"/>
      <c r="AJ724" s="68">
        <v>0</v>
      </c>
      <c r="AK724" s="68">
        <v>0</v>
      </c>
      <c r="AL724" s="68">
        <v>1</v>
      </c>
      <c r="AM724" s="68"/>
      <c r="AN724" s="68">
        <v>1</v>
      </c>
      <c r="AO724" s="68"/>
      <c r="AP724" s="68">
        <v>1</v>
      </c>
      <c r="AQ724" s="68"/>
      <c r="AR724" s="68">
        <v>0</v>
      </c>
      <c r="AS724" s="68">
        <v>0</v>
      </c>
      <c r="AT724" s="68">
        <v>1</v>
      </c>
      <c r="AU724" s="68"/>
      <c r="AV724" s="68">
        <v>0</v>
      </c>
      <c r="AW724" s="68">
        <v>0</v>
      </c>
      <c r="AX724" s="170">
        <f t="shared" si="102"/>
        <v>11520</v>
      </c>
      <c r="AY724" s="170"/>
      <c r="AZ724" s="64" t="s">
        <v>77</v>
      </c>
      <c r="BA724" s="64" t="s">
        <v>77</v>
      </c>
      <c r="BB724" s="15" t="s">
        <v>77</v>
      </c>
      <c r="BC724" s="74">
        <v>713</v>
      </c>
      <c r="BD724" s="70"/>
      <c r="BE724" s="67"/>
      <c r="BF724" s="71"/>
      <c r="BG724" s="15"/>
      <c r="BH724" s="72" t="s">
        <v>77</v>
      </c>
      <c r="BI724" s="72" t="s">
        <v>77</v>
      </c>
    </row>
    <row r="725" spans="1:61" s="16" customFormat="1" ht="42" customHeight="1" x14ac:dyDescent="0.3">
      <c r="A725" s="26">
        <v>714</v>
      </c>
      <c r="B725" s="62">
        <v>254735</v>
      </c>
      <c r="C725" s="62">
        <v>714</v>
      </c>
      <c r="D725" s="63">
        <v>46264</v>
      </c>
      <c r="E725" s="63">
        <f t="shared" si="99"/>
        <v>46263</v>
      </c>
      <c r="F725" s="63">
        <f t="shared" si="100"/>
        <v>46274</v>
      </c>
      <c r="G725" s="63">
        <v>46325</v>
      </c>
      <c r="H725" s="63">
        <f t="shared" ca="1" si="103"/>
        <v>46277</v>
      </c>
      <c r="I725" s="63" t="s">
        <v>123</v>
      </c>
      <c r="J725" s="64" t="s">
        <v>1559</v>
      </c>
      <c r="K725" s="65">
        <f t="shared" si="101"/>
        <v>51</v>
      </c>
      <c r="L725" s="65">
        <v>1260893</v>
      </c>
      <c r="M725" s="64" t="s">
        <v>77</v>
      </c>
      <c r="N725" s="64">
        <v>843534</v>
      </c>
      <c r="O725" s="64" t="s">
        <v>1579</v>
      </c>
      <c r="P725" s="103" t="s">
        <v>77</v>
      </c>
      <c r="Q725" s="103" t="s">
        <v>77</v>
      </c>
      <c r="R725" s="73" t="s">
        <v>211</v>
      </c>
      <c r="S725" s="66" t="s">
        <v>1560</v>
      </c>
      <c r="T725" s="67">
        <v>1</v>
      </c>
      <c r="U725" s="75" t="s">
        <v>106</v>
      </c>
      <c r="V725" s="68">
        <v>91</v>
      </c>
      <c r="W725" s="68"/>
      <c r="X725" s="69">
        <v>0</v>
      </c>
      <c r="Y725" s="68">
        <v>0</v>
      </c>
      <c r="Z725" s="68">
        <v>0</v>
      </c>
      <c r="AA725" s="68">
        <v>0</v>
      </c>
      <c r="AB725" s="68">
        <v>0</v>
      </c>
      <c r="AC725" s="68">
        <v>0</v>
      </c>
      <c r="AD725" s="68">
        <v>0</v>
      </c>
      <c r="AE725" s="68">
        <v>0</v>
      </c>
      <c r="AF725" s="68">
        <v>0</v>
      </c>
      <c r="AG725" s="68">
        <v>0</v>
      </c>
      <c r="AH725" s="68">
        <v>1</v>
      </c>
      <c r="AI725" s="68"/>
      <c r="AJ725" s="68">
        <v>0</v>
      </c>
      <c r="AK725" s="68">
        <v>0</v>
      </c>
      <c r="AL725" s="68">
        <v>1</v>
      </c>
      <c r="AM725" s="68"/>
      <c r="AN725" s="68">
        <v>1</v>
      </c>
      <c r="AO725" s="68"/>
      <c r="AP725" s="68">
        <v>1</v>
      </c>
      <c r="AQ725" s="68"/>
      <c r="AR725" s="68">
        <v>0</v>
      </c>
      <c r="AS725" s="68">
        <v>0</v>
      </c>
      <c r="AT725" s="68">
        <v>1</v>
      </c>
      <c r="AU725" s="68"/>
      <c r="AV725" s="68">
        <v>0</v>
      </c>
      <c r="AW725" s="68">
        <v>0</v>
      </c>
      <c r="AX725" s="170">
        <f t="shared" si="102"/>
        <v>7260</v>
      </c>
      <c r="AY725" s="170"/>
      <c r="AZ725" s="64" t="s">
        <v>77</v>
      </c>
      <c r="BA725" s="64" t="s">
        <v>77</v>
      </c>
      <c r="BB725" s="15" t="s">
        <v>77</v>
      </c>
      <c r="BC725" s="74">
        <v>714</v>
      </c>
      <c r="BD725" s="70"/>
      <c r="BE725" s="67"/>
      <c r="BF725" s="71"/>
      <c r="BG725" s="15"/>
      <c r="BH725" s="72" t="s">
        <v>77</v>
      </c>
      <c r="BI725" s="72" t="s">
        <v>77</v>
      </c>
    </row>
    <row r="726" spans="1:61" s="16" customFormat="1" ht="42" customHeight="1" x14ac:dyDescent="0.3">
      <c r="A726" s="26">
        <v>715</v>
      </c>
      <c r="B726" s="62">
        <v>254895</v>
      </c>
      <c r="C726" s="62">
        <v>715</v>
      </c>
      <c r="D726" s="63">
        <v>46266</v>
      </c>
      <c r="E726" s="63">
        <f t="shared" si="99"/>
        <v>46265</v>
      </c>
      <c r="F726" s="63">
        <f t="shared" si="100"/>
        <v>46276</v>
      </c>
      <c r="G726" s="63">
        <v>46327</v>
      </c>
      <c r="H726" s="63">
        <f t="shared" ca="1" si="103"/>
        <v>46277</v>
      </c>
      <c r="I726" s="63" t="s">
        <v>123</v>
      </c>
      <c r="J726" s="64" t="s">
        <v>1561</v>
      </c>
      <c r="K726" s="65">
        <f t="shared" si="101"/>
        <v>51</v>
      </c>
      <c r="L726" s="65">
        <v>1261676</v>
      </c>
      <c r="M726" s="64" t="s">
        <v>77</v>
      </c>
      <c r="N726" s="64">
        <v>844088</v>
      </c>
      <c r="O726" s="64" t="s">
        <v>1335</v>
      </c>
      <c r="P726" s="103" t="s">
        <v>77</v>
      </c>
      <c r="Q726" s="103" t="s">
        <v>77</v>
      </c>
      <c r="R726" s="73" t="s">
        <v>211</v>
      </c>
      <c r="S726" s="66" t="s">
        <v>1562</v>
      </c>
      <c r="T726" s="67">
        <v>1</v>
      </c>
      <c r="U726" s="75" t="s">
        <v>81</v>
      </c>
      <c r="V726" s="68">
        <v>74</v>
      </c>
      <c r="W726" s="68"/>
      <c r="X726" s="69">
        <v>0</v>
      </c>
      <c r="Y726" s="68">
        <v>0</v>
      </c>
      <c r="Z726" s="68">
        <v>0</v>
      </c>
      <c r="AA726" s="68">
        <v>0</v>
      </c>
      <c r="AB726" s="68">
        <v>0</v>
      </c>
      <c r="AC726" s="68">
        <v>0</v>
      </c>
      <c r="AD726" s="68">
        <v>0</v>
      </c>
      <c r="AE726" s="68">
        <v>0</v>
      </c>
      <c r="AF726" s="68">
        <v>0</v>
      </c>
      <c r="AG726" s="68">
        <v>0</v>
      </c>
      <c r="AH726" s="68">
        <v>1</v>
      </c>
      <c r="AI726" s="68"/>
      <c r="AJ726" s="68">
        <v>0</v>
      </c>
      <c r="AK726" s="68">
        <v>0</v>
      </c>
      <c r="AL726" s="68">
        <v>0</v>
      </c>
      <c r="AM726" s="68">
        <v>0</v>
      </c>
      <c r="AN726" s="68">
        <v>1</v>
      </c>
      <c r="AO726" s="68"/>
      <c r="AP726" s="68">
        <v>1</v>
      </c>
      <c r="AQ726" s="68"/>
      <c r="AR726" s="68">
        <v>0</v>
      </c>
      <c r="AS726" s="68">
        <v>0</v>
      </c>
      <c r="AT726" s="68">
        <v>1</v>
      </c>
      <c r="AU726" s="68"/>
      <c r="AV726" s="68">
        <v>0</v>
      </c>
      <c r="AW726" s="68">
        <v>0</v>
      </c>
      <c r="AX726" s="170">
        <f t="shared" si="102"/>
        <v>5650</v>
      </c>
      <c r="AY726" s="170"/>
      <c r="AZ726" s="64" t="s">
        <v>77</v>
      </c>
      <c r="BA726" s="64" t="s">
        <v>77</v>
      </c>
      <c r="BB726" s="15" t="s">
        <v>77</v>
      </c>
      <c r="BC726" s="74">
        <v>715</v>
      </c>
      <c r="BD726" s="70"/>
      <c r="BE726" s="67"/>
      <c r="BF726" s="71"/>
      <c r="BG726" s="15"/>
      <c r="BH726" s="72" t="s">
        <v>77</v>
      </c>
      <c r="BI726" s="72" t="s">
        <v>77</v>
      </c>
    </row>
    <row r="727" spans="1:61" s="16" customFormat="1" ht="42" customHeight="1" x14ac:dyDescent="0.3">
      <c r="A727" s="26">
        <v>716</v>
      </c>
      <c r="B727" s="62">
        <v>254950</v>
      </c>
      <c r="C727" s="62">
        <v>716</v>
      </c>
      <c r="D727" s="63">
        <v>46267</v>
      </c>
      <c r="E727" s="63">
        <f t="shared" si="99"/>
        <v>46266</v>
      </c>
      <c r="F727" s="63">
        <f t="shared" si="100"/>
        <v>46277</v>
      </c>
      <c r="G727" s="63">
        <v>46328</v>
      </c>
      <c r="H727" s="63">
        <f t="shared" ca="1" si="103"/>
        <v>46277</v>
      </c>
      <c r="I727" s="63" t="s">
        <v>123</v>
      </c>
      <c r="J727" s="64" t="s">
        <v>1564</v>
      </c>
      <c r="K727" s="65">
        <f t="shared" si="101"/>
        <v>51</v>
      </c>
      <c r="L727" s="65">
        <v>1262023</v>
      </c>
      <c r="M727" s="64" t="s">
        <v>77</v>
      </c>
      <c r="N727" s="64">
        <v>844089</v>
      </c>
      <c r="O727" s="64" t="s">
        <v>1335</v>
      </c>
      <c r="P727" s="103" t="s">
        <v>77</v>
      </c>
      <c r="Q727" s="103" t="s">
        <v>77</v>
      </c>
      <c r="R727" s="73" t="s">
        <v>211</v>
      </c>
      <c r="S727" s="66" t="s">
        <v>1552</v>
      </c>
      <c r="T727" s="67">
        <v>1</v>
      </c>
      <c r="U727" s="75" t="s">
        <v>1378</v>
      </c>
      <c r="V727" s="68">
        <v>55</v>
      </c>
      <c r="W727" s="68"/>
      <c r="X727" s="69">
        <v>0</v>
      </c>
      <c r="Y727" s="68">
        <v>0</v>
      </c>
      <c r="Z727" s="68">
        <v>0</v>
      </c>
      <c r="AA727" s="68">
        <v>0</v>
      </c>
      <c r="AB727" s="68">
        <v>0</v>
      </c>
      <c r="AC727" s="68">
        <v>0</v>
      </c>
      <c r="AD727" s="68">
        <v>0</v>
      </c>
      <c r="AE727" s="68">
        <v>0</v>
      </c>
      <c r="AF727" s="68">
        <v>0</v>
      </c>
      <c r="AG727" s="68">
        <v>0</v>
      </c>
      <c r="AH727" s="68">
        <v>1</v>
      </c>
      <c r="AI727" s="68"/>
      <c r="AJ727" s="68">
        <v>0</v>
      </c>
      <c r="AK727" s="68">
        <v>0</v>
      </c>
      <c r="AL727" s="68">
        <v>1</v>
      </c>
      <c r="AM727" s="68"/>
      <c r="AN727" s="68">
        <v>1</v>
      </c>
      <c r="AO727" s="68"/>
      <c r="AP727" s="68">
        <v>1</v>
      </c>
      <c r="AQ727" s="68"/>
      <c r="AR727" s="68">
        <v>0</v>
      </c>
      <c r="AS727" s="68">
        <v>0</v>
      </c>
      <c r="AT727" s="68">
        <v>1</v>
      </c>
      <c r="AU727" s="68"/>
      <c r="AV727" s="68">
        <v>0</v>
      </c>
      <c r="AW727" s="68">
        <v>0</v>
      </c>
      <c r="AX727" s="170">
        <f t="shared" si="102"/>
        <v>5100</v>
      </c>
      <c r="AY727" s="170"/>
      <c r="AZ727" s="64" t="s">
        <v>77</v>
      </c>
      <c r="BA727" s="64" t="s">
        <v>77</v>
      </c>
      <c r="BB727" s="15" t="s">
        <v>77</v>
      </c>
      <c r="BC727" s="74">
        <v>716</v>
      </c>
      <c r="BD727" s="70"/>
      <c r="BE727" s="67"/>
      <c r="BF727" s="71"/>
      <c r="BG727" s="15"/>
      <c r="BH727" s="72" t="s">
        <v>77</v>
      </c>
      <c r="BI727" s="72" t="s">
        <v>77</v>
      </c>
    </row>
    <row r="728" spans="1:61" s="16" customFormat="1" ht="42" customHeight="1" x14ac:dyDescent="0.3">
      <c r="A728" s="26">
        <v>717</v>
      </c>
      <c r="B728" s="62">
        <v>254997</v>
      </c>
      <c r="C728" s="62">
        <v>717</v>
      </c>
      <c r="D728" s="63">
        <v>46268</v>
      </c>
      <c r="E728" s="63">
        <f t="shared" si="99"/>
        <v>46267</v>
      </c>
      <c r="F728" s="63">
        <f t="shared" si="100"/>
        <v>46278</v>
      </c>
      <c r="G728" s="63">
        <v>46329</v>
      </c>
      <c r="H728" s="63">
        <f t="shared" ca="1" si="103"/>
        <v>46277</v>
      </c>
      <c r="I728" s="63" t="s">
        <v>123</v>
      </c>
      <c r="J728" s="64" t="s">
        <v>1565</v>
      </c>
      <c r="K728" s="65">
        <f t="shared" si="101"/>
        <v>51</v>
      </c>
      <c r="L728" s="65">
        <v>1262363</v>
      </c>
      <c r="M728" s="64" t="s">
        <v>77</v>
      </c>
      <c r="N728" s="64">
        <v>844495</v>
      </c>
      <c r="O728" s="64" t="s">
        <v>1580</v>
      </c>
      <c r="P728" s="103" t="s">
        <v>77</v>
      </c>
      <c r="Q728" s="103" t="s">
        <v>77</v>
      </c>
      <c r="R728" s="73" t="s">
        <v>211</v>
      </c>
      <c r="S728" s="66" t="s">
        <v>1566</v>
      </c>
      <c r="T728" s="67">
        <v>1</v>
      </c>
      <c r="U728" s="75" t="s">
        <v>82</v>
      </c>
      <c r="V728" s="68">
        <v>230</v>
      </c>
      <c r="W728" s="68"/>
      <c r="X728" s="69">
        <v>0</v>
      </c>
      <c r="Y728" s="68">
        <v>0</v>
      </c>
      <c r="Z728" s="68">
        <v>0</v>
      </c>
      <c r="AA728" s="68">
        <v>0</v>
      </c>
      <c r="AB728" s="68">
        <v>0</v>
      </c>
      <c r="AC728" s="68">
        <v>0</v>
      </c>
      <c r="AD728" s="68">
        <v>0</v>
      </c>
      <c r="AE728" s="68">
        <v>0</v>
      </c>
      <c r="AF728" s="68">
        <v>0</v>
      </c>
      <c r="AG728" s="68">
        <v>0</v>
      </c>
      <c r="AH728" s="68">
        <v>1</v>
      </c>
      <c r="AI728" s="68"/>
      <c r="AJ728" s="68">
        <v>0</v>
      </c>
      <c r="AK728" s="68">
        <v>0</v>
      </c>
      <c r="AL728" s="68">
        <v>1</v>
      </c>
      <c r="AM728" s="68"/>
      <c r="AN728" s="68">
        <v>1</v>
      </c>
      <c r="AO728" s="68"/>
      <c r="AP728" s="68">
        <v>1</v>
      </c>
      <c r="AQ728" s="68"/>
      <c r="AR728" s="68">
        <v>0</v>
      </c>
      <c r="AS728" s="68">
        <v>0</v>
      </c>
      <c r="AT728" s="68">
        <v>1</v>
      </c>
      <c r="AU728" s="68"/>
      <c r="AV728" s="68">
        <v>0</v>
      </c>
      <c r="AW728" s="68">
        <v>0</v>
      </c>
      <c r="AX728" s="170">
        <f t="shared" si="102"/>
        <v>15600</v>
      </c>
      <c r="AY728" s="170"/>
      <c r="AZ728" s="64" t="s">
        <v>77</v>
      </c>
      <c r="BA728" s="64" t="s">
        <v>77</v>
      </c>
      <c r="BB728" s="15" t="s">
        <v>77</v>
      </c>
      <c r="BC728" s="74">
        <v>717</v>
      </c>
      <c r="BD728" s="70"/>
      <c r="BE728" s="67"/>
      <c r="BF728" s="71"/>
      <c r="BG728" s="15"/>
      <c r="BH728" s="72" t="s">
        <v>77</v>
      </c>
      <c r="BI728" s="72" t="s">
        <v>77</v>
      </c>
    </row>
    <row r="729" spans="1:61" s="16" customFormat="1" ht="42" customHeight="1" x14ac:dyDescent="0.3">
      <c r="A729" s="26">
        <v>718</v>
      </c>
      <c r="B729" s="62">
        <v>255066</v>
      </c>
      <c r="C729" s="62">
        <v>718</v>
      </c>
      <c r="D729" s="63">
        <v>46271</v>
      </c>
      <c r="E729" s="63">
        <f t="shared" si="99"/>
        <v>46270</v>
      </c>
      <c r="F729" s="63">
        <f t="shared" si="100"/>
        <v>46281</v>
      </c>
      <c r="G729" s="63">
        <v>46332</v>
      </c>
      <c r="H729" s="63">
        <f t="shared" ca="1" si="103"/>
        <v>46277</v>
      </c>
      <c r="I729" s="63" t="s">
        <v>123</v>
      </c>
      <c r="J729" s="64" t="s">
        <v>1567</v>
      </c>
      <c r="K729" s="65">
        <f t="shared" si="101"/>
        <v>51</v>
      </c>
      <c r="L729" s="65">
        <v>1263206</v>
      </c>
      <c r="M729" s="64" t="s">
        <v>77</v>
      </c>
      <c r="N729" s="64" t="s">
        <v>77</v>
      </c>
      <c r="O729" s="64" t="s">
        <v>77</v>
      </c>
      <c r="P729" s="103" t="s">
        <v>77</v>
      </c>
      <c r="Q729" s="103" t="s">
        <v>77</v>
      </c>
      <c r="R729" s="73" t="s">
        <v>211</v>
      </c>
      <c r="S729" s="66" t="s">
        <v>1568</v>
      </c>
      <c r="T729" s="67">
        <v>1</v>
      </c>
      <c r="U729" s="75" t="s">
        <v>122</v>
      </c>
      <c r="V729" s="68">
        <v>45</v>
      </c>
      <c r="W729" s="68"/>
      <c r="X729" s="69">
        <v>0</v>
      </c>
      <c r="Y729" s="68">
        <v>0</v>
      </c>
      <c r="Z729" s="68">
        <v>0</v>
      </c>
      <c r="AA729" s="68">
        <v>0</v>
      </c>
      <c r="AB729" s="68">
        <v>0</v>
      </c>
      <c r="AC729" s="68">
        <v>0</v>
      </c>
      <c r="AD729" s="68">
        <v>0</v>
      </c>
      <c r="AE729" s="68">
        <v>0</v>
      </c>
      <c r="AF729" s="68">
        <v>0</v>
      </c>
      <c r="AG729" s="68">
        <v>0</v>
      </c>
      <c r="AH729" s="68">
        <v>2</v>
      </c>
      <c r="AI729" s="68"/>
      <c r="AJ729" s="68">
        <v>0</v>
      </c>
      <c r="AK729" s="68">
        <v>0</v>
      </c>
      <c r="AL729" s="68">
        <v>2</v>
      </c>
      <c r="AM729" s="68"/>
      <c r="AN729" s="68">
        <v>2</v>
      </c>
      <c r="AO729" s="68"/>
      <c r="AP729" s="68">
        <v>2</v>
      </c>
      <c r="AQ729" s="68"/>
      <c r="AR729" s="68">
        <v>0</v>
      </c>
      <c r="AS729" s="68">
        <v>0</v>
      </c>
      <c r="AT729" s="68">
        <v>2</v>
      </c>
      <c r="AU729" s="68"/>
      <c r="AV729" s="68">
        <v>0</v>
      </c>
      <c r="AW729" s="68">
        <v>0</v>
      </c>
      <c r="AX729" s="170">
        <f t="shared" si="102"/>
        <v>6300</v>
      </c>
      <c r="AY729" s="170"/>
      <c r="AZ729" s="64" t="s">
        <v>77</v>
      </c>
      <c r="BA729" s="64" t="s">
        <v>77</v>
      </c>
      <c r="BB729" s="15" t="s">
        <v>77</v>
      </c>
      <c r="BC729" s="74">
        <v>718</v>
      </c>
      <c r="BD729" s="70"/>
      <c r="BE729" s="67"/>
      <c r="BF729" s="71"/>
      <c r="BG729" s="15"/>
      <c r="BH729" s="72" t="s">
        <v>77</v>
      </c>
      <c r="BI729" s="72" t="s">
        <v>77</v>
      </c>
    </row>
    <row r="730" spans="1:61" s="16" customFormat="1" ht="42" customHeight="1" x14ac:dyDescent="0.3">
      <c r="A730" s="26">
        <v>719</v>
      </c>
      <c r="B730" s="62">
        <v>255067</v>
      </c>
      <c r="C730" s="62">
        <v>719</v>
      </c>
      <c r="D730" s="63">
        <v>46271</v>
      </c>
      <c r="E730" s="63">
        <f t="shared" si="99"/>
        <v>46270</v>
      </c>
      <c r="F730" s="63">
        <f t="shared" si="100"/>
        <v>46281</v>
      </c>
      <c r="G730" s="63">
        <v>46332</v>
      </c>
      <c r="H730" s="63">
        <f t="shared" ca="1" si="103"/>
        <v>46277</v>
      </c>
      <c r="I730" s="63" t="s">
        <v>123</v>
      </c>
      <c r="J730" s="64" t="s">
        <v>1569</v>
      </c>
      <c r="K730" s="65">
        <f t="shared" si="101"/>
        <v>51</v>
      </c>
      <c r="L730" s="65">
        <v>1263220</v>
      </c>
      <c r="M730" s="64" t="s">
        <v>77</v>
      </c>
      <c r="N730" s="64" t="s">
        <v>77</v>
      </c>
      <c r="O730" s="64" t="s">
        <v>77</v>
      </c>
      <c r="P730" s="103" t="s">
        <v>77</v>
      </c>
      <c r="Q730" s="103" t="s">
        <v>77</v>
      </c>
      <c r="R730" s="73" t="s">
        <v>211</v>
      </c>
      <c r="S730" s="66" t="s">
        <v>631</v>
      </c>
      <c r="T730" s="67">
        <v>1</v>
      </c>
      <c r="U730" s="75" t="s">
        <v>81</v>
      </c>
      <c r="V730" s="68">
        <v>12</v>
      </c>
      <c r="W730" s="68"/>
      <c r="X730" s="69">
        <v>0</v>
      </c>
      <c r="Y730" s="68">
        <v>0</v>
      </c>
      <c r="Z730" s="68">
        <v>0</v>
      </c>
      <c r="AA730" s="68">
        <v>0</v>
      </c>
      <c r="AB730" s="68">
        <v>0</v>
      </c>
      <c r="AC730" s="68">
        <v>0</v>
      </c>
      <c r="AD730" s="68">
        <v>0</v>
      </c>
      <c r="AE730" s="68">
        <v>0</v>
      </c>
      <c r="AF730" s="68">
        <v>0</v>
      </c>
      <c r="AG730" s="68">
        <v>0</v>
      </c>
      <c r="AH730" s="68">
        <v>1</v>
      </c>
      <c r="AI730" s="68"/>
      <c r="AJ730" s="68">
        <v>0</v>
      </c>
      <c r="AK730" s="68">
        <v>0</v>
      </c>
      <c r="AL730" s="68">
        <v>1</v>
      </c>
      <c r="AM730" s="68"/>
      <c r="AN730" s="68">
        <v>1</v>
      </c>
      <c r="AO730" s="68"/>
      <c r="AP730" s="68">
        <v>1</v>
      </c>
      <c r="AQ730" s="68"/>
      <c r="AR730" s="68">
        <v>0</v>
      </c>
      <c r="AS730" s="68">
        <v>0</v>
      </c>
      <c r="AT730" s="68">
        <v>1</v>
      </c>
      <c r="AU730" s="68"/>
      <c r="AV730" s="68">
        <v>0</v>
      </c>
      <c r="AW730" s="68">
        <v>0</v>
      </c>
      <c r="AX730" s="170">
        <f t="shared" si="102"/>
        <v>2520</v>
      </c>
      <c r="AY730" s="170"/>
      <c r="AZ730" s="64" t="s">
        <v>77</v>
      </c>
      <c r="BA730" s="64" t="s">
        <v>77</v>
      </c>
      <c r="BB730" s="15" t="s">
        <v>77</v>
      </c>
      <c r="BC730" s="74">
        <v>719</v>
      </c>
      <c r="BD730" s="70"/>
      <c r="BE730" s="67"/>
      <c r="BF730" s="71"/>
      <c r="BG730" s="15"/>
      <c r="BH730" s="72" t="s">
        <v>77</v>
      </c>
      <c r="BI730" s="72" t="s">
        <v>77</v>
      </c>
    </row>
    <row r="731" spans="1:61" s="16" customFormat="1" ht="42" customHeight="1" x14ac:dyDescent="0.3">
      <c r="A731" s="26">
        <v>720</v>
      </c>
      <c r="B731" s="62">
        <v>255126</v>
      </c>
      <c r="C731" s="62">
        <v>720</v>
      </c>
      <c r="D731" s="63">
        <v>46272</v>
      </c>
      <c r="E731" s="63">
        <f t="shared" si="99"/>
        <v>46271</v>
      </c>
      <c r="F731" s="63">
        <f t="shared" si="100"/>
        <v>46282</v>
      </c>
      <c r="G731" s="63">
        <v>46363</v>
      </c>
      <c r="H731" s="63">
        <f t="shared" ca="1" si="103"/>
        <v>46277</v>
      </c>
      <c r="I731" s="63" t="s">
        <v>349</v>
      </c>
      <c r="J731" s="64" t="s">
        <v>1574</v>
      </c>
      <c r="K731" s="65">
        <f t="shared" si="101"/>
        <v>81</v>
      </c>
      <c r="L731" s="65">
        <v>1263649</v>
      </c>
      <c r="M731" s="64" t="s">
        <v>77</v>
      </c>
      <c r="N731" s="64" t="s">
        <v>77</v>
      </c>
      <c r="O731" s="64" t="s">
        <v>77</v>
      </c>
      <c r="P731" s="103" t="s">
        <v>77</v>
      </c>
      <c r="Q731" s="103" t="s">
        <v>77</v>
      </c>
      <c r="R731" s="73" t="s">
        <v>211</v>
      </c>
      <c r="S731" s="66" t="s">
        <v>1573</v>
      </c>
      <c r="T731" s="67">
        <v>1</v>
      </c>
      <c r="U731" s="75" t="s">
        <v>82</v>
      </c>
      <c r="V731" s="68">
        <v>26</v>
      </c>
      <c r="W731" s="68"/>
      <c r="X731" s="69">
        <v>0</v>
      </c>
      <c r="Y731" s="68">
        <v>0</v>
      </c>
      <c r="Z731" s="68">
        <v>0</v>
      </c>
      <c r="AA731" s="68">
        <v>0</v>
      </c>
      <c r="AB731" s="68">
        <v>0</v>
      </c>
      <c r="AC731" s="68">
        <v>0</v>
      </c>
      <c r="AD731" s="68">
        <v>0</v>
      </c>
      <c r="AE731" s="68">
        <v>0</v>
      </c>
      <c r="AF731" s="68">
        <v>0</v>
      </c>
      <c r="AG731" s="68">
        <v>0</v>
      </c>
      <c r="AH731" s="68">
        <v>1</v>
      </c>
      <c r="AI731" s="68"/>
      <c r="AJ731" s="68">
        <v>0</v>
      </c>
      <c r="AK731" s="68">
        <v>0</v>
      </c>
      <c r="AL731" s="68">
        <v>0</v>
      </c>
      <c r="AM731" s="68">
        <v>0</v>
      </c>
      <c r="AN731" s="68">
        <v>1</v>
      </c>
      <c r="AO731" s="68"/>
      <c r="AP731" s="68">
        <v>1</v>
      </c>
      <c r="AQ731" s="68"/>
      <c r="AR731" s="68">
        <v>0</v>
      </c>
      <c r="AS731" s="68">
        <v>0</v>
      </c>
      <c r="AT731" s="68">
        <v>1</v>
      </c>
      <c r="AU731" s="68"/>
      <c r="AV731" s="68">
        <v>0</v>
      </c>
      <c r="AW731" s="68">
        <v>0</v>
      </c>
      <c r="AX731" s="170">
        <f t="shared" si="102"/>
        <v>2770</v>
      </c>
      <c r="AY731" s="170"/>
      <c r="AZ731" s="64" t="s">
        <v>77</v>
      </c>
      <c r="BA731" s="64" t="s">
        <v>77</v>
      </c>
      <c r="BB731" s="15" t="s">
        <v>77</v>
      </c>
      <c r="BC731" s="74">
        <v>720</v>
      </c>
      <c r="BD731" s="70"/>
      <c r="BE731" s="67"/>
      <c r="BF731" s="71"/>
      <c r="BG731" s="15"/>
      <c r="BH731" s="72" t="s">
        <v>77</v>
      </c>
      <c r="BI731" s="72" t="s">
        <v>77</v>
      </c>
    </row>
    <row r="732" spans="1:61" s="16" customFormat="1" ht="42" customHeight="1" x14ac:dyDescent="0.3">
      <c r="A732" s="26">
        <v>721</v>
      </c>
      <c r="B732" s="62">
        <v>255156</v>
      </c>
      <c r="C732" s="62">
        <v>721</v>
      </c>
      <c r="D732" s="63">
        <v>46272</v>
      </c>
      <c r="E732" s="63">
        <f t="shared" si="99"/>
        <v>46271</v>
      </c>
      <c r="F732" s="63">
        <f t="shared" si="100"/>
        <v>46282</v>
      </c>
      <c r="G732" s="63">
        <v>46282</v>
      </c>
      <c r="H732" s="63">
        <f t="shared" ca="1" si="103"/>
        <v>46277</v>
      </c>
      <c r="I732" s="63" t="s">
        <v>123</v>
      </c>
      <c r="J732" s="64" t="s">
        <v>1575</v>
      </c>
      <c r="K732" s="65">
        <f t="shared" si="101"/>
        <v>0</v>
      </c>
      <c r="L732" s="65">
        <v>1263748</v>
      </c>
      <c r="M732" s="64" t="s">
        <v>77</v>
      </c>
      <c r="N732" s="64">
        <v>844495</v>
      </c>
      <c r="O732" s="64" t="s">
        <v>1580</v>
      </c>
      <c r="P732" s="103" t="s">
        <v>77</v>
      </c>
      <c r="Q732" s="103" t="s">
        <v>77</v>
      </c>
      <c r="R732" s="73" t="s">
        <v>211</v>
      </c>
      <c r="S732" s="66" t="s">
        <v>1577</v>
      </c>
      <c r="T732" s="67">
        <v>1</v>
      </c>
      <c r="U732" s="75" t="s">
        <v>82</v>
      </c>
      <c r="V732" s="68">
        <v>10</v>
      </c>
      <c r="W732" s="68"/>
      <c r="X732" s="69">
        <v>0</v>
      </c>
      <c r="Y732" s="68">
        <v>0</v>
      </c>
      <c r="Z732" s="68">
        <v>0</v>
      </c>
      <c r="AA732" s="68">
        <v>0</v>
      </c>
      <c r="AB732" s="68">
        <v>0</v>
      </c>
      <c r="AC732" s="68">
        <v>0</v>
      </c>
      <c r="AD732" s="68">
        <v>0</v>
      </c>
      <c r="AE732" s="68">
        <v>0</v>
      </c>
      <c r="AF732" s="68">
        <v>0</v>
      </c>
      <c r="AG732" s="68">
        <v>0</v>
      </c>
      <c r="AH732" s="68">
        <v>1</v>
      </c>
      <c r="AI732" s="68"/>
      <c r="AJ732" s="68">
        <v>0</v>
      </c>
      <c r="AK732" s="68">
        <v>0</v>
      </c>
      <c r="AL732" s="68">
        <v>0</v>
      </c>
      <c r="AM732" s="68">
        <v>0</v>
      </c>
      <c r="AN732" s="68">
        <v>1</v>
      </c>
      <c r="AO732" s="68"/>
      <c r="AP732" s="68">
        <v>1</v>
      </c>
      <c r="AQ732" s="68"/>
      <c r="AR732" s="68">
        <v>0</v>
      </c>
      <c r="AS732" s="68">
        <v>0</v>
      </c>
      <c r="AT732" s="68">
        <v>1</v>
      </c>
      <c r="AU732" s="68"/>
      <c r="AV732" s="68">
        <v>0</v>
      </c>
      <c r="AW732" s="68">
        <v>0</v>
      </c>
      <c r="AX732" s="170">
        <f t="shared" si="102"/>
        <v>1810</v>
      </c>
      <c r="AY732" s="170"/>
      <c r="AZ732" s="64" t="s">
        <v>77</v>
      </c>
      <c r="BA732" s="64" t="s">
        <v>77</v>
      </c>
      <c r="BB732" s="15" t="s">
        <v>77</v>
      </c>
      <c r="BC732" s="74">
        <v>721</v>
      </c>
      <c r="BD732" s="70"/>
      <c r="BE732" s="67"/>
      <c r="BF732" s="71"/>
      <c r="BG732" s="15"/>
      <c r="BH732" s="72" t="s">
        <v>77</v>
      </c>
      <c r="BI732" s="72" t="s">
        <v>77</v>
      </c>
    </row>
    <row r="733" spans="1:61" s="16" customFormat="1" ht="42" customHeight="1" x14ac:dyDescent="0.3">
      <c r="A733" s="26">
        <v>722</v>
      </c>
      <c r="B733" s="62">
        <v>255169</v>
      </c>
      <c r="C733" s="62">
        <v>722</v>
      </c>
      <c r="D733" s="63">
        <v>46273</v>
      </c>
      <c r="E733" s="63">
        <f t="shared" si="99"/>
        <v>46272</v>
      </c>
      <c r="F733" s="63">
        <f t="shared" si="100"/>
        <v>46283</v>
      </c>
      <c r="G733" s="63">
        <v>46334</v>
      </c>
      <c r="H733" s="63">
        <f t="shared" ca="1" si="103"/>
        <v>46277</v>
      </c>
      <c r="I733" s="63" t="s">
        <v>123</v>
      </c>
      <c r="J733" s="64" t="s">
        <v>1576</v>
      </c>
      <c r="K733" s="65">
        <f t="shared" si="101"/>
        <v>51</v>
      </c>
      <c r="L733" s="65">
        <v>1263960</v>
      </c>
      <c r="M733" s="64" t="s">
        <v>77</v>
      </c>
      <c r="N733" s="64" t="s">
        <v>77</v>
      </c>
      <c r="O733" s="64" t="s">
        <v>77</v>
      </c>
      <c r="P733" s="103" t="s">
        <v>77</v>
      </c>
      <c r="Q733" s="103" t="s">
        <v>77</v>
      </c>
      <c r="R733" s="73" t="s">
        <v>211</v>
      </c>
      <c r="S733" s="66" t="s">
        <v>1578</v>
      </c>
      <c r="T733" s="67">
        <v>1</v>
      </c>
      <c r="U733" s="75" t="s">
        <v>82</v>
      </c>
      <c r="V733" s="68">
        <v>175</v>
      </c>
      <c r="W733" s="68"/>
      <c r="X733" s="69">
        <v>0</v>
      </c>
      <c r="Y733" s="68">
        <v>0</v>
      </c>
      <c r="Z733" s="68">
        <v>0</v>
      </c>
      <c r="AA733" s="68">
        <v>0</v>
      </c>
      <c r="AB733" s="68">
        <v>0</v>
      </c>
      <c r="AC733" s="68">
        <v>0</v>
      </c>
      <c r="AD733" s="68">
        <v>0</v>
      </c>
      <c r="AE733" s="68">
        <v>0</v>
      </c>
      <c r="AF733" s="68">
        <v>0</v>
      </c>
      <c r="AG733" s="68">
        <v>0</v>
      </c>
      <c r="AH733" s="68">
        <v>1</v>
      </c>
      <c r="AI733" s="68"/>
      <c r="AJ733" s="68">
        <v>0</v>
      </c>
      <c r="AK733" s="68">
        <v>0</v>
      </c>
      <c r="AL733" s="68">
        <v>0</v>
      </c>
      <c r="AM733" s="68">
        <v>0</v>
      </c>
      <c r="AN733" s="68">
        <v>1</v>
      </c>
      <c r="AO733" s="68"/>
      <c r="AP733" s="68">
        <v>1</v>
      </c>
      <c r="AQ733" s="68"/>
      <c r="AR733" s="68">
        <v>0</v>
      </c>
      <c r="AS733" s="68">
        <v>0</v>
      </c>
      <c r="AT733" s="68">
        <v>1</v>
      </c>
      <c r="AU733" s="68"/>
      <c r="AV733" s="68">
        <v>0</v>
      </c>
      <c r="AW733" s="68">
        <v>0</v>
      </c>
      <c r="AX733" s="170">
        <f t="shared" si="102"/>
        <v>11710</v>
      </c>
      <c r="AY733" s="170"/>
      <c r="AZ733" s="64" t="s">
        <v>77</v>
      </c>
      <c r="BA733" s="64" t="s">
        <v>77</v>
      </c>
      <c r="BB733" s="15" t="s">
        <v>77</v>
      </c>
      <c r="BC733" s="74">
        <v>722</v>
      </c>
      <c r="BD733" s="70"/>
      <c r="BE733" s="67"/>
      <c r="BF733" s="71"/>
      <c r="BG733" s="15"/>
      <c r="BH733" s="72" t="s">
        <v>77</v>
      </c>
      <c r="BI733" s="72" t="s">
        <v>77</v>
      </c>
    </row>
    <row r="734" spans="1:61" s="16" customFormat="1" ht="42" customHeight="1" x14ac:dyDescent="0.3">
      <c r="A734" s="26">
        <v>723</v>
      </c>
      <c r="B734" s="62">
        <v>255261</v>
      </c>
      <c r="C734" s="62">
        <v>723</v>
      </c>
      <c r="D734" s="63">
        <v>46274</v>
      </c>
      <c r="E734" s="63">
        <f t="shared" si="99"/>
        <v>46273</v>
      </c>
      <c r="F734" s="63">
        <f t="shared" si="100"/>
        <v>46284</v>
      </c>
      <c r="G734" s="63">
        <v>46365</v>
      </c>
      <c r="H734" s="63">
        <f t="shared" ca="1" si="103"/>
        <v>46277</v>
      </c>
      <c r="I734" s="63" t="s">
        <v>321</v>
      </c>
      <c r="J734" s="64" t="s">
        <v>1582</v>
      </c>
      <c r="K734" s="65">
        <f t="shared" si="101"/>
        <v>81</v>
      </c>
      <c r="L734" s="65">
        <v>1264414</v>
      </c>
      <c r="M734" s="64" t="s">
        <v>77</v>
      </c>
      <c r="N734" s="64" t="s">
        <v>77</v>
      </c>
      <c r="O734" s="64" t="s">
        <v>77</v>
      </c>
      <c r="P734" s="103" t="s">
        <v>77</v>
      </c>
      <c r="Q734" s="103" t="s">
        <v>77</v>
      </c>
      <c r="R734" s="73" t="s">
        <v>211</v>
      </c>
      <c r="S734" s="66" t="s">
        <v>1583</v>
      </c>
      <c r="T734" s="67">
        <v>1</v>
      </c>
      <c r="U734" s="75" t="s">
        <v>82</v>
      </c>
      <c r="V734" s="68">
        <v>99</v>
      </c>
      <c r="W734" s="68"/>
      <c r="X734" s="69">
        <v>0</v>
      </c>
      <c r="Y734" s="68">
        <v>0</v>
      </c>
      <c r="Z734" s="68">
        <v>0</v>
      </c>
      <c r="AA734" s="68">
        <v>0</v>
      </c>
      <c r="AB734" s="68">
        <v>0</v>
      </c>
      <c r="AC734" s="68">
        <v>0</v>
      </c>
      <c r="AD734" s="68">
        <v>0</v>
      </c>
      <c r="AE734" s="68">
        <v>0</v>
      </c>
      <c r="AF734" s="68">
        <v>0</v>
      </c>
      <c r="AG734" s="68">
        <v>0</v>
      </c>
      <c r="AH734" s="68">
        <v>0</v>
      </c>
      <c r="AI734" s="68">
        <v>0</v>
      </c>
      <c r="AJ734" s="68">
        <v>0</v>
      </c>
      <c r="AK734" s="68">
        <v>0</v>
      </c>
      <c r="AL734" s="68">
        <v>1</v>
      </c>
      <c r="AM734" s="68"/>
      <c r="AN734" s="68">
        <v>1</v>
      </c>
      <c r="AO734" s="68"/>
      <c r="AP734" s="68">
        <v>0</v>
      </c>
      <c r="AQ734" s="68">
        <v>0</v>
      </c>
      <c r="AR734" s="68">
        <v>0</v>
      </c>
      <c r="AS734" s="68">
        <v>0</v>
      </c>
      <c r="AT734" s="68">
        <v>0</v>
      </c>
      <c r="AU734" s="68">
        <v>0</v>
      </c>
      <c r="AV734" s="68">
        <v>0</v>
      </c>
      <c r="AW734" s="68">
        <v>0</v>
      </c>
      <c r="AX734" s="170">
        <f t="shared" si="102"/>
        <v>6590</v>
      </c>
      <c r="AY734" s="170"/>
      <c r="AZ734" s="64" t="s">
        <v>77</v>
      </c>
      <c r="BA734" s="64" t="s">
        <v>77</v>
      </c>
      <c r="BB734" s="15" t="s">
        <v>77</v>
      </c>
      <c r="BC734" s="74">
        <v>723</v>
      </c>
      <c r="BD734" s="70"/>
      <c r="BE734" s="67"/>
      <c r="BF734" s="71"/>
      <c r="BG734" s="15"/>
      <c r="BH734" s="72" t="s">
        <v>77</v>
      </c>
      <c r="BI734" s="72" t="s">
        <v>77</v>
      </c>
    </row>
    <row r="735" spans="1:61" s="16" customFormat="1" ht="42" customHeight="1" x14ac:dyDescent="0.3">
      <c r="A735" s="26">
        <v>724</v>
      </c>
      <c r="B735" s="62">
        <v>255278</v>
      </c>
      <c r="C735" s="62">
        <v>724</v>
      </c>
      <c r="D735" s="63">
        <v>46274</v>
      </c>
      <c r="E735" s="63">
        <f t="shared" si="99"/>
        <v>46273</v>
      </c>
      <c r="F735" s="63">
        <f t="shared" si="100"/>
        <v>46284</v>
      </c>
      <c r="G735" s="63">
        <v>46365</v>
      </c>
      <c r="H735" s="63">
        <f t="shared" ca="1" si="103"/>
        <v>46277</v>
      </c>
      <c r="I735" s="63" t="s">
        <v>321</v>
      </c>
      <c r="J735" s="64" t="s">
        <v>1584</v>
      </c>
      <c r="K735" s="65">
        <f t="shared" si="101"/>
        <v>81</v>
      </c>
      <c r="L735" s="65">
        <v>1264438</v>
      </c>
      <c r="M735" s="64" t="s">
        <v>77</v>
      </c>
      <c r="N735" s="64" t="s">
        <v>77</v>
      </c>
      <c r="O735" s="64" t="s">
        <v>77</v>
      </c>
      <c r="P735" s="103" t="s">
        <v>77</v>
      </c>
      <c r="Q735" s="103" t="s">
        <v>77</v>
      </c>
      <c r="R735" s="73" t="s">
        <v>211</v>
      </c>
      <c r="S735" s="66" t="s">
        <v>1585</v>
      </c>
      <c r="T735" s="67">
        <v>1</v>
      </c>
      <c r="U735" s="75" t="s">
        <v>82</v>
      </c>
      <c r="V735" s="68">
        <v>39</v>
      </c>
      <c r="W735" s="68"/>
      <c r="X735" s="69">
        <v>0</v>
      </c>
      <c r="Y735" s="68">
        <v>0</v>
      </c>
      <c r="Z735" s="68">
        <v>0</v>
      </c>
      <c r="AA735" s="68">
        <v>0</v>
      </c>
      <c r="AB735" s="68">
        <v>0</v>
      </c>
      <c r="AC735" s="68">
        <v>0</v>
      </c>
      <c r="AD735" s="68">
        <v>0</v>
      </c>
      <c r="AE735" s="68">
        <v>0</v>
      </c>
      <c r="AF735" s="68">
        <v>0</v>
      </c>
      <c r="AG735" s="68">
        <v>0</v>
      </c>
      <c r="AH735" s="68">
        <v>0</v>
      </c>
      <c r="AI735" s="68">
        <v>0</v>
      </c>
      <c r="AJ735" s="68">
        <v>0</v>
      </c>
      <c r="AK735" s="68">
        <v>0</v>
      </c>
      <c r="AL735" s="68">
        <v>1</v>
      </c>
      <c r="AM735" s="68"/>
      <c r="AN735" s="68">
        <v>1</v>
      </c>
      <c r="AO735" s="68"/>
      <c r="AP735" s="68">
        <v>0</v>
      </c>
      <c r="AQ735" s="68">
        <v>0</v>
      </c>
      <c r="AR735" s="68">
        <v>0</v>
      </c>
      <c r="AS735" s="68">
        <v>0</v>
      </c>
      <c r="AT735" s="68">
        <v>0</v>
      </c>
      <c r="AU735" s="68">
        <v>0</v>
      </c>
      <c r="AV735" s="68">
        <v>0</v>
      </c>
      <c r="AW735" s="68">
        <v>0</v>
      </c>
      <c r="AX735" s="170">
        <f t="shared" si="102"/>
        <v>2990</v>
      </c>
      <c r="AY735" s="170"/>
      <c r="AZ735" s="64" t="s">
        <v>77</v>
      </c>
      <c r="BA735" s="64" t="s">
        <v>77</v>
      </c>
      <c r="BB735" s="15" t="s">
        <v>77</v>
      </c>
      <c r="BC735" s="74">
        <v>724</v>
      </c>
      <c r="BD735" s="70"/>
      <c r="BE735" s="67"/>
      <c r="BF735" s="71"/>
      <c r="BG735" s="15"/>
      <c r="BH735" s="72" t="s">
        <v>77</v>
      </c>
      <c r="BI735" s="72" t="s">
        <v>77</v>
      </c>
    </row>
    <row r="736" spans="1:61" s="16" customFormat="1" ht="42" customHeight="1" x14ac:dyDescent="0.3">
      <c r="A736" s="26"/>
      <c r="B736" s="62"/>
      <c r="C736" s="62"/>
      <c r="D736" s="63"/>
      <c r="E736" s="63"/>
      <c r="F736" s="63"/>
      <c r="G736" s="63"/>
      <c r="H736" s="63"/>
      <c r="I736" s="63"/>
      <c r="J736" s="64"/>
      <c r="K736" s="65"/>
      <c r="L736" s="65"/>
      <c r="M736" s="64"/>
      <c r="N736" s="64"/>
      <c r="O736" s="64"/>
      <c r="P736" s="103"/>
      <c r="Q736" s="103"/>
      <c r="R736" s="73"/>
      <c r="S736" s="66"/>
      <c r="T736" s="67"/>
      <c r="U736" s="75"/>
      <c r="V736" s="68"/>
      <c r="W736" s="68"/>
      <c r="X736" s="69"/>
      <c r="Y736" s="68"/>
      <c r="Z736" s="68"/>
      <c r="AA736" s="68"/>
      <c r="AB736" s="68"/>
      <c r="AC736" s="68"/>
      <c r="AD736" s="68"/>
      <c r="AE736" s="68"/>
      <c r="AF736" s="68"/>
      <c r="AG736" s="68"/>
      <c r="AH736" s="68"/>
      <c r="AI736" s="68"/>
      <c r="AJ736" s="68"/>
      <c r="AK736" s="68"/>
      <c r="AL736" s="68"/>
      <c r="AM736" s="68"/>
      <c r="AN736" s="68"/>
      <c r="AO736" s="68"/>
      <c r="AP736" s="68"/>
      <c r="AQ736" s="68"/>
      <c r="AR736" s="68"/>
      <c r="AS736" s="68"/>
      <c r="AT736" s="68"/>
      <c r="AU736" s="68"/>
      <c r="AV736" s="68"/>
      <c r="AW736" s="68"/>
      <c r="AX736" s="170"/>
      <c r="AY736" s="170"/>
      <c r="AZ736" s="64"/>
      <c r="BA736" s="64"/>
      <c r="BB736" s="15"/>
      <c r="BC736" s="74"/>
      <c r="BD736" s="70"/>
      <c r="BE736" s="67"/>
      <c r="BF736" s="71"/>
      <c r="BG736" s="15"/>
      <c r="BH736" s="72"/>
      <c r="BI736" s="72"/>
    </row>
    <row r="737" spans="1:61" s="16" customFormat="1" ht="42" customHeight="1" x14ac:dyDescent="0.3">
      <c r="A737" s="26"/>
      <c r="B737" s="62"/>
      <c r="C737" s="62"/>
      <c r="D737" s="63"/>
      <c r="E737" s="63"/>
      <c r="F737" s="63"/>
      <c r="G737" s="63"/>
      <c r="H737" s="63"/>
      <c r="I737" s="63"/>
      <c r="J737" s="64"/>
      <c r="K737" s="65"/>
      <c r="L737" s="65"/>
      <c r="M737" s="64"/>
      <c r="N737" s="64"/>
      <c r="O737" s="64"/>
      <c r="P737" s="103"/>
      <c r="Q737" s="103"/>
      <c r="R737" s="73"/>
      <c r="S737" s="66"/>
      <c r="T737" s="67"/>
      <c r="U737" s="75"/>
      <c r="V737" s="68"/>
      <c r="W737" s="68"/>
      <c r="X737" s="69"/>
      <c r="Y737" s="68"/>
      <c r="Z737" s="68"/>
      <c r="AA737" s="68"/>
      <c r="AB737" s="68"/>
      <c r="AC737" s="68"/>
      <c r="AD737" s="68"/>
      <c r="AE737" s="68"/>
      <c r="AF737" s="68"/>
      <c r="AG737" s="68"/>
      <c r="AH737" s="68"/>
      <c r="AI737" s="68"/>
      <c r="AJ737" s="68"/>
      <c r="AK737" s="68"/>
      <c r="AL737" s="68"/>
      <c r="AM737" s="68"/>
      <c r="AN737" s="68"/>
      <c r="AO737" s="68"/>
      <c r="AP737" s="68"/>
      <c r="AQ737" s="68"/>
      <c r="AR737" s="68"/>
      <c r="AS737" s="68"/>
      <c r="AT737" s="68"/>
      <c r="AU737" s="68"/>
      <c r="AV737" s="68"/>
      <c r="AW737" s="68"/>
      <c r="AX737" s="170"/>
      <c r="AY737" s="170"/>
      <c r="AZ737" s="64"/>
      <c r="BA737" s="64"/>
      <c r="BB737" s="15"/>
      <c r="BC737" s="74"/>
      <c r="BD737" s="70"/>
      <c r="BE737" s="67"/>
      <c r="BF737" s="71"/>
      <c r="BG737" s="15"/>
      <c r="BH737" s="72"/>
      <c r="BI737" s="72"/>
    </row>
    <row r="738" spans="1:61" s="16" customFormat="1" ht="42" customHeight="1" x14ac:dyDescent="0.3">
      <c r="A738" s="26"/>
      <c r="B738" s="62"/>
      <c r="C738" s="62"/>
      <c r="D738" s="63"/>
      <c r="E738" s="63"/>
      <c r="F738" s="63"/>
      <c r="G738" s="63"/>
      <c r="H738" s="63"/>
      <c r="I738" s="63"/>
      <c r="J738" s="64"/>
      <c r="K738" s="65"/>
      <c r="L738" s="65"/>
      <c r="M738" s="64"/>
      <c r="N738" s="64"/>
      <c r="O738" s="64"/>
      <c r="P738" s="103"/>
      <c r="Q738" s="103"/>
      <c r="R738" s="73"/>
      <c r="S738" s="66"/>
      <c r="T738" s="67"/>
      <c r="U738" s="75"/>
      <c r="V738" s="68"/>
      <c r="W738" s="68"/>
      <c r="X738" s="69"/>
      <c r="Y738" s="68"/>
      <c r="Z738" s="68"/>
      <c r="AA738" s="68"/>
      <c r="AB738" s="68"/>
      <c r="AC738" s="68"/>
      <c r="AD738" s="68"/>
      <c r="AE738" s="68"/>
      <c r="AF738" s="68"/>
      <c r="AG738" s="68"/>
      <c r="AH738" s="68"/>
      <c r="AI738" s="68"/>
      <c r="AJ738" s="68"/>
      <c r="AK738" s="68"/>
      <c r="AL738" s="68"/>
      <c r="AM738" s="68"/>
      <c r="AN738" s="68"/>
      <c r="AO738" s="68"/>
      <c r="AP738" s="68"/>
      <c r="AQ738" s="68"/>
      <c r="AR738" s="68"/>
      <c r="AS738" s="68"/>
      <c r="AT738" s="68"/>
      <c r="AU738" s="68"/>
      <c r="AV738" s="68"/>
      <c r="AW738" s="68"/>
      <c r="AX738" s="170"/>
      <c r="AY738" s="170"/>
      <c r="AZ738" s="64"/>
      <c r="BA738" s="64"/>
      <c r="BB738" s="15"/>
      <c r="BC738" s="74"/>
      <c r="BD738" s="70"/>
      <c r="BE738" s="67"/>
      <c r="BF738" s="71"/>
      <c r="BG738" s="15"/>
      <c r="BH738" s="72"/>
      <c r="BI738" s="72"/>
    </row>
    <row r="739" spans="1:61" s="16" customFormat="1" ht="42" customHeight="1" x14ac:dyDescent="0.3">
      <c r="A739" s="26"/>
      <c r="B739" s="62"/>
      <c r="C739" s="62"/>
      <c r="D739" s="63"/>
      <c r="E739" s="63"/>
      <c r="F739" s="63"/>
      <c r="G739" s="63"/>
      <c r="H739" s="63"/>
      <c r="I739" s="63"/>
      <c r="J739" s="64"/>
      <c r="K739" s="65"/>
      <c r="L739" s="65"/>
      <c r="M739" s="64"/>
      <c r="N739" s="64"/>
      <c r="O739" s="64"/>
      <c r="P739" s="103"/>
      <c r="Q739" s="103"/>
      <c r="R739" s="73"/>
      <c r="S739" s="66"/>
      <c r="T739" s="67"/>
      <c r="U739" s="75"/>
      <c r="V739" s="68"/>
      <c r="W739" s="68"/>
      <c r="X739" s="69"/>
      <c r="Y739" s="68"/>
      <c r="Z739" s="68"/>
      <c r="AA739" s="68"/>
      <c r="AB739" s="68"/>
      <c r="AC739" s="68"/>
      <c r="AD739" s="68"/>
      <c r="AE739" s="68"/>
      <c r="AF739" s="68"/>
      <c r="AG739" s="68"/>
      <c r="AH739" s="68"/>
      <c r="AI739" s="68"/>
      <c r="AJ739" s="68"/>
      <c r="AK739" s="68"/>
      <c r="AL739" s="68"/>
      <c r="AM739" s="68"/>
      <c r="AN739" s="68"/>
      <c r="AO739" s="68"/>
      <c r="AP739" s="68"/>
      <c r="AQ739" s="68"/>
      <c r="AR739" s="68"/>
      <c r="AS739" s="68"/>
      <c r="AT739" s="68"/>
      <c r="AU739" s="68"/>
      <c r="AV739" s="68"/>
      <c r="AW739" s="68"/>
      <c r="AX739" s="170"/>
      <c r="AY739" s="170"/>
      <c r="AZ739" s="64"/>
      <c r="BA739" s="64"/>
      <c r="BB739" s="15"/>
      <c r="BC739" s="74"/>
      <c r="BD739" s="70"/>
      <c r="BE739" s="67"/>
      <c r="BF739" s="71"/>
      <c r="BG739" s="15"/>
      <c r="BH739" s="72"/>
      <c r="BI739" s="72"/>
    </row>
    <row r="740" spans="1:61" s="16" customFormat="1" ht="42" customHeight="1" x14ac:dyDescent="0.3">
      <c r="A740" s="26"/>
      <c r="B740" s="62"/>
      <c r="C740" s="62"/>
      <c r="D740" s="63"/>
      <c r="E740" s="63"/>
      <c r="F740" s="63"/>
      <c r="G740" s="63"/>
      <c r="H740" s="63"/>
      <c r="I740" s="63"/>
      <c r="J740" s="64"/>
      <c r="K740" s="65"/>
      <c r="L740" s="65"/>
      <c r="M740" s="64"/>
      <c r="N740" s="64"/>
      <c r="O740" s="64"/>
      <c r="P740" s="103"/>
      <c r="Q740" s="103"/>
      <c r="R740" s="73"/>
      <c r="S740" s="66"/>
      <c r="T740" s="67"/>
      <c r="U740" s="75"/>
      <c r="V740" s="68"/>
      <c r="W740" s="68"/>
      <c r="X740" s="69"/>
      <c r="Y740" s="68"/>
      <c r="Z740" s="68"/>
      <c r="AA740" s="68"/>
      <c r="AB740" s="68"/>
      <c r="AC740" s="68"/>
      <c r="AD740" s="68"/>
      <c r="AE740" s="68"/>
      <c r="AF740" s="68"/>
      <c r="AG740" s="68"/>
      <c r="AH740" s="68"/>
      <c r="AI740" s="68"/>
      <c r="AJ740" s="68"/>
      <c r="AK740" s="68"/>
      <c r="AL740" s="68"/>
      <c r="AM740" s="68"/>
      <c r="AN740" s="68"/>
      <c r="AO740" s="68"/>
      <c r="AP740" s="68"/>
      <c r="AQ740" s="68"/>
      <c r="AR740" s="68"/>
      <c r="AS740" s="68"/>
      <c r="AT740" s="68"/>
      <c r="AU740" s="68"/>
      <c r="AV740" s="68"/>
      <c r="AW740" s="68"/>
      <c r="AX740" s="170"/>
      <c r="AY740" s="170"/>
      <c r="AZ740" s="64"/>
      <c r="BA740" s="64"/>
      <c r="BB740" s="15"/>
      <c r="BC740" s="74"/>
      <c r="BD740" s="70"/>
      <c r="BE740" s="67"/>
      <c r="BF740" s="71"/>
      <c r="BG740" s="15"/>
      <c r="BH740" s="72"/>
      <c r="BI740" s="72"/>
    </row>
    <row r="741" spans="1:61" s="16" customFormat="1" ht="42" customHeight="1" x14ac:dyDescent="0.3">
      <c r="A741" s="26"/>
      <c r="B741" s="62"/>
      <c r="C741" s="62"/>
      <c r="D741" s="63"/>
      <c r="E741" s="63"/>
      <c r="F741" s="63"/>
      <c r="G741" s="63"/>
      <c r="H741" s="63"/>
      <c r="I741" s="63"/>
      <c r="J741" s="64"/>
      <c r="K741" s="65"/>
      <c r="L741" s="65"/>
      <c r="M741" s="64"/>
      <c r="N741" s="64"/>
      <c r="O741" s="64"/>
      <c r="P741" s="103"/>
      <c r="Q741" s="103"/>
      <c r="R741" s="73"/>
      <c r="S741" s="66"/>
      <c r="T741" s="67"/>
      <c r="U741" s="75"/>
      <c r="V741" s="68"/>
      <c r="W741" s="68"/>
      <c r="X741" s="69"/>
      <c r="Y741" s="68"/>
      <c r="Z741" s="68"/>
      <c r="AA741" s="68"/>
      <c r="AB741" s="68"/>
      <c r="AC741" s="68"/>
      <c r="AD741" s="68"/>
      <c r="AE741" s="68"/>
      <c r="AF741" s="68"/>
      <c r="AG741" s="68"/>
      <c r="AH741" s="68"/>
      <c r="AI741" s="68"/>
      <c r="AJ741" s="68"/>
      <c r="AK741" s="68"/>
      <c r="AL741" s="68"/>
      <c r="AM741" s="68"/>
      <c r="AN741" s="68"/>
      <c r="AO741" s="68"/>
      <c r="AP741" s="68"/>
      <c r="AQ741" s="68"/>
      <c r="AR741" s="68"/>
      <c r="AS741" s="68"/>
      <c r="AT741" s="68"/>
      <c r="AU741" s="68"/>
      <c r="AV741" s="68"/>
      <c r="AW741" s="68"/>
      <c r="AX741" s="170"/>
      <c r="AY741" s="170"/>
      <c r="AZ741" s="64"/>
      <c r="BA741" s="64"/>
      <c r="BB741" s="15"/>
      <c r="BC741" s="74"/>
      <c r="BD741" s="70"/>
      <c r="BE741" s="67"/>
      <c r="BF741" s="71"/>
      <c r="BG741" s="15"/>
      <c r="BH741" s="72"/>
      <c r="BI741" s="72"/>
    </row>
    <row r="742" spans="1:61" s="16" customFormat="1" ht="42" customHeight="1" x14ac:dyDescent="0.3">
      <c r="A742" s="26"/>
      <c r="B742" s="62"/>
      <c r="C742" s="62"/>
      <c r="D742" s="63"/>
      <c r="E742" s="63"/>
      <c r="F742" s="63"/>
      <c r="G742" s="63"/>
      <c r="H742" s="63"/>
      <c r="I742" s="63"/>
      <c r="J742" s="64"/>
      <c r="K742" s="65"/>
      <c r="L742" s="65"/>
      <c r="M742" s="64"/>
      <c r="N742" s="64"/>
      <c r="O742" s="64"/>
      <c r="P742" s="103"/>
      <c r="Q742" s="103"/>
      <c r="R742" s="64"/>
      <c r="S742" s="66"/>
      <c r="T742" s="67"/>
      <c r="U742" s="75"/>
      <c r="V742" s="68"/>
      <c r="W742" s="68"/>
      <c r="X742" s="69"/>
      <c r="Y742" s="68"/>
      <c r="Z742" s="68"/>
      <c r="AA742" s="68"/>
      <c r="AB742" s="68"/>
      <c r="AC742" s="68"/>
      <c r="AD742" s="68"/>
      <c r="AE742" s="68"/>
      <c r="AF742" s="68"/>
      <c r="AG742" s="68"/>
      <c r="AH742" s="68"/>
      <c r="AI742" s="68"/>
      <c r="AJ742" s="68"/>
      <c r="AK742" s="68"/>
      <c r="AL742" s="68"/>
      <c r="AM742" s="68"/>
      <c r="AN742" s="68"/>
      <c r="AO742" s="68"/>
      <c r="AP742" s="68"/>
      <c r="AQ742" s="68"/>
      <c r="AR742" s="68"/>
      <c r="AS742" s="68"/>
      <c r="AT742" s="68"/>
      <c r="AU742" s="68"/>
      <c r="AV742" s="68"/>
      <c r="AW742" s="68"/>
      <c r="AX742" s="170">
        <v>0</v>
      </c>
      <c r="AY742" s="170">
        <f>(W742*60)+(Y742*80)+(AA742*38)+(AC742*57)+(AE742*75)+(AG742*155)+(AI742*170)+(AK742*375)+(AM742*590)+(AO742*60)+(AQ742*630)+(AS742*400)+(AU742*350)+(AW742*950)</f>
        <v>0</v>
      </c>
      <c r="AZ742" s="15"/>
      <c r="BA742" s="15"/>
      <c r="BB742" s="15"/>
      <c r="BC742" s="74"/>
      <c r="BD742" s="70"/>
      <c r="BE742" s="67"/>
      <c r="BF742" s="71"/>
      <c r="BG742" s="15"/>
      <c r="BH742" s="15"/>
      <c r="BI742" s="15"/>
    </row>
    <row r="743" spans="1:61" x14ac:dyDescent="0.35">
      <c r="A743" s="198"/>
      <c r="B743" s="203"/>
      <c r="C743" s="198"/>
      <c r="D743" s="204"/>
      <c r="E743" s="204"/>
      <c r="F743" s="204"/>
      <c r="G743" s="204"/>
      <c r="H743" s="205"/>
      <c r="I743" s="205"/>
      <c r="J743" s="206"/>
      <c r="K743" s="207"/>
      <c r="L743" s="205"/>
      <c r="M743" s="205"/>
      <c r="N743" s="208"/>
      <c r="O743" s="208"/>
      <c r="P743" s="209"/>
      <c r="Q743" s="209"/>
      <c r="R743" s="210"/>
      <c r="S743" s="205"/>
      <c r="T743" s="211"/>
      <c r="U743" s="135"/>
      <c r="V743" s="212"/>
      <c r="W743" s="212"/>
      <c r="X743" s="212"/>
      <c r="Y743" s="212"/>
      <c r="Z743" s="212"/>
      <c r="AA743" s="212"/>
      <c r="AB743" s="212"/>
      <c r="AC743" s="212"/>
      <c r="AD743" s="212"/>
      <c r="AE743" s="212"/>
      <c r="AF743" s="212"/>
      <c r="AG743" s="212"/>
      <c r="AH743" s="212"/>
      <c r="AI743" s="212"/>
      <c r="AJ743" s="212"/>
      <c r="AK743" s="212"/>
      <c r="AL743" s="212"/>
      <c r="AM743" s="212"/>
      <c r="AN743" s="212"/>
      <c r="AO743" s="212"/>
      <c r="AP743" s="212"/>
      <c r="AQ743" s="212"/>
      <c r="AR743" s="212"/>
      <c r="AS743" s="212"/>
      <c r="AT743" s="212"/>
      <c r="AU743" s="212"/>
      <c r="AV743" s="212"/>
      <c r="AW743" s="212"/>
      <c r="AX743" s="212"/>
      <c r="AY743" s="212"/>
      <c r="AZ743" s="213"/>
      <c r="BA743" s="214"/>
      <c r="BB743" s="198"/>
      <c r="BC743" s="215"/>
      <c r="BD743" s="215"/>
      <c r="BE743" s="212"/>
      <c r="BF743" s="215"/>
      <c r="BG743" s="216"/>
      <c r="BH743" s="217"/>
      <c r="BI743" s="218"/>
    </row>
    <row r="744" spans="1:61" s="16" customFormat="1" ht="44.1" customHeight="1" x14ac:dyDescent="0.4">
      <c r="A744" s="26"/>
      <c r="B744" s="19"/>
      <c r="C744" s="27"/>
      <c r="D744" s="28"/>
      <c r="E744" s="29"/>
      <c r="F744" s="29"/>
      <c r="G744" s="30"/>
      <c r="H744" s="30"/>
      <c r="I744" s="30"/>
      <c r="J744" s="38"/>
      <c r="K744" s="30"/>
      <c r="L744" s="31"/>
      <c r="M744" s="31"/>
      <c r="N744" s="19"/>
      <c r="O744" s="19"/>
      <c r="P744" s="105"/>
      <c r="Q744" s="105"/>
      <c r="R744" s="32"/>
      <c r="S744" s="31"/>
      <c r="T744" s="33"/>
      <c r="U744" s="33"/>
      <c r="V744" s="34">
        <f t="shared" ref="V744:AW744" si="104">SUM(V5:V743)</f>
        <v>65496</v>
      </c>
      <c r="W744" s="34">
        <f t="shared" si="104"/>
        <v>36954</v>
      </c>
      <c r="X744" s="34">
        <f t="shared" si="104"/>
        <v>1017</v>
      </c>
      <c r="Y744" s="34">
        <f t="shared" si="104"/>
        <v>936</v>
      </c>
      <c r="Z744" s="34">
        <f t="shared" si="104"/>
        <v>283</v>
      </c>
      <c r="AA744" s="34">
        <f t="shared" si="104"/>
        <v>282</v>
      </c>
      <c r="AB744" s="34">
        <f t="shared" si="104"/>
        <v>17440</v>
      </c>
      <c r="AC744" s="34">
        <f t="shared" si="104"/>
        <v>17414</v>
      </c>
      <c r="AD744" s="34">
        <f t="shared" si="104"/>
        <v>562</v>
      </c>
      <c r="AE744" s="34">
        <f t="shared" si="104"/>
        <v>562</v>
      </c>
      <c r="AF744" s="34">
        <f t="shared" si="104"/>
        <v>2383</v>
      </c>
      <c r="AG744" s="34">
        <f t="shared" si="104"/>
        <v>2383</v>
      </c>
      <c r="AH744" s="34">
        <f t="shared" si="104"/>
        <v>524</v>
      </c>
      <c r="AI744" s="34">
        <f t="shared" si="104"/>
        <v>410</v>
      </c>
      <c r="AJ744" s="34">
        <f t="shared" si="104"/>
        <v>58</v>
      </c>
      <c r="AK744" s="34">
        <f t="shared" si="104"/>
        <v>25</v>
      </c>
      <c r="AL744" s="34">
        <f t="shared" si="104"/>
        <v>641</v>
      </c>
      <c r="AM744" s="34">
        <f t="shared" si="104"/>
        <v>340</v>
      </c>
      <c r="AN744" s="34">
        <f t="shared" si="104"/>
        <v>1063</v>
      </c>
      <c r="AO744" s="34">
        <f t="shared" si="104"/>
        <v>642</v>
      </c>
      <c r="AP744" s="34">
        <f t="shared" si="104"/>
        <v>1003</v>
      </c>
      <c r="AQ744" s="34">
        <f t="shared" si="104"/>
        <v>658</v>
      </c>
      <c r="AR744" s="34">
        <f t="shared" si="104"/>
        <v>0</v>
      </c>
      <c r="AS744" s="34">
        <f t="shared" si="104"/>
        <v>0</v>
      </c>
      <c r="AT744" s="34">
        <f t="shared" si="104"/>
        <v>341</v>
      </c>
      <c r="AU744" s="34">
        <f t="shared" si="104"/>
        <v>290</v>
      </c>
      <c r="AV744" s="34">
        <f t="shared" si="104"/>
        <v>41</v>
      </c>
      <c r="AW744" s="34">
        <f t="shared" si="104"/>
        <v>40</v>
      </c>
      <c r="AX744" s="34">
        <f>SUM(AX5:AX743)</f>
        <v>6762099</v>
      </c>
      <c r="AY744" s="34">
        <f>SUM(AY5:AY743)</f>
        <v>4579184</v>
      </c>
      <c r="AZ744" s="35"/>
      <c r="BA744" s="35"/>
      <c r="BB744" s="36"/>
      <c r="BC744" s="20"/>
      <c r="BD744" s="34">
        <f>SUBTOTAL(9,BD5:BD412)</f>
        <v>0</v>
      </c>
      <c r="BE744" s="34"/>
      <c r="BF744" s="35"/>
      <c r="BG744" s="37"/>
      <c r="BH744" s="35"/>
      <c r="BI744" s="15"/>
    </row>
    <row r="746" spans="1:61" ht="25.8" x14ac:dyDescent="0.5">
      <c r="V746" s="239">
        <f>SUBTOTAL(9,V5:V742)</f>
        <v>33552</v>
      </c>
      <c r="W746" s="239">
        <f t="shared" ref="W746:AW746" si="105">SUBTOTAL(9,W5:W742)</f>
        <v>6689</v>
      </c>
      <c r="X746" s="239">
        <f t="shared" si="105"/>
        <v>267</v>
      </c>
      <c r="Y746" s="239">
        <f t="shared" si="105"/>
        <v>189</v>
      </c>
      <c r="Z746" s="239">
        <f t="shared" si="105"/>
        <v>32</v>
      </c>
      <c r="AA746" s="239">
        <f t="shared" si="105"/>
        <v>32</v>
      </c>
      <c r="AB746" s="239">
        <f t="shared" si="105"/>
        <v>3645</v>
      </c>
      <c r="AC746" s="239">
        <f t="shared" si="105"/>
        <v>3638</v>
      </c>
      <c r="AD746" s="239">
        <f t="shared" si="105"/>
        <v>216</v>
      </c>
      <c r="AE746" s="239">
        <f t="shared" si="105"/>
        <v>216</v>
      </c>
      <c r="AF746" s="239">
        <f t="shared" si="105"/>
        <v>557</v>
      </c>
      <c r="AG746" s="239">
        <f t="shared" si="105"/>
        <v>557</v>
      </c>
      <c r="AH746" s="239">
        <f t="shared" si="105"/>
        <v>142</v>
      </c>
      <c r="AI746" s="239">
        <f t="shared" si="105"/>
        <v>49</v>
      </c>
      <c r="AJ746" s="239">
        <f t="shared" si="105"/>
        <v>36</v>
      </c>
      <c r="AK746" s="239">
        <f t="shared" si="105"/>
        <v>4</v>
      </c>
      <c r="AL746" s="239">
        <f t="shared" si="105"/>
        <v>346</v>
      </c>
      <c r="AM746" s="239">
        <f t="shared" si="105"/>
        <v>67</v>
      </c>
      <c r="AN746" s="239">
        <f t="shared" si="105"/>
        <v>517</v>
      </c>
      <c r="AO746" s="239">
        <f t="shared" si="105"/>
        <v>122</v>
      </c>
      <c r="AP746" s="239">
        <f t="shared" si="105"/>
        <v>440</v>
      </c>
      <c r="AQ746" s="239">
        <f t="shared" si="105"/>
        <v>120</v>
      </c>
      <c r="AR746" s="239">
        <f t="shared" si="105"/>
        <v>0</v>
      </c>
      <c r="AS746" s="239">
        <f t="shared" si="105"/>
        <v>0</v>
      </c>
      <c r="AT746" s="239">
        <f t="shared" si="105"/>
        <v>67</v>
      </c>
      <c r="AU746" s="239">
        <f t="shared" si="105"/>
        <v>33</v>
      </c>
      <c r="AV746" s="239">
        <f t="shared" si="105"/>
        <v>5</v>
      </c>
      <c r="AW746" s="239">
        <f t="shared" si="105"/>
        <v>5</v>
      </c>
      <c r="AX746" s="43"/>
    </row>
    <row r="747" spans="1:61" ht="25.8" x14ac:dyDescent="0.5">
      <c r="W747" s="44"/>
      <c r="X747" s="44"/>
      <c r="Y747" s="44"/>
      <c r="Z747" s="44"/>
      <c r="AA747" s="44"/>
      <c r="AB747" s="44"/>
      <c r="AC747" s="44"/>
      <c r="AD747" s="44"/>
      <c r="AE747" s="44"/>
      <c r="AF747" s="44"/>
      <c r="AG747" s="44"/>
      <c r="AH747" s="44"/>
      <c r="AI747" s="44"/>
      <c r="AJ747" s="44"/>
      <c r="AK747" s="44"/>
      <c r="AL747" s="44"/>
      <c r="AM747" s="44"/>
      <c r="AN747" s="44"/>
      <c r="AO747" s="44"/>
      <c r="AP747" s="44"/>
      <c r="AQ747" s="44"/>
      <c r="AR747" s="44"/>
      <c r="AS747" s="44"/>
      <c r="AT747" s="44"/>
      <c r="AU747" s="44"/>
      <c r="AV747" s="44"/>
      <c r="AW747" s="44"/>
      <c r="AX747" s="44"/>
      <c r="AY747" s="43"/>
      <c r="AZ747" s="43"/>
    </row>
    <row r="749" spans="1:61" x14ac:dyDescent="0.35">
      <c r="AZ749" s="21"/>
    </row>
    <row r="751" spans="1:61" x14ac:dyDescent="0.35">
      <c r="AY751" s="46"/>
    </row>
    <row r="753" spans="35:52" x14ac:dyDescent="0.45">
      <c r="AX753" s="129"/>
      <c r="AY753" s="130"/>
    </row>
    <row r="754" spans="35:52" x14ac:dyDescent="0.45">
      <c r="AY754" s="130"/>
    </row>
    <row r="755" spans="35:52" x14ac:dyDescent="0.35">
      <c r="AY755" s="46"/>
      <c r="AZ755" s="45"/>
    </row>
    <row r="758" spans="35:52" x14ac:dyDescent="0.35">
      <c r="AI758" s="21">
        <v>0</v>
      </c>
    </row>
    <row r="1046420" spans="52:52" x14ac:dyDescent="0.35">
      <c r="AZ1046420" s="9"/>
    </row>
  </sheetData>
  <autoFilter ref="A2:BI735" xr:uid="{5B139460-0E5C-49CB-9359-B2705A6D671C}">
    <filterColumn colId="21" showButton="0"/>
    <filterColumn colId="23" showButton="0"/>
    <filterColumn colId="25" showButton="0"/>
    <filterColumn colId="27" showButton="0"/>
    <filterColumn colId="29" showButton="0"/>
    <filterColumn colId="31" showButton="0"/>
    <filterColumn colId="33" showButton="0"/>
    <filterColumn colId="35" showButton="0"/>
    <filterColumn colId="37" showButton="0"/>
    <filterColumn colId="39" showButton="0"/>
    <filterColumn colId="41" showButton="0"/>
    <filterColumn colId="43" showButton="0"/>
    <filterColumn colId="45" showButton="0"/>
    <filterColumn colId="47" showButton="0"/>
    <filterColumn colId="49" showButton="0"/>
    <filterColumn colId="60">
      <filters blank="1">
        <filter val="Job Combine With CWR-478"/>
        <filter val="Job Completed With 286"/>
        <filter val="Job Completed With 566"/>
        <filter val="Pending"/>
      </filters>
    </filterColumn>
  </autoFilter>
  <mergeCells count="63">
    <mergeCell ref="Q2:Q4"/>
    <mergeCell ref="BF2:BF4"/>
    <mergeCell ref="BE2:BE4"/>
    <mergeCell ref="BD2:BD4"/>
    <mergeCell ref="BB2:BB4"/>
    <mergeCell ref="AZ2:AZ4"/>
    <mergeCell ref="AV2:AW2"/>
    <mergeCell ref="BA2:BA4"/>
    <mergeCell ref="X3:Y3"/>
    <mergeCell ref="Z3:AA3"/>
    <mergeCell ref="AX3:AX4"/>
    <mergeCell ref="AL3:AM3"/>
    <mergeCell ref="AX2:AY2"/>
    <mergeCell ref="AR2:AS2"/>
    <mergeCell ref="AD3:AE3"/>
    <mergeCell ref="BH2:BH4"/>
    <mergeCell ref="BC2:BC4"/>
    <mergeCell ref="A1:BI1"/>
    <mergeCell ref="G2:G4"/>
    <mergeCell ref="J2:J4"/>
    <mergeCell ref="K2:K4"/>
    <mergeCell ref="U2:U4"/>
    <mergeCell ref="C2:C4"/>
    <mergeCell ref="L2:L4"/>
    <mergeCell ref="N2:N4"/>
    <mergeCell ref="F2:F4"/>
    <mergeCell ref="E2:E4"/>
    <mergeCell ref="S2:S4"/>
    <mergeCell ref="D2:D4"/>
    <mergeCell ref="A2:A4"/>
    <mergeCell ref="AY3:AY4"/>
    <mergeCell ref="BI2:BI4"/>
    <mergeCell ref="BG2:BG4"/>
    <mergeCell ref="V2:W2"/>
    <mergeCell ref="V3:W3"/>
    <mergeCell ref="AJ2:AK2"/>
    <mergeCell ref="AT2:AU2"/>
    <mergeCell ref="AP3:AQ3"/>
    <mergeCell ref="AB2:AC2"/>
    <mergeCell ref="AB3:AC3"/>
    <mergeCell ref="AH2:AI2"/>
    <mergeCell ref="AH3:AI3"/>
    <mergeCell ref="AJ3:AK3"/>
    <mergeCell ref="AF2:AG2"/>
    <mergeCell ref="AF3:AG3"/>
    <mergeCell ref="AD2:AE2"/>
    <mergeCell ref="AV3:AW3"/>
    <mergeCell ref="B2:B4"/>
    <mergeCell ref="M2:M4"/>
    <mergeCell ref="I2:I4"/>
    <mergeCell ref="P2:P4"/>
    <mergeCell ref="AT3:AU3"/>
    <mergeCell ref="AR3:AS3"/>
    <mergeCell ref="AP2:AQ2"/>
    <mergeCell ref="O2:O4"/>
    <mergeCell ref="R2:R4"/>
    <mergeCell ref="AN2:AO2"/>
    <mergeCell ref="AL2:AM2"/>
    <mergeCell ref="X2:Y2"/>
    <mergeCell ref="H2:H4"/>
    <mergeCell ref="T2:T4"/>
    <mergeCell ref="Z2:AA2"/>
    <mergeCell ref="AN3:AO3"/>
  </mergeCells>
  <phoneticPr fontId="6" type="noConversion"/>
  <conditionalFormatting sqref="C70">
    <cfRule type="duplicateValues" dxfId="31" priority="30"/>
  </conditionalFormatting>
  <conditionalFormatting sqref="C132">
    <cfRule type="duplicateValues" dxfId="30" priority="39"/>
  </conditionalFormatting>
  <conditionalFormatting sqref="C216">
    <cfRule type="duplicateValues" dxfId="29" priority="50"/>
  </conditionalFormatting>
  <conditionalFormatting sqref="C217:C218">
    <cfRule type="duplicateValues" dxfId="28" priority="47"/>
  </conditionalFormatting>
  <conditionalFormatting sqref="C238">
    <cfRule type="duplicateValues" dxfId="27" priority="45"/>
  </conditionalFormatting>
  <conditionalFormatting sqref="C244">
    <cfRule type="duplicateValues" dxfId="26" priority="9"/>
  </conditionalFormatting>
  <conditionalFormatting sqref="C246">
    <cfRule type="duplicateValues" dxfId="25" priority="46"/>
  </conditionalFormatting>
  <conditionalFormatting sqref="C279">
    <cfRule type="duplicateValues" dxfId="24" priority="7"/>
  </conditionalFormatting>
  <conditionalFormatting sqref="C291">
    <cfRule type="duplicateValues" dxfId="23" priority="27"/>
  </conditionalFormatting>
  <conditionalFormatting sqref="C297">
    <cfRule type="duplicateValues" dxfId="22" priority="38"/>
  </conditionalFormatting>
  <conditionalFormatting sqref="C320">
    <cfRule type="duplicateValues" dxfId="21" priority="44"/>
  </conditionalFormatting>
  <conditionalFormatting sqref="C340">
    <cfRule type="duplicateValues" dxfId="20" priority="43"/>
  </conditionalFormatting>
  <conditionalFormatting sqref="C347">
    <cfRule type="duplicateValues" dxfId="19" priority="6"/>
  </conditionalFormatting>
  <conditionalFormatting sqref="C351">
    <cfRule type="duplicateValues" dxfId="18" priority="40"/>
  </conditionalFormatting>
  <conditionalFormatting sqref="C360">
    <cfRule type="duplicateValues" dxfId="17" priority="35"/>
  </conditionalFormatting>
  <conditionalFormatting sqref="C375">
    <cfRule type="duplicateValues" dxfId="16" priority="5"/>
  </conditionalFormatting>
  <conditionalFormatting sqref="C382">
    <cfRule type="duplicateValues" dxfId="15" priority="4"/>
  </conditionalFormatting>
  <conditionalFormatting sqref="C392">
    <cfRule type="duplicateValues" dxfId="14" priority="37"/>
  </conditionalFormatting>
  <conditionalFormatting sqref="C420">
    <cfRule type="duplicateValues" dxfId="13" priority="34"/>
  </conditionalFormatting>
  <conditionalFormatting sqref="C437">
    <cfRule type="duplicateValues" dxfId="12" priority="33"/>
  </conditionalFormatting>
  <conditionalFormatting sqref="C441">
    <cfRule type="duplicateValues" dxfId="11" priority="32"/>
  </conditionalFormatting>
  <conditionalFormatting sqref="C447">
    <cfRule type="duplicateValues" dxfId="10" priority="31"/>
  </conditionalFormatting>
  <conditionalFormatting sqref="C463:C466 C468:C472">
    <cfRule type="duplicateValues" dxfId="9" priority="36"/>
  </conditionalFormatting>
  <conditionalFormatting sqref="C467">
    <cfRule type="duplicateValues" dxfId="8" priority="1"/>
  </conditionalFormatting>
  <conditionalFormatting sqref="C488">
    <cfRule type="duplicateValues" dxfId="7" priority="28"/>
  </conditionalFormatting>
  <conditionalFormatting sqref="C512:C513">
    <cfRule type="duplicateValues" dxfId="6" priority="12"/>
  </conditionalFormatting>
  <conditionalFormatting sqref="C517">
    <cfRule type="duplicateValues" dxfId="5" priority="23"/>
  </conditionalFormatting>
  <conditionalFormatting sqref="C533">
    <cfRule type="duplicateValues" dxfId="4" priority="22"/>
  </conditionalFormatting>
  <conditionalFormatting sqref="C543">
    <cfRule type="duplicateValues" dxfId="3" priority="8"/>
  </conditionalFormatting>
  <conditionalFormatting sqref="C663">
    <cfRule type="duplicateValues" dxfId="2" priority="3"/>
  </conditionalFormatting>
  <conditionalFormatting sqref="C664:C691 C219:C231 C355:C359 C1:C69 C393:C419 C361:C374 C421:C436 C438:C440 C442:C446 C71:C131 C518:C532 C489:C511 C473:C487 C179:C215 C448:C462 C133:C171 C321:C339 C345:C346 C292:C296 C255:C278 C298:C319 C534:C542 C280:C290 C348:C350 C376:C381 C383:C391 C514:C516 C693:C1048576 C544:C662">
    <cfRule type="duplicateValues" dxfId="1" priority="48"/>
  </conditionalFormatting>
  <conditionalFormatting sqref="C692">
    <cfRule type="duplicateValues" dxfId="0" priority="2"/>
  </conditionalFormatting>
  <pageMargins left="0.7" right="0.7" top="0.75" bottom="0.75" header="0.3" footer="0.3"/>
  <pageSetup paperSize="9" scale="10" fitToHeight="0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947C9-0DEE-4E56-9E9B-07194969F8AB}">
  <dimension ref="B3:J12"/>
  <sheetViews>
    <sheetView workbookViewId="0">
      <selection activeCell="L12" sqref="L12"/>
    </sheetView>
  </sheetViews>
  <sheetFormatPr defaultRowHeight="14.4" x14ac:dyDescent="0.3"/>
  <cols>
    <col min="2" max="2" width="47.6640625" customWidth="1"/>
  </cols>
  <sheetData>
    <row r="3" spans="2:10" x14ac:dyDescent="0.3">
      <c r="B3" s="290" t="s">
        <v>1059</v>
      </c>
      <c r="C3" s="290"/>
      <c r="D3" s="290"/>
      <c r="E3" s="290"/>
      <c r="F3" s="290"/>
      <c r="G3" s="290"/>
      <c r="H3" s="290"/>
      <c r="I3" s="290"/>
      <c r="J3" s="290"/>
    </row>
    <row r="4" spans="2:10" x14ac:dyDescent="0.3">
      <c r="B4" s="219" t="s">
        <v>1060</v>
      </c>
      <c r="C4" s="220">
        <v>45901</v>
      </c>
      <c r="D4" s="220">
        <v>45931</v>
      </c>
      <c r="E4" s="220">
        <v>45962</v>
      </c>
      <c r="F4" s="220">
        <v>45992</v>
      </c>
      <c r="G4" s="220">
        <v>46023</v>
      </c>
      <c r="H4" s="220">
        <v>46054</v>
      </c>
      <c r="I4" s="220"/>
      <c r="J4" s="220">
        <v>46054</v>
      </c>
    </row>
    <row r="5" spans="2:10" x14ac:dyDescent="0.3">
      <c r="B5" s="219" t="s">
        <v>1061</v>
      </c>
      <c r="C5" s="219">
        <v>123</v>
      </c>
      <c r="D5" s="219">
        <v>84</v>
      </c>
      <c r="E5" s="219">
        <v>105</v>
      </c>
      <c r="F5" s="219">
        <v>77</v>
      </c>
      <c r="G5" s="219">
        <v>15</v>
      </c>
      <c r="H5" s="219"/>
      <c r="I5" s="219"/>
      <c r="J5" s="219"/>
    </row>
    <row r="6" spans="2:10" x14ac:dyDescent="0.3">
      <c r="B6" s="219" t="s">
        <v>1062</v>
      </c>
      <c r="C6" s="219">
        <v>5.3310000000000004</v>
      </c>
      <c r="D6" s="219">
        <v>7.5149999999999997</v>
      </c>
      <c r="E6" s="219">
        <v>11.218999999999999</v>
      </c>
      <c r="F6" s="219">
        <v>6.16</v>
      </c>
      <c r="G6" s="219">
        <v>0.99299999999999999</v>
      </c>
      <c r="H6" s="219"/>
      <c r="I6" s="219"/>
      <c r="J6" s="219"/>
    </row>
    <row r="7" spans="2:10" x14ac:dyDescent="0.3">
      <c r="B7" s="219" t="s">
        <v>1063</v>
      </c>
      <c r="C7" s="219">
        <v>49</v>
      </c>
      <c r="D7" s="219">
        <v>69</v>
      </c>
      <c r="E7" s="219">
        <v>40</v>
      </c>
      <c r="F7" s="219">
        <v>26</v>
      </c>
      <c r="G7" s="219">
        <v>12</v>
      </c>
      <c r="H7" s="219"/>
      <c r="I7" s="219"/>
      <c r="J7" s="219"/>
    </row>
    <row r="8" spans="2:10" x14ac:dyDescent="0.3">
      <c r="B8" s="219" t="s">
        <v>1064</v>
      </c>
      <c r="C8" s="219">
        <v>344</v>
      </c>
      <c r="D8" s="219">
        <v>1729</v>
      </c>
      <c r="E8" s="219">
        <v>4.226</v>
      </c>
      <c r="F8" s="219">
        <v>2.847</v>
      </c>
      <c r="G8" s="219">
        <v>0.95299999999999996</v>
      </c>
      <c r="H8" s="219"/>
      <c r="I8" s="219"/>
      <c r="J8" s="219"/>
    </row>
    <row r="9" spans="2:10" x14ac:dyDescent="0.3">
      <c r="B9" s="219" t="s">
        <v>1065</v>
      </c>
      <c r="C9" s="219">
        <v>4987</v>
      </c>
      <c r="D9" s="219">
        <v>5.7859999999999996</v>
      </c>
      <c r="E9" s="219">
        <v>6.9930000000000003</v>
      </c>
      <c r="F9" s="219">
        <v>2.3980000000000001</v>
      </c>
      <c r="G9" s="219">
        <v>19.940999999999999</v>
      </c>
      <c r="H9" s="219"/>
      <c r="I9" s="219"/>
      <c r="J9" s="219"/>
    </row>
    <row r="10" spans="2:10" x14ac:dyDescent="0.3">
      <c r="B10" s="219" t="s">
        <v>1066</v>
      </c>
      <c r="C10" s="219" t="s">
        <v>1067</v>
      </c>
      <c r="D10" s="219" t="s">
        <v>1067</v>
      </c>
      <c r="E10" s="219" t="s">
        <v>1067</v>
      </c>
      <c r="F10" s="219">
        <v>1602</v>
      </c>
      <c r="G10" s="219">
        <v>1760</v>
      </c>
      <c r="H10" s="219"/>
      <c r="I10" s="219"/>
      <c r="J10" s="219"/>
    </row>
    <row r="11" spans="2:10" x14ac:dyDescent="0.3">
      <c r="B11" s="219" t="s">
        <v>1068</v>
      </c>
      <c r="C11" s="219"/>
      <c r="D11" s="219"/>
      <c r="E11" s="219"/>
      <c r="F11" s="219"/>
      <c r="G11" s="219"/>
      <c r="H11" s="219"/>
      <c r="I11" s="219"/>
      <c r="J11" s="219"/>
    </row>
    <row r="12" spans="2:10" x14ac:dyDescent="0.3">
      <c r="B12" s="219" t="s">
        <v>1069</v>
      </c>
      <c r="C12" s="219"/>
      <c r="D12" s="219"/>
      <c r="E12" s="219"/>
      <c r="F12" s="219"/>
      <c r="G12" s="219"/>
      <c r="H12" s="219"/>
      <c r="I12" s="219"/>
      <c r="J12" s="219"/>
    </row>
  </sheetData>
  <mergeCells count="1">
    <mergeCell ref="B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Project Summary</vt:lpstr>
      <vt:lpstr>BOQ MASTER</vt:lpstr>
      <vt:lpstr>Sheet1</vt:lpstr>
      <vt:lpstr>'BOQ MASTER'!Print_Area</vt:lpstr>
      <vt:lpstr>'Project Summary'!Print_Area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2026-09-12T11:32:13Z</dcterms:modified>
</cp:coreProperties>
</file>